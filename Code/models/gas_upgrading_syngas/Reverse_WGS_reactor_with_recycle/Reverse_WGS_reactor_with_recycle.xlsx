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Quentin\Downloads\"/>
    </mc:Choice>
  </mc:AlternateContent>
  <xr:revisionPtr revIDLastSave="0" documentId="8_{ED958F59-5779-4CF1-BAC6-E06881E7A6CE}" xr6:coauthVersionLast="47" xr6:coauthVersionMax="47" xr10:uidLastSave="{00000000-0000-0000-0000-000000000000}"/>
  <bookViews>
    <workbookView xWindow="5100" yWindow="-16320" windowWidth="29040" windowHeight="15720" firstSheet="3" activeTab="8" xr2:uid="{00000000-000D-0000-FFFF-FFFF00000000}"/>
  </bookViews>
  <sheets>
    <sheet name="README" sheetId="1" r:id="rId1"/>
    <sheet name="METADATA" sheetId="2" r:id="rId2"/>
    <sheet name="CONNECTORS" sheetId="3" r:id="rId3"/>
    <sheet name="VARIABLES" sheetId="4" r:id="rId4"/>
    <sheet name="rWGS" sheetId="5" r:id="rId5"/>
    <sheet name="CALCULATIONS" sheetId="10" r:id="rId6"/>
    <sheet name="CHANGELOG" sheetId="9" r:id="rId7"/>
    <sheet name="SUPPL MATERIAL" sheetId="11" r:id="rId8"/>
    <sheet name="DOCUMENTATION" sheetId="14" r:id="rId9"/>
  </sheets>
  <definedNames>
    <definedName name="Annuity">VARIABLES!$E$66</definedName>
    <definedName name="Annuity_max">VARIABLES!$I$66</definedName>
    <definedName name="Annuity_min">VARIABLES!$H$66</definedName>
    <definedName name="CEPCI_2008">VARIABLES!$E$61</definedName>
    <definedName name="CEPCI_2008_max">VARIABLES!$I$61</definedName>
    <definedName name="CEPCI_2008_min">VARIABLES!$H$61</definedName>
    <definedName name="CEPCI_2020">VARIABLES!$E$60</definedName>
    <definedName name="CEPCI_2020_max">VARIABLES!$I$60</definedName>
    <definedName name="CEPCI_2020_min">VARIABLES!$H$60</definedName>
    <definedName name="Cinv2_rWGS">VARIABLES!$E$68</definedName>
    <definedName name="Cinv2_rWGS_max">VARIABLES!$I$68</definedName>
    <definedName name="Cinv2_rWGS_min">VARIABLES!$H$68</definedName>
    <definedName name="Cinv2_rWGS_spec">VARIABLES!$E$62</definedName>
    <definedName name="Cinv2_rWGS_spec_max">VARIABLES!$I$62</definedName>
    <definedName name="Cinv2_rWGS_spec_min">VARIABLES!$H$62</definedName>
    <definedName name="CO2_compr">VARIABLES!$E$54</definedName>
    <definedName name="CO2_compr_max">VARIABLES!$I$54</definedName>
    <definedName name="CO2_compr_min">VARIABLES!$H$54</definedName>
    <definedName name="CO2_input">VARIABLES!$E$16</definedName>
    <definedName name="CO2_input_max">VARIABLES!$I$16</definedName>
    <definedName name="CO2_input_min">VARIABLES!$H$16</definedName>
    <definedName name="dtmin_2ph">VARIABLES!$E$52</definedName>
    <definedName name="dtmin_2ph_max">VARIABLES!$I$52</definedName>
    <definedName name="dtmin_2ph_min">VARIABLES!$H$52</definedName>
    <definedName name="dtmin_gas">VARIABLES!$E$51</definedName>
    <definedName name="dtmin_gas_max">VARIABLES!$I$51</definedName>
    <definedName name="dtmin_gas_min">VARIABLES!$H$51</definedName>
    <definedName name="H2_compr">VARIABLES!$E$53</definedName>
    <definedName name="H2_compr_max">VARIABLES!$I$53</definedName>
    <definedName name="H2_compr_min">VARIABLES!$H$53</definedName>
    <definedName name="H2_input">VARIABLES!$E$17</definedName>
    <definedName name="H2_input_max">VARIABLES!$I$17</definedName>
    <definedName name="H2_input_min">VARIABLES!$H$17</definedName>
    <definedName name="heat_costing">VARIABLES!$E$67</definedName>
    <definedName name="heat_costing_max">VARIABLES!$I$67</definedName>
    <definedName name="heat_costing_min">VARIABLES!$H$67</definedName>
    <definedName name="i">VARIABLES!$E$59</definedName>
    <definedName name="i_max">VARIABLES!$I$59</definedName>
    <definedName name="i_min">VARIABLES!$H$59</definedName>
    <definedName name="LHV_syngas">VARIABLES!$E$20</definedName>
    <definedName name="LHV_syngas_max">VARIABLES!$I$20</definedName>
    <definedName name="LHV_syngas_min">VARIABLES!$H$20</definedName>
    <definedName name="n">VARIABLES!$E$58</definedName>
    <definedName name="n_max">VARIABLES!$I$58</definedName>
    <definedName name="n_min">VARIABLES!$H$58</definedName>
    <definedName name="Power_rWGS">VARIABLES!$E$65</definedName>
    <definedName name="Power_rWGS_max">VARIABLES!$I$65</definedName>
    <definedName name="Power_rWGS_min">VARIABLES!$H$65</definedName>
    <definedName name="Power_rWGStoFT">VARIABLES!#REF!</definedName>
    <definedName name="Power_rWGStoFT_max">VARIABLES!#REF!</definedName>
    <definedName name="Power_rWGStoFT_min">VARIABLES!#REF!</definedName>
    <definedName name="Power_rWGStoMeOH">VARIABLES!#REF!</definedName>
    <definedName name="Power_rWGStoMeOH_max">VARIABLES!#REF!</definedName>
    <definedName name="Power_rWGStoMeOH_min">VARIABLES!#REF!</definedName>
    <definedName name="Q_cold1">VARIABLES!$E$21</definedName>
    <definedName name="Q_cold1_max">VARIABLES!$I$21</definedName>
    <definedName name="Q_cold1_min">VARIABLES!$H$21</definedName>
    <definedName name="Q_cold2">VARIABLES!$E$22</definedName>
    <definedName name="Q_cold2_max">VARIABLES!$I$22</definedName>
    <definedName name="Q_cold2_min">VARIABLES!$H$22</definedName>
    <definedName name="Q_hot1">VARIABLES!$E$23</definedName>
    <definedName name="Q_hot1_max">VARIABLES!$I$23</definedName>
    <definedName name="Q_hot1_min">VARIABLES!$H$23</definedName>
    <definedName name="Q_hot10">VARIABLES!#REF!</definedName>
    <definedName name="Q_hot10_max">VARIABLES!#REF!</definedName>
    <definedName name="Q_hot10_min">VARIABLES!#REF!</definedName>
    <definedName name="Q_hot11">VARIABLES!#REF!</definedName>
    <definedName name="Q_hot11_max">VARIABLES!#REF!</definedName>
    <definedName name="Q_hot11_min">VARIABLES!#REF!</definedName>
    <definedName name="Q_hot12">VARIABLES!#REF!</definedName>
    <definedName name="Q_hot12_max">VARIABLES!#REF!</definedName>
    <definedName name="Q_hot12_min">VARIABLES!#REF!</definedName>
    <definedName name="Q_hot2">VARIABLES!$E$24</definedName>
    <definedName name="Q_hot2_max">VARIABLES!$I$24</definedName>
    <definedName name="Q_hot2_min">VARIABLES!$H$24</definedName>
    <definedName name="Q_hot3">VARIABLES!$E$25</definedName>
    <definedName name="Q_hot3_max">VARIABLES!$I$25</definedName>
    <definedName name="Q_hot3_min">VARIABLES!$H$25</definedName>
    <definedName name="Q_hot4">VARIABLES!$E$26</definedName>
    <definedName name="Q_hot4_max">VARIABLES!$I$26</definedName>
    <definedName name="Q_hot4_min">VARIABLES!$H$26</definedName>
    <definedName name="Q_hot5">VARIABLES!$E$27</definedName>
    <definedName name="Q_hot5_max">VARIABLES!$I$27</definedName>
    <definedName name="Q_hot5_min">VARIABLES!$H$27</definedName>
    <definedName name="Q_hot6">VARIABLES!$E$28</definedName>
    <definedName name="Q_hot6_max">VARIABLES!$I$28</definedName>
    <definedName name="Q_hot6_min">VARIABLES!$H$28</definedName>
    <definedName name="Q_hot7">VARIABLES!$E$29</definedName>
    <definedName name="Q_hot7_max">VARIABLES!$I$29</definedName>
    <definedName name="Q_hot7_min">VARIABLES!$H$29</definedName>
    <definedName name="Q_hot8">VARIABLES!$E$30</definedName>
    <definedName name="Q_hot8_max">VARIABLES!$I$30</definedName>
    <definedName name="Q_hot8_min">VARIABLES!$H$30</definedName>
    <definedName name="Q_hot9">VARIABLES!#REF!</definedName>
    <definedName name="Q_hot9_max">VARIABLES!#REF!</definedName>
    <definedName name="Q_hot9_min">VARIABLES!#REF!</definedName>
    <definedName name="Recy_compr">VARIABLES!$E$55</definedName>
    <definedName name="Recy_compr_max">VARIABLES!$I$55</definedName>
    <definedName name="Recy_compr_min">VARIABLES!$H$55</definedName>
    <definedName name="Syng_compr_to_FT">VARIABLES!$E$56</definedName>
    <definedName name="Syng_compr_to_FT_max">VARIABLES!$I$56</definedName>
    <definedName name="Syng_compr_to_FT_min">VARIABLES!$H$56</definedName>
    <definedName name="Syng_compr_to_MeOH">VARIABLES!$E$57</definedName>
    <definedName name="Syng_compr_to_MeOH_max">VARIABLES!$I$57</definedName>
    <definedName name="Syng_compr_to_MeOH_min">VARIABLES!$H$57</definedName>
    <definedName name="Syngas_ouput">VARIABLES!$E$18</definedName>
    <definedName name="Syngas_ouput_max">VARIABLES!$I$18</definedName>
    <definedName name="Syngas_ouput_min">VARIABLES!$H$18</definedName>
    <definedName name="Syngas_output_kg">VARIABLES!$E$63</definedName>
    <definedName name="Syngas_output_kg_max">VARIABLES!$I$63</definedName>
    <definedName name="Syngas_output_kg_min">VARIABLES!$H$63</definedName>
    <definedName name="Syngas_output_kw">VARIABLES!$E$64</definedName>
    <definedName name="Syngas_output_kw_max">VARIABLES!$I$64</definedName>
    <definedName name="Syngas_output_kw_min">VARIABLES!$H$64</definedName>
    <definedName name="Tin_cold1">VARIABLES!$E$31</definedName>
    <definedName name="Tin_cold1_max">VARIABLES!$I$31</definedName>
    <definedName name="Tin_cold1_min">VARIABLES!$H$31</definedName>
    <definedName name="Tin_cold2">VARIABLES!$E$32</definedName>
    <definedName name="Tin_cold2_max">VARIABLES!$I$32</definedName>
    <definedName name="Tin_cold2_min">VARIABLES!$H$32</definedName>
    <definedName name="Tin_hot1">VARIABLES!$E$33</definedName>
    <definedName name="Tin_hot1_max">VARIABLES!$I$33</definedName>
    <definedName name="Tin_hot1_min">VARIABLES!$H$33</definedName>
    <definedName name="Tin_hot10">VARIABLES!#REF!</definedName>
    <definedName name="Tin_hot10_max">VARIABLES!#REF!</definedName>
    <definedName name="Tin_hot10_min">VARIABLES!#REF!</definedName>
    <definedName name="Tin_hot11">VARIABLES!#REF!</definedName>
    <definedName name="Tin_hot11_max">VARIABLES!#REF!</definedName>
    <definedName name="Tin_hot11_min">VARIABLES!#REF!</definedName>
    <definedName name="Tin_hot12">VARIABLES!#REF!</definedName>
    <definedName name="Tin_hot12_max">VARIABLES!#REF!</definedName>
    <definedName name="Tin_hot12_min">VARIABLES!#REF!</definedName>
    <definedName name="Tin_hot2">VARIABLES!$E$34</definedName>
    <definedName name="Tin_hot2_max">VARIABLES!$I$34</definedName>
    <definedName name="Tin_hot2_min">VARIABLES!$H$34</definedName>
    <definedName name="Tin_hot3">VARIABLES!$E$35</definedName>
    <definedName name="Tin_hot3_max">VARIABLES!$I$35</definedName>
    <definedName name="Tin_hot3_min">VARIABLES!$H$35</definedName>
    <definedName name="Tin_hot4">VARIABLES!$E$36</definedName>
    <definedName name="Tin_hot4_max">VARIABLES!$I$36</definedName>
    <definedName name="Tin_hot4_min">VARIABLES!$H$36</definedName>
    <definedName name="Tin_hot5">VARIABLES!$E$37</definedName>
    <definedName name="Tin_hot5_max">VARIABLES!$I$37</definedName>
    <definedName name="Tin_hot5_min">VARIABLES!$H$37</definedName>
    <definedName name="Tin_hot6">VARIABLES!$E$38</definedName>
    <definedName name="Tin_hot6_max">VARIABLES!$I$38</definedName>
    <definedName name="Tin_hot6_min">VARIABLES!$H$38</definedName>
    <definedName name="Tin_hot7">VARIABLES!$E$39</definedName>
    <definedName name="Tin_hot7_max">VARIABLES!$I$39</definedName>
    <definedName name="Tin_hot7_min">VARIABLES!$H$39</definedName>
    <definedName name="Tin_hot8">VARIABLES!$E$40</definedName>
    <definedName name="Tin_hot8_max">VARIABLES!$I$40</definedName>
    <definedName name="Tin_hot8_min">VARIABLES!$H$40</definedName>
    <definedName name="Tin_hot9">VARIABLES!#REF!</definedName>
    <definedName name="Tin_hot9_max">VARIABLES!#REF!</definedName>
    <definedName name="Tin_hot9_min">VARIABLES!#REF!</definedName>
    <definedName name="Tmilk">#REF!</definedName>
    <definedName name="Tmilk.Variablename">#REF!</definedName>
    <definedName name="Tout_cold1">VARIABLES!$E$41</definedName>
    <definedName name="Tout_cold1_max">VARIABLES!$I$41</definedName>
    <definedName name="Tout_cold1_min">VARIABLES!$H$41</definedName>
    <definedName name="Tout_cold2">VARIABLES!$E$42</definedName>
    <definedName name="Tout_cold2_max">VARIABLES!$I$42</definedName>
    <definedName name="Tout_cold2_min">VARIABLES!$H$42</definedName>
    <definedName name="Tout_hot1">VARIABLES!$E$43</definedName>
    <definedName name="Tout_hot1_max">VARIABLES!$I$43</definedName>
    <definedName name="Tout_hot1_min">VARIABLES!$H$43</definedName>
    <definedName name="Tout_hot10">VARIABLES!#REF!</definedName>
    <definedName name="Tout_hot10_max">VARIABLES!#REF!</definedName>
    <definedName name="Tout_hot10_min">VARIABLES!#REF!</definedName>
    <definedName name="Tout_hot11">VARIABLES!#REF!</definedName>
    <definedName name="Tout_hot11_max">VARIABLES!#REF!</definedName>
    <definedName name="Tout_hot11_min">VARIABLES!#REF!</definedName>
    <definedName name="Tout_hot12">VARIABLES!#REF!</definedName>
    <definedName name="Tout_hot12_max">VARIABLES!#REF!</definedName>
    <definedName name="Tout_hot12_min">VARIABLES!#REF!</definedName>
    <definedName name="Tout_hot2">VARIABLES!$E$44</definedName>
    <definedName name="Tout_hot2_max">VARIABLES!$I$44</definedName>
    <definedName name="Tout_hot2_min">VARIABLES!$H$44</definedName>
    <definedName name="Tout_hot3">VARIABLES!$E$45</definedName>
    <definedName name="Tout_hot3_max">VARIABLES!$I$45</definedName>
    <definedName name="Tout_hot3_min">VARIABLES!$H$45</definedName>
    <definedName name="Tout_hot4">VARIABLES!$E$46</definedName>
    <definedName name="Tout_hot4_max">VARIABLES!$I$46</definedName>
    <definedName name="Tout_hot4_min">VARIABLES!$H$46</definedName>
    <definedName name="Tout_hot5">VARIABLES!$E$47</definedName>
    <definedName name="Tout_hot5_max">VARIABLES!$I$47</definedName>
    <definedName name="Tout_hot5_min">VARIABLES!$H$47</definedName>
    <definedName name="Tout_hot6">VARIABLES!$E$48</definedName>
    <definedName name="Tout_hot6_max">VARIABLES!$I$48</definedName>
    <definedName name="Tout_hot6_min">VARIABLES!$H$48</definedName>
    <definedName name="Tout_hot7">VARIABLES!$E$49</definedName>
    <definedName name="Tout_hot7_max">VARIABLES!$I$49</definedName>
    <definedName name="Tout_hot7_min">VARIABLES!$H$49</definedName>
    <definedName name="Tout_hot8">VARIABLES!$E$50</definedName>
    <definedName name="Tout_hot8_max">VARIABLES!$I$50</definedName>
    <definedName name="Tout_hot8_min">VARIABLES!$H$50</definedName>
    <definedName name="Tout_hot9">VARIABLES!#REF!</definedName>
    <definedName name="Tout_hot9_max">VARIABLES!#REF!</definedName>
    <definedName name="Tout_hot9_min">VARIABLES!#REF!</definedName>
    <definedName name="Water_output">VARIABLES!$E$19</definedName>
    <definedName name="Water_output_max">VARIABLES!$I$19</definedName>
    <definedName name="Water_output_min">VARIABLES!$H$19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bNxJkgama/kYeBi4o0J15qkHQT9g9UA3B49WFr4NTgI="/>
    </ext>
  </extLst>
</workbook>
</file>

<file path=xl/calcChain.xml><?xml version="1.0" encoding="utf-8"?>
<calcChain xmlns="http://schemas.openxmlformats.org/spreadsheetml/2006/main">
  <c r="A30" i="14" l="1"/>
  <c r="A29" i="14"/>
  <c r="A28" i="14"/>
  <c r="A27" i="14"/>
  <c r="A26" i="14"/>
  <c r="A25" i="14"/>
  <c r="A24" i="14"/>
  <c r="A23" i="14"/>
  <c r="A20" i="14"/>
  <c r="A19" i="14"/>
  <c r="A15" i="14"/>
  <c r="A14" i="14"/>
  <c r="A13" i="14"/>
  <c r="A9" i="14"/>
  <c r="A8" i="14"/>
  <c r="A6" i="14"/>
  <c r="K34" i="5"/>
  <c r="M34" i="5"/>
  <c r="K33" i="5"/>
  <c r="M32" i="5"/>
  <c r="K30" i="5"/>
  <c r="K31" i="5"/>
  <c r="M31" i="5"/>
  <c r="M30" i="5"/>
  <c r="K28" i="5"/>
  <c r="K29" i="5"/>
  <c r="M29" i="5"/>
  <c r="M28" i="5"/>
  <c r="K27" i="5"/>
  <c r="M27" i="5"/>
  <c r="K26" i="5"/>
  <c r="M26" i="5"/>
  <c r="B12" i="2"/>
  <c r="D19" i="5"/>
  <c r="D16" i="5"/>
  <c r="D15" i="5"/>
  <c r="D17" i="5"/>
  <c r="D18" i="5"/>
  <c r="G33" i="5"/>
  <c r="G32" i="5"/>
  <c r="G31" i="5"/>
  <c r="G30" i="5"/>
  <c r="E67" i="4" l="1"/>
  <c r="E68" i="4" s="1"/>
  <c r="I35" i="5"/>
  <c r="I34" i="5"/>
  <c r="E35" i="5"/>
  <c r="E34" i="5"/>
  <c r="E33" i="5"/>
  <c r="E32" i="5"/>
  <c r="E31" i="5"/>
  <c r="E30" i="5"/>
  <c r="E29" i="5"/>
  <c r="E28" i="5"/>
  <c r="E27" i="5"/>
  <c r="E26" i="5"/>
  <c r="C35" i="5"/>
  <c r="C34" i="5"/>
  <c r="C33" i="5"/>
  <c r="C32" i="5"/>
  <c r="C31" i="5"/>
  <c r="C30" i="5"/>
  <c r="C29" i="5"/>
  <c r="C28" i="5"/>
  <c r="C27" i="5"/>
  <c r="C26" i="5"/>
  <c r="G29" i="5"/>
  <c r="G28" i="5"/>
  <c r="G27" i="5"/>
  <c r="G26" i="5"/>
  <c r="E53" i="4"/>
  <c r="E54" i="4"/>
  <c r="E66" i="4"/>
  <c r="E64" i="4"/>
  <c r="E63" i="4"/>
  <c r="E57" i="4"/>
  <c r="E56" i="4"/>
  <c r="E55" i="4"/>
  <c r="E65"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tc={337CA021-9AC0-4AD9-A57E-506D35A7B8D0}</author>
    <author>tc={1BC422D8-865C-420A-8F81-F4C46D0FE2CC}</author>
    <author>tc={13A20CB4-FC14-4090-A17B-0D907B3E1E80}</author>
  </authors>
  <commentList>
    <comment ref="K26" authorId="0" shapeId="0" xr:uid="{337CA021-9AC0-4AD9-A57E-506D35A7B8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Computed from Q = m*cp*dT</t>
      </text>
    </comment>
    <comment ref="K32" authorId="1" shapeId="0" xr:uid="{1BC422D8-865C-420A-8F81-F4C46D0FE2C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Assumed pure co2 with constant cp</t>
      </text>
    </comment>
    <comment ref="K33" authorId="2" shapeId="0" xr:uid="{13A20CB4-FC14-4090-A17B-0D907B3E1E8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Recalculated from mass flow</t>
      </text>
    </comment>
  </commentList>
</comments>
</file>

<file path=xl/sharedStrings.xml><?xml version="1.0" encoding="utf-8"?>
<sst xmlns="http://schemas.openxmlformats.org/spreadsheetml/2006/main" count="957" uniqueCount="408">
  <si>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</si>
  <si>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</si>
  <si>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CONNECTORS</t>
  </si>
  <si>
    <t>VARIABLES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</si>
  <si>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</si>
  <si>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</si>
  <si>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A representative name for the model</t>
  </si>
  <si>
    <t>Daniel Florez-Orrego, Oktay Boztas</t>
  </si>
  <si>
    <t>Open</t>
  </si>
  <si>
    <t>The creation date of the model</t>
  </si>
  <si>
    <t>GRAY-BOX</t>
  </si>
  <si>
    <t>Softwares that are used during the development of the model</t>
  </si>
  <si>
    <t>URL</t>
  </si>
  <si>
    <t>The date of the last modification to the model</t>
  </si>
  <si>
    <t>Keywords can be assigned to enable structured categorization of the models</t>
  </si>
  <si>
    <t>DESCRIPTION</t>
  </si>
  <si>
    <t>EXTERNAL CONNECTORS</t>
  </si>
  <si>
    <t>NAME (ALIAS)</t>
  </si>
  <si>
    <t>TYPE</t>
  </si>
  <si>
    <t>PHYSICAL UNIT</t>
  </si>
  <si>
    <t>TEMPERATURE</t>
  </si>
  <si>
    <t>TEMPERATURE UNIT</t>
  </si>
  <si>
    <t>PRESSURE</t>
  </si>
  <si>
    <t>PRESSURE UNIT</t>
  </si>
  <si>
    <t>VAPOR FRACTION [MASS]</t>
  </si>
  <si>
    <t>PHASE</t>
  </si>
  <si>
    <t>COMPOSITION [MOLE/MASS]</t>
  </si>
  <si>
    <t>-</t>
  </si>
  <si>
    <t>INTERNAL CONNECTORS</t>
  </si>
  <si>
    <t>VARIABLE TYPES</t>
  </si>
  <si>
    <r>
      <rPr>
        <b/>
        <sz val="11"/>
        <color theme="1"/>
        <rFont val="Calibri"/>
        <family val="2"/>
      </rPr>
      <t>Context:</t>
    </r>
    <r>
      <rPr>
        <sz val="11"/>
        <color theme="1"/>
        <rFont val="Calibri"/>
        <family val="2"/>
      </rPr>
      <t xml:space="preserve"> These variables are defined at a higher level and refer to local conditions (e.g., ambient temperature and pressure), economic factors (e.g., specific costs), or energy-related parameters.</t>
    </r>
  </si>
  <si>
    <r>
      <rPr>
        <b/>
        <sz val="11"/>
        <color theme="1"/>
        <rFont val="Calibri"/>
        <family val="2"/>
      </rPr>
      <t xml:space="preserve">Literature: </t>
    </r>
    <r>
      <rPr>
        <sz val="11"/>
        <color theme="1"/>
        <rFont val="Calibri"/>
        <family val="2"/>
      </rPr>
      <t>These variables are defined from the literature sources. They include physical constants, reported efficiencies or other variables that are not measured but assumed from literature sources.</t>
    </r>
  </si>
  <si>
    <r>
      <rPr>
        <b/>
        <sz val="11"/>
        <color theme="1"/>
        <rFont val="Calibri"/>
        <family val="2"/>
      </rPr>
      <t>Measured:</t>
    </r>
    <r>
      <rPr>
        <sz val="11"/>
        <color theme="1"/>
        <rFont val="Calibri"/>
        <family val="2"/>
      </rPr>
      <t xml:space="preserve"> These variables are directly measured directly in the industrial or technological system.</t>
    </r>
  </si>
  <si>
    <r>
      <rPr>
        <b/>
        <sz val="11"/>
        <color theme="1"/>
        <rFont val="Calibri"/>
        <family val="2"/>
      </rPr>
      <t>Decision:</t>
    </r>
    <r>
      <rPr>
        <sz val="11"/>
        <color theme="1"/>
        <rFont val="Calibri"/>
        <family val="2"/>
      </rPr>
      <t xml:space="preserve"> These variable are set by the engineers to as degrees of freedom to evaluate their impact on the performance of the energy system</t>
    </r>
  </si>
  <si>
    <t>USER GRADE</t>
  </si>
  <si>
    <r>
      <rPr>
        <b/>
        <sz val="11"/>
        <color theme="1"/>
        <rFont val="Calibri"/>
        <family val="2"/>
      </rPr>
      <t xml:space="preserve">Mandatory: </t>
    </r>
    <r>
      <rPr>
        <sz val="11"/>
        <color theme="1"/>
        <rFont val="Calibri"/>
        <family val="2"/>
      </rPr>
      <t>The user of the model is expected to assign a default value to the variable.</t>
    </r>
  </si>
  <si>
    <r>
      <rPr>
        <b/>
        <sz val="11"/>
        <color theme="1"/>
        <rFont val="Calibri"/>
        <family val="2"/>
      </rPr>
      <t xml:space="preserve">Optional: </t>
    </r>
    <r>
      <rPr>
        <sz val="11"/>
        <color theme="1"/>
        <rFont val="Calibri"/>
        <family val="2"/>
      </rPr>
      <t>Experienced users can modify the default value.</t>
    </r>
  </si>
  <si>
    <r>
      <rPr>
        <b/>
        <sz val="11"/>
        <color theme="1"/>
        <rFont val="Calibri"/>
        <family val="2"/>
      </rPr>
      <t xml:space="preserve">Private: </t>
    </r>
    <r>
      <rPr>
        <sz val="11"/>
        <color theme="1"/>
        <rFont val="Calibri"/>
        <family val="2"/>
      </rPr>
      <t>Decided by the model developer, and users are not allowed to change the default value.</t>
    </r>
  </si>
  <si>
    <t>DIRECTION</t>
  </si>
  <si>
    <t>VALUE</t>
  </si>
  <si>
    <t>HEAT STREAMS</t>
  </si>
  <si>
    <t>EQUIPMENTS</t>
  </si>
  <si>
    <t>The fixed and variable operating costs includes manpower, fixed cost of operation, taxes etc.</t>
  </si>
  <si>
    <t>TRL</t>
  </si>
  <si>
    <t>EQUIPMENTS DESCRIPTION</t>
  </si>
  <si>
    <t>OPERATING COST DESCRIPTION</t>
  </si>
  <si>
    <t>UNIT DESCRIPTION</t>
  </si>
  <si>
    <t>CONNECTORS DESCRIPTION</t>
  </si>
  <si>
    <t>UNIT NAME</t>
  </si>
  <si>
    <t>MAXIMUM CAPACITY MULT</t>
  </si>
  <si>
    <t>MINIMUM CAPACITY MULT</t>
  </si>
  <si>
    <t>HEAT CASCADE</t>
  </si>
  <si>
    <t>NAME</t>
  </si>
  <si>
    <t>PARAMS</t>
  </si>
  <si>
    <t>FIXED OPERATING COST [EUR/y]</t>
  </si>
  <si>
    <t>VARIABLE OPERATING COST [EUR/h]</t>
  </si>
  <si>
    <t>HEAT STREAMS DESCRIPTION</t>
  </si>
  <si>
    <t>The variable operating cost is calculated by multiplying the specific operating cost [EUR/kWh or EUR/kg] and reference capacity [kW or kg/h]</t>
  </si>
  <si>
    <t>Fetch the intensive properties from the connectors tab</t>
  </si>
  <si>
    <t>The declared connectors within the units can be a mix of external and internal connectors</t>
  </si>
  <si>
    <t>FULL NAME</t>
  </si>
  <si>
    <t>MIN BOUND</t>
  </si>
  <si>
    <t>MAX BOUND</t>
  </si>
  <si>
    <t>LATEX SYNTAX</t>
  </si>
  <si>
    <t>Precheck that each of these internal connectors has at least one in and one out within a model.</t>
  </si>
  <si>
    <t>External connectors should be defined in a global database that documents the physical units and the quality of the connectors to be used for models integration</t>
  </si>
  <si>
    <t>MODEL UID</t>
  </si>
  <si>
    <t>MODEL NAME</t>
  </si>
  <si>
    <t>AUTHORS AND CONTRIBUTORS</t>
  </si>
  <si>
    <t>VERSION</t>
  </si>
  <si>
    <t>CONFIDENTIALITY</t>
  </si>
  <si>
    <t>CREATION DATE</t>
  </si>
  <si>
    <t>REFERENCES</t>
  </si>
  <si>
    <t>GRADE</t>
  </si>
  <si>
    <t>SOFTWARE</t>
  </si>
  <si>
    <t>LAST UPDATED</t>
  </si>
  <si>
    <t>KEYWORDS</t>
  </si>
  <si>
    <t>REFERENCE CAPACITY 
(MAIN PRODUCT/FEEDSTOCK)</t>
  </si>
  <si>
    <t>DOI</t>
  </si>
  <si>
    <t>BLOCK FLOW DIAGRAM ( .png or .svg)</t>
  </si>
  <si>
    <t>CONTACT INFO</t>
  </si>
  <si>
    <t>daniel.florezorrego@epfl.ch, oktay.boztas@epfl.ch</t>
  </si>
  <si>
    <t>MAIN RELATED PUBLICATION</t>
  </si>
  <si>
    <t>MODEL STATUS</t>
  </si>
  <si>
    <t>Maintained</t>
  </si>
  <si>
    <t>SUPPLEMENTARY MATERIAL</t>
  </si>
  <si>
    <t>AUTHORS</t>
  </si>
  <si>
    <t>SIZE</t>
  </si>
  <si>
    <t>FORMAT</t>
  </si>
  <si>
    <t>LIST OF SUPPLEMENTARY MATERIAL</t>
  </si>
  <si>
    <t>No.</t>
  </si>
  <si>
    <t>DATE</t>
  </si>
  <si>
    <t>COMMENTS</t>
  </si>
  <si>
    <t>CONTRIBUTOR</t>
  </si>
  <si>
    <t>1.0.1</t>
  </si>
  <si>
    <t>Original file</t>
  </si>
  <si>
    <t>PARAMETER</t>
  </si>
  <si>
    <t>See SUPPL MATERIAL tab</t>
  </si>
  <si>
    <t>VARIABLE NAME</t>
  </si>
  <si>
    <t>SOFTWARE FILE</t>
  </si>
  <si>
    <t>UID</t>
  </si>
  <si>
    <t>Metadata is important for model documentation and versioning, as well as for authorship and supplementary material indexation</t>
  </si>
  <si>
    <t>SHARING LAYER</t>
  </si>
  <si>
    <t>SUBTYPE</t>
  </si>
  <si>
    <t>REFERENCE</t>
  </si>
  <si>
    <t>INLET TEMPERATURE UNIT</t>
  </si>
  <si>
    <t>OUTLET TEMPERATURE UNIT</t>
  </si>
  <si>
    <t>OUTLET ENTHALPY FLOW UNIT</t>
  </si>
  <si>
    <t>SPEC HEAT CAP UNIT</t>
  </si>
  <si>
    <t>INLET TEMPERATURE VALUE</t>
  </si>
  <si>
    <t>OUTLET TEMPERATURE VALUE</t>
  </si>
  <si>
    <t>INLET ENTHALPY FLOW VALUE</t>
  </si>
  <si>
    <t>INLET ENTHALPY FLOW UNIT</t>
  </si>
  <si>
    <t>OUTLET ENTHALPY FLOW VALUE</t>
  </si>
  <si>
    <t>SPEC HEAT CAP VALUE</t>
  </si>
  <si>
    <t>MASS FLOW VALUE</t>
  </si>
  <si>
    <t>MASS FLOW UNIT</t>
  </si>
  <si>
    <t>DTMIN CONTR VALUE</t>
  </si>
  <si>
    <t>DTMIN CONTR UNIT</t>
  </si>
  <si>
    <t>HEAT TRANSFER COEF VALUE</t>
  </si>
  <si>
    <t>HEAT TRANSFER COEF UNIT</t>
  </si>
  <si>
    <t>REFERENCE STREAM</t>
  </si>
  <si>
    <t>Obtain investment from equipments cost database, which already provides the application range</t>
  </si>
  <si>
    <t>METADATA</t>
  </si>
  <si>
    <t>The metadata section includes essential metadata about the model. The information provided ensures clear classification, proper attribution, and traceability by capturing key details about the model’s identity, origin, and context.</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</si>
  <si>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</si>
  <si>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t>
  </si>
  <si>
    <t>Digital object identifier of the model</t>
  </si>
  <si>
    <t>Description of the model for discoverability and overview</t>
  </si>
  <si>
    <t>List of supplementary material of the model</t>
  </si>
  <si>
    <t>Keeps a clear version history</t>
  </si>
  <si>
    <t>The level of sensitivity can be indicated as open, restricted, confidential</t>
  </si>
  <si>
    <t>Authors and contributors to the development of the model with their affiliated organizations.</t>
  </si>
  <si>
    <t>Contact information of the authors and contributors</t>
  </si>
  <si>
    <t>Maintained or Archived model</t>
  </si>
  <si>
    <t>The sharing layer is the extent of detail adopted for the model at certain time</t>
  </si>
  <si>
    <t>Black-box for static or surrogate models, Gray-box for partly adjustable models, and White-box for models with flowsheet</t>
  </si>
  <si>
    <t>The reference capacity of the model can be defined based on the main product</t>
  </si>
  <si>
    <t>Technology readiness level of the model. The minimum TRL corresponds to the minimum level considering the model units</t>
  </si>
  <si>
    <t>Link to the main related publication(s) to the model</t>
  </si>
  <si>
    <t>References used during the model development can be provided in a .bib file</t>
  </si>
  <si>
    <t>Physycal file of the model (if available), otherwise, N.A.</t>
  </si>
  <si>
    <t>Graphical representation of the block flow diagram of the model</t>
  </si>
  <si>
    <t>Link to the repository where the model is alternatively stored</t>
  </si>
  <si>
    <r>
      <rPr>
        <b/>
        <sz val="11"/>
        <color theme="1"/>
        <rFont val="Calibri"/>
        <family val="2"/>
        <scheme val="minor"/>
      </rPr>
      <t>Calculated</t>
    </r>
    <r>
      <rPr>
        <sz val="11"/>
        <color theme="1"/>
        <rFont val="Calibri"/>
        <family val="2"/>
        <scheme val="minor"/>
      </rPr>
      <t>: These are derived variables, calculated based on the previous types of variables and are considered as dependent variables</t>
    </r>
  </si>
  <si>
    <t>TEMPERATURE VALUE</t>
  </si>
  <si>
    <t>PRESSURE VALUE</t>
  </si>
  <si>
    <t>FLOW VALUE</t>
  </si>
  <si>
    <t>FLOW UNIT</t>
  </si>
  <si>
    <t>UNIT</t>
  </si>
  <si>
    <t>Compare Fmin and Fmax to define if it scalable of fixed, if fixed Fmin=Fmax=Fmult</t>
  </si>
  <si>
    <t>FORMULA OR PATH</t>
  </si>
  <si>
    <t>DEFAULT VALUE</t>
  </si>
  <si>
    <t>None</t>
  </si>
  <si>
    <t>Drawio</t>
  </si>
  <si>
    <t>.svg</t>
  </si>
  <si>
    <t>50 kB</t>
  </si>
  <si>
    <t>Reverse WGS reactor with recycle</t>
  </si>
  <si>
    <t>Daniel Flórez-Orrego, EPFL IPESE research group</t>
  </si>
  <si>
    <t>Figures/ReverseWGS.svg</t>
  </si>
  <si>
    <t>Syngas, CO2, Hydrogen</t>
  </si>
  <si>
    <t>CO2_input</t>
  </si>
  <si>
    <t>CONTEXT</t>
  </si>
  <si>
    <t xml:space="preserve"> Mass flow rate of CO2 consumed at 30C and 1bar</t>
  </si>
  <si>
    <t>MANDATORY</t>
  </si>
  <si>
    <t>kg/h</t>
  </si>
  <si>
    <t>$CO_{2,\text{input}}$</t>
  </si>
  <si>
    <t>H2_input</t>
  </si>
  <si>
    <t xml:space="preserve"> Mass flow rate of H2 consumed at 30C and 1bar</t>
  </si>
  <si>
    <t>$H_{2,\text{input}}$</t>
  </si>
  <si>
    <t>Syngas_ouput</t>
  </si>
  <si>
    <t xml:space="preserve"> Mass flow rate of syngas produced at 5 bar, molfrac</t>
  </si>
  <si>
    <t>$Syngas_{\text{output}}$</t>
  </si>
  <si>
    <t>Water_output</t>
  </si>
  <si>
    <t xml:space="preserve"> Water production in the reverse water gas shift reaction</t>
  </si>
  <si>
    <t>m3/h</t>
  </si>
  <si>
    <t>$Water_{\text{output}}$</t>
  </si>
  <si>
    <t>LHV_syngas</t>
  </si>
  <si>
    <t xml:space="preserve"> Lower heating value of syngas from reverse water gas shift process</t>
  </si>
  <si>
    <t>kJ/kg</t>
  </si>
  <si>
    <t>$LHV_{\text{syngas}}$</t>
  </si>
  <si>
    <t>Q_cold1</t>
  </si>
  <si>
    <t xml:space="preserve"> Heat duty of rWGS feed preheating</t>
  </si>
  <si>
    <t>kW</t>
  </si>
  <si>
    <t>$Q_{\text{cold1}}$</t>
  </si>
  <si>
    <t>Q_cold2</t>
  </si>
  <si>
    <t xml:space="preserve"> Heat duty of rWGS endothermic reactor</t>
  </si>
  <si>
    <t>$Q_{\text{cold2}}$</t>
  </si>
  <si>
    <t>Q_hot1</t>
  </si>
  <si>
    <t xml:space="preserve"> Heat duty hydrogen first compression intercooling</t>
  </si>
  <si>
    <t>$Q_{\text{hot1}}$</t>
  </si>
  <si>
    <t>Q_hot2</t>
  </si>
  <si>
    <t xml:space="preserve"> Heat duty hydrogen second compression intercooling</t>
  </si>
  <si>
    <t>$Q_{\text{hot2}}$</t>
  </si>
  <si>
    <t>Q_hot3</t>
  </si>
  <si>
    <t xml:space="preserve"> Heat duty CO2 first compression intercooling</t>
  </si>
  <si>
    <t>$Q_{\text{hot3}}$</t>
  </si>
  <si>
    <t>Q_hot4</t>
  </si>
  <si>
    <t xml:space="preserve"> Heat duty CO2 second compression intercooling</t>
  </si>
  <si>
    <t>$Q_{\text{hot4}}$</t>
  </si>
  <si>
    <t>Q_hot5</t>
  </si>
  <si>
    <t xml:space="preserve"> Heat duty of rWGS product cooling</t>
  </si>
  <si>
    <t>$Q_{\text{hot5}}$</t>
  </si>
  <si>
    <t>Q_hot6</t>
  </si>
  <si>
    <t>$Q_{\text{hot6}}$</t>
  </si>
  <si>
    <t>Q_hot7</t>
  </si>
  <si>
    <t xml:space="preserve"> Heat duty of recycling compression intercooling</t>
  </si>
  <si>
    <t>$Q_{\text{hot7}}$</t>
  </si>
  <si>
    <t>Q_hot8</t>
  </si>
  <si>
    <t>$Q_{\text{hot8}}$</t>
  </si>
  <si>
    <t>Tin_cold1</t>
  </si>
  <si>
    <t xml:space="preserve"> Temperature inlet rWGS feed preheating</t>
  </si>
  <si>
    <t>$T_{\text{in,cold1}}$</t>
  </si>
  <si>
    <t>Tin_cold2</t>
  </si>
  <si>
    <t xml:space="preserve"> Temperature inlet of rWGS endothermic reactor</t>
  </si>
  <si>
    <t>$T_{\text{in,cold2}}$</t>
  </si>
  <si>
    <t>Tin_hot1</t>
  </si>
  <si>
    <t xml:space="preserve"> Temperature inlet first hydrogen intercooling</t>
  </si>
  <si>
    <t>$T_{\text{in,hot1}}$</t>
  </si>
  <si>
    <t>Tin_hot2</t>
  </si>
  <si>
    <t xml:space="preserve"> Temperature inlet second hydrogen intercooling</t>
  </si>
  <si>
    <t>$T_{\text{in,hot2}}$</t>
  </si>
  <si>
    <t>Tin_hot3</t>
  </si>
  <si>
    <t xml:space="preserve"> Temperature inlet first CO2 intercooling</t>
  </si>
  <si>
    <t>$T_{\text{in,hot3}}$</t>
  </si>
  <si>
    <t>Tin_hot4</t>
  </si>
  <si>
    <t xml:space="preserve"> Temperature inlet second CO2 intercooling</t>
  </si>
  <si>
    <t>$T_{\text{in,hot4}}$</t>
  </si>
  <si>
    <t>Tin_hot5</t>
  </si>
  <si>
    <t xml:space="preserve"> Temperature inlet rWGS product cooling</t>
  </si>
  <si>
    <t>$T_{\text{in,hot5}}$</t>
  </si>
  <si>
    <t>Tin_hot6</t>
  </si>
  <si>
    <t>$T_{\text{in,hot6}}$</t>
  </si>
  <si>
    <t>Tin_hot7</t>
  </si>
  <si>
    <t xml:space="preserve"> Temperature inlet of recycling compression intercooling</t>
  </si>
  <si>
    <t>$T_{\text{in,hot7}}$</t>
  </si>
  <si>
    <t>Tin_hot8</t>
  </si>
  <si>
    <t>$T_{\text{in,hot8}}$</t>
  </si>
  <si>
    <t>Tout_cold1</t>
  </si>
  <si>
    <t xml:space="preserve"> Temperature outlet rWGS feed preheating</t>
  </si>
  <si>
    <t>$T_{\text{out,cold1}}$</t>
  </si>
  <si>
    <t>Tout_cold2</t>
  </si>
  <si>
    <t xml:space="preserve"> Temperature outlet of rWGS endothermic reactor</t>
  </si>
  <si>
    <t>$T_{\text{out,cold2}}$</t>
  </si>
  <si>
    <t>Tout_hot1</t>
  </si>
  <si>
    <t xml:space="preserve"> Temperature outlet first hydrogen intercooling</t>
  </si>
  <si>
    <t>$T_{\text{out,hot1}}$</t>
  </si>
  <si>
    <t>Tout_hot2</t>
  </si>
  <si>
    <t xml:space="preserve"> Temperature outlet second hydrogen intercooling</t>
  </si>
  <si>
    <t>$T_{\text{out,hot2}}$</t>
  </si>
  <si>
    <t>Tout_hot3</t>
  </si>
  <si>
    <t xml:space="preserve"> Temperature outlet second CO2 intercooling</t>
  </si>
  <si>
    <t>$T_{\text{out,hot3}}$</t>
  </si>
  <si>
    <t>Tout_hot4</t>
  </si>
  <si>
    <t>$T_{\text{out,hot4}}$</t>
  </si>
  <si>
    <t>Tout_hot5</t>
  </si>
  <si>
    <t xml:space="preserve"> Temperature outlet rWGS product cooling</t>
  </si>
  <si>
    <t>$T_{\text{out,hot5}}$</t>
  </si>
  <si>
    <t>Tout_hot6</t>
  </si>
  <si>
    <t>$T_{\text{out,hot6}}$</t>
  </si>
  <si>
    <t>Tout_hot7</t>
  </si>
  <si>
    <t xml:space="preserve"> Temperature outlet of recycling compression intercooling</t>
  </si>
  <si>
    <t>$T_{\text{out,hot7}}$</t>
  </si>
  <si>
    <t>Tout_hot8</t>
  </si>
  <si>
    <t>$T_{\text{out,hot8}}$</t>
  </si>
  <si>
    <t>dtmin_gas</t>
  </si>
  <si>
    <t xml:space="preserve"> Minimum temperature difference contribution for gaseous streams</t>
  </si>
  <si>
    <t>$\Delta T_{\text{min,gas}}$</t>
  </si>
  <si>
    <t>dtmin_2ph</t>
  </si>
  <si>
    <t xml:space="preserve"> Minimum temperature difference contribution for phase change streams</t>
  </si>
  <si>
    <t>$\Delta T_{\text{min,2ph}}$</t>
  </si>
  <si>
    <t>H2_compr</t>
  </si>
  <si>
    <t xml:space="preserve"> Power consumption in two stage H2 compressor up to 5 bar</t>
  </si>
  <si>
    <t>$H_{2,\text{compr}}$</t>
  </si>
  <si>
    <t>CO2_compr</t>
  </si>
  <si>
    <t xml:space="preserve"> Power consumption in two stage CO compressor up to 5 bar</t>
  </si>
  <si>
    <t>$CO_{2,\text{compr}}$</t>
  </si>
  <si>
    <t>Recy_compr</t>
  </si>
  <si>
    <t xml:space="preserve"> Power consumption in two stage recompressor to 5 bar</t>
  </si>
  <si>
    <t>$Recy_{\text{compr}}$</t>
  </si>
  <si>
    <t>Syng_compr_to_FT</t>
  </si>
  <si>
    <t xml:space="preserve"> Power consumption in two stage syngas compression up to 41 bar (to Fischer–Tropsch plant)</t>
  </si>
  <si>
    <t>$Syng_{\text{compr→FT}}$</t>
  </si>
  <si>
    <t>Syng_compr_to_MeOH</t>
  </si>
  <si>
    <t xml:space="preserve"> Power consumption in two stage syngas compression up to 35 bar (to Methanol plant)</t>
  </si>
  <si>
    <t>$Syng_{\text{compr→MeOH}}$</t>
  </si>
  <si>
    <t>n</t>
  </si>
  <si>
    <t xml:space="preserve"> Lifetime of rWGS</t>
  </si>
  <si>
    <t>yr</t>
  </si>
  <si>
    <t>$n$</t>
  </si>
  <si>
    <t>i</t>
  </si>
  <si>
    <t xml:space="preserve"> Interest rate</t>
  </si>
  <si>
    <t>$i$</t>
  </si>
  <si>
    <t>CEPCI_2020</t>
  </si>
  <si>
    <t>$CEPCI_{2020}$</t>
  </si>
  <si>
    <t>CEPCI_2008</t>
  </si>
  <si>
    <t xml:space="preserve"> CEPCI 2008</t>
  </si>
  <si>
    <t>$CEPCI_{2008}$</t>
  </si>
  <si>
    <t>Cinv2_rWGS_spec</t>
  </si>
  <si>
    <t xml:space="preserve"> Investment cost of reverse water-gas shift unit</t>
  </si>
  <si>
    <t>$C_{inv2,\text{rWGS,spec}}$</t>
  </si>
  <si>
    <t>Syngas_output_kg</t>
  </si>
  <si>
    <t xml:space="preserve"> Mass flow rate of syngas production</t>
  </si>
  <si>
    <t>$Syngas_{\text{output,kg}}$</t>
  </si>
  <si>
    <t xml:space="preserve"> Energy flow rate of syngas production. Uncomment if the gas is used to supply a furnace</t>
  </si>
  <si>
    <t>$Syngas_{\text{output,kW}}$</t>
  </si>
  <si>
    <t>Power_rWGS</t>
  </si>
  <si>
    <t xml:space="preserve"> Power consumption in the compression of the RWGS reactants up to 5 bar</t>
  </si>
  <si>
    <t>$Power_{\text{rWGS}}$</t>
  </si>
  <si>
    <t>Annuity</t>
  </si>
  <si>
    <t xml:space="preserve"> Annualization factor</t>
  </si>
  <si>
    <t>$Annuity$</t>
  </si>
  <si>
    <t>heat_costing</t>
  </si>
  <si>
    <t xml:space="preserve"> Preheating from 450 °C to 750 °C corresponds to only 40% of preheating from 30C to 750C</t>
  </si>
  <si>
    <t>kWth</t>
  </si>
  <si>
    <t>$heat_{\text{costing}}$</t>
  </si>
  <si>
    <t>Cinv2_rWGS</t>
  </si>
  <si>
    <t xml:space="preserve"> Investment cost of rWGS</t>
  </si>
  <si>
    <t>$C_{inv2,\text{rWGS}}$</t>
  </si>
  <si>
    <t>5029+2880</t>
  </si>
  <si>
    <t>1409+1011</t>
  </si>
  <si>
    <t>718.3+1027</t>
  </si>
  <si>
    <t>4772+4670</t>
  </si>
  <si>
    <t>4489+4203</t>
  </si>
  <si>
    <t>ELECTRICITY</t>
  </si>
  <si>
    <t>Electricity</t>
  </si>
  <si>
    <t>WATER</t>
  </si>
  <si>
    <t>Water</t>
  </si>
  <si>
    <t>MASS</t>
  </si>
  <si>
    <t>bar</t>
  </si>
  <si>
    <t>(L)</t>
  </si>
  <si>
    <t>MASSFRAC:H2O[1]</t>
  </si>
  <si>
    <t>CO2</t>
  </si>
  <si>
    <t>Hydrogen</t>
  </si>
  <si>
    <t>Syngas_rWGS</t>
  </si>
  <si>
    <t>rWGS</t>
  </si>
  <si>
    <t>in</t>
  </si>
  <si>
    <t>out</t>
  </si>
  <si>
    <t>q_rWGS_hot1</t>
  </si>
  <si>
    <t>Hot</t>
  </si>
  <si>
    <t>q_rWGS_hot2</t>
  </si>
  <si>
    <t>q_rWGS_hot3</t>
  </si>
  <si>
    <t>q_rWGS_hot4</t>
  </si>
  <si>
    <t>q_rWGS_hot5</t>
  </si>
  <si>
    <t>q_rWGS_hot6</t>
  </si>
  <si>
    <t>q_rWGS_hot7</t>
  </si>
  <si>
    <t>q_rWGS_hot8</t>
  </si>
  <si>
    <t>q_rWGS_cold1</t>
  </si>
  <si>
    <t>q_rWGS_cold2</t>
  </si>
  <si>
    <t>Electricity consumption for compression</t>
  </si>
  <si>
    <t>Water condensate</t>
  </si>
  <si>
    <t>CO2 inlet</t>
  </si>
  <si>
    <t>Hydrogen inlet</t>
  </si>
  <si>
    <t>Syngas as output of the WGS</t>
  </si>
  <si>
    <t>°C</t>
  </si>
  <si>
    <t>(G)</t>
  </si>
  <si>
    <t>MOLEFRAC:CH4[4.18%]&amp;H2O[1.10%]&amp;CO[31.57%]&amp;H2[63.14%]</t>
  </si>
  <si>
    <t>MASSFRAC:C02[1]</t>
  </si>
  <si>
    <t>MASSFRAC:H2[1]</t>
  </si>
  <si>
    <t>Syngas_output_kw</t>
  </si>
  <si>
    <t>1*Syngas_ouput</t>
  </si>
  <si>
    <t>Syngas_ouput*LHV_syngas/3600</t>
  </si>
  <si>
    <t>H2_compr+CO2_compr+Recy_compr</t>
  </si>
  <si>
    <t>(i*(1+i)^n)/((1+i)^n-1)</t>
  </si>
  <si>
    <t>Cinv2_rWGS_spec*heat_costing*(CEPCI_2020/CEPCI_2008)*Annuity</t>
  </si>
  <si>
    <t xml:space="preserve"> 2020 CEPCI</t>
  </si>
  <si>
    <t>kJ/kgK</t>
  </si>
  <si>
    <t>K</t>
  </si>
  <si>
    <t>kW/m2K</t>
  </si>
  <si>
    <t>No</t>
  </si>
  <si>
    <t>Yes</t>
  </si>
  <si>
    <t>DEFAULT</t>
  </si>
  <si>
    <t>Cold</t>
  </si>
  <si>
    <t xml:space="preserve"> Heat duty hydrogen first compression intercooling, only use if low pressure electrolysis SOEC</t>
  </si>
  <si>
    <t xml:space="preserve"> Heat duty CO2 first compression intercooling, low pressure CO2 - not compressed</t>
  </si>
  <si>
    <t>eur/year</t>
  </si>
  <si>
    <t>eur/kWth</t>
  </si>
  <si>
    <t>rWGS_Reactor</t>
  </si>
  <si>
    <t>Asset</t>
  </si>
  <si>
    <t>Refractory Reactor</t>
  </si>
  <si>
    <t>Lifetime</t>
  </si>
  <si>
    <t>year</t>
  </si>
  <si>
    <t xml:space="preserve"> Investment cost of rWGS (2020)</t>
  </si>
  <si>
    <t>0.4*Q_cold1+Q_cold2</t>
  </si>
  <si>
    <t xml:space="preserve"> Specific investment cost </t>
  </si>
  <si>
    <t>Specific investment cost</t>
  </si>
  <si>
    <t>CEPCI 2008</t>
  </si>
  <si>
    <t>@Florez-Orrego et al</t>
  </si>
  <si>
    <t>The rWGS unit converts CO2​ and H2​ into a synthesis gas (CO+H2​) via a high-temperature endothermic reaction (750°C).</t>
  </si>
  <si>
    <t>The unit interfaces with the CO2​ capture and Hydrogen production layers. It outputs a syngas tailored for downstream chemical synthesis and a water byproduct.</t>
  </si>
  <si>
    <t>A full refractory reactor (asset) is required for cost calculation.</t>
  </si>
  <si>
    <t>There are 6 intercooling hot streams, 2 hot streams for product cooling and 2 cold streams for preheating and to provide heat to the endothermic reaction.</t>
  </si>
  <si>
    <t>ReversWGS</t>
  </si>
  <si>
    <t>1. System Overview</t>
  </si>
  <si>
    <t>2. Mass Balance &amp; Connectors</t>
  </si>
  <si>
    <t>3. Thermal Profile &amp; Heat Streams</t>
  </si>
  <si>
    <t>4. Equipment &amp; Economics</t>
  </si>
  <si>
    <t xml:space="preserve"> Energy flow rate of syngas production</t>
  </si>
  <si>
    <t>EPFL IPESE research group</t>
  </si>
  <si>
    <t>[1] Hysys Model, and Impact of the reverse water-gas shift operating conditions on the Power-to-Liquid fuel production cost - Adelung, and Fischer–Tropsch Synthesis as the Key for Decentralized Sustainable Kerosene Production - Meurer;
[2] Adelung, S., Maier, S., &amp; Dietrich, R. U. (2021). Impact of the reverse water-gas shift operating conditions on the Power-to-Liquid process efficiency. Sustainable Energy Technologies and Assessments, 43, 100897;
[3] Samimi, F., Hamedi, N., &amp; Rahimpour, M. R. (2019). Green methanol production process from indirect CO2 conversion: RWGS reactor versus RWGS membrane reactor. Journal of environmental chemical engineering, 7(1), 102813.</t>
  </si>
  <si>
    <t xml:space="preserve"> Heat duty of rWGS product subcooling</t>
  </si>
  <si>
    <t>The Reverse Water-Gas Shift (rWGS) unit converts low-pressure carbon dioxide (CO2) and hydrogen (H2) into synthesis gas (syngas) and a water byproduct.</t>
  </si>
  <si>
    <t>The core process is a high-temperature endothermic reactor operating at 750°C. To maximize efficiency, the system utilizes a high-capacity recuperative heat exchange network that recovers thermal energy from the hot product gas to preheat incoming reactants.</t>
  </si>
  <si>
    <t>• Inputs: CO2 and H2 at 30°C, 1 bar.</t>
  </si>
  <si>
    <t>Advanced heat recovery significantly reduces external heating requirements. The thermal duty breakdown is as follows:</t>
  </si>
  <si>
    <t>CAPEX is calculated based on 'Costing Heat,' which aggregates the reactor duty and 40% of the primary preheating duty to reflect high-alloy material costs.</t>
  </si>
  <si>
    <t>5. Technical Summary Table</t>
  </si>
  <si>
    <t>6. 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</si>
</sst>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rgb="FFFF0000"/>
      <name val="Calibri"/>
      <family val="2"/>
      <scheme val="minor"/>
    </font>
    <font>
      <b/>
      <sz val="11"/>
      <color theme="1"/>
      <name val="Calibri"/>
      <family val="2"/>
    </font>
    <font>
      <sz val="11"/>
      <color theme="1"/>
      <name val="Calibri"/>
      <family val="2"/>
    </font>
    <font>
      <sz val="11"/>
      <color rgb="FF000000"/>
      <name val="Calibri"/>
      <family val="2"/>
    </font>
    <font>
      <b/>
      <sz val="11"/>
      <color rgb="FFFF0000"/>
      <name val="Calibri"/>
      <family val="2"/>
    </font>
    <font>
      <sz val="11"/>
      <color rgb="FF000000"/>
      <name val="Calibri"/>
      <family val="2"/>
      <scheme val="minor"/>
    </font>
    <font>
      <sz val="11"/>
      <color theme="1"/>
      <name val="Calibri"/>
      <family val="2"/>
      <scheme val="minor"/>
    </font>
  </fonts>
  <fills count="13">
    <fill>
      <patternFill patternType="none"/>
    </fill>
    <fill>
      <patternFill patternType="gray125"/>
    </fill>
    <fill>
      <patternFill patternType="solid">
        <fgColor rgb="FFBDD6EE"/>
        <bgColor rgb="FFBDD6EE"/>
      </patternFill>
    </fill>
    <fill>
      <patternFill patternType="solid">
        <fgColor theme="0"/>
        <bgColor theme="0"/>
      </patternFill>
    </fill>
    <fill>
      <patternFill patternType="solid">
        <fgColor rgb="FFFFFFFF"/>
        <bgColor rgb="FFFFFFFF"/>
      </patternFill>
    </fill>
    <fill>
      <patternFill patternType="solid">
        <fgColor rgb="FF9CC2E5"/>
        <bgColor rgb="FF9CC2E5"/>
      </patternFill>
    </fill>
    <fill>
      <patternFill patternType="solid">
        <fgColor theme="0"/>
        <bgColor indexed="64"/>
      </patternFill>
    </fill>
    <fill>
      <patternFill patternType="solid">
        <fgColor theme="2"/>
        <bgColor indexed="64"/>
      </patternFill>
    </fill>
    <fill>
      <patternFill patternType="solid">
        <fgColor theme="2"/>
        <bgColor rgb="FFFFFFFF"/>
      </patternFill>
    </fill>
    <fill>
      <patternFill patternType="solid">
        <fgColor theme="5" tint="0.79998168889431442"/>
        <bgColor theme="0"/>
      </patternFill>
    </fill>
    <fill>
      <patternFill patternType="solid">
        <fgColor theme="5" tint="0.79998168889431442"/>
        <bgColor indexed="64"/>
      </patternFill>
    </fill>
    <fill>
      <patternFill patternType="solid">
        <fgColor theme="5" tint="0.79998168889431442"/>
        <bgColor rgb="FFFFFFFF"/>
      </patternFill>
    </fill>
    <fill>
      <patternFill patternType="solid">
        <fgColor rgb="FFDDEBF7"/>
        <bgColor indexed="64"/>
      </patternFill>
    </fill>
  </fills>
  <borders count="89">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FFFFFF"/>
      </left>
      <right style="medium">
        <color rgb="FFFFFFFF"/>
      </right>
      <top style="medium">
        <color rgb="FFFFFFFF"/>
      </top>
      <bottom style="medium">
        <color rgb="FFFFFFFF"/>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thin">
        <color rgb="FFFFFFFF"/>
      </left>
      <right style="thin">
        <color rgb="FFFFFFFF"/>
      </right>
      <top/>
      <bottom style="thin">
        <color rgb="FFFFFFFF"/>
      </bottom>
      <diagonal/>
    </border>
    <border>
      <left/>
      <right/>
      <top/>
      <bottom/>
      <diagonal/>
    </border>
    <border>
      <left/>
      <right/>
      <top/>
      <bottom/>
      <diagonal/>
    </border>
    <border>
      <left/>
      <right style="medium">
        <color rgb="FFFFFFFF"/>
      </right>
      <top/>
      <bottom style="medium">
        <color rgb="FFFFFFFF"/>
      </bottom>
      <diagonal/>
    </border>
    <border>
      <left style="thin">
        <color rgb="FFFFFFFF"/>
      </left>
      <right style="thin">
        <color rgb="FFFFFFFF"/>
      </right>
      <top style="thin">
        <color rgb="FFFFFFFF"/>
      </top>
      <bottom/>
      <diagonal/>
    </border>
    <border>
      <left/>
      <right/>
      <top/>
      <bottom/>
      <diagonal/>
    </border>
    <border>
      <left style="medium">
        <color rgb="FFFFFFFF"/>
      </left>
      <right style="medium">
        <color rgb="FFFFFFFF"/>
      </right>
      <top style="medium">
        <color rgb="FFFFFFFF"/>
      </top>
      <bottom/>
      <diagonal/>
    </border>
    <border>
      <left/>
      <right style="medium">
        <color rgb="FFFFFFFF"/>
      </right>
      <top style="medium">
        <color rgb="FFFFFFFF"/>
      </top>
      <bottom style="medium">
        <color rgb="FFFFFFFF"/>
      </bottom>
      <diagonal/>
    </border>
    <border>
      <left style="thin">
        <color rgb="FFFFFFFF"/>
      </left>
      <right style="thin">
        <color rgb="FFFFFFFF"/>
      </right>
      <top/>
      <bottom/>
      <diagonal/>
    </border>
    <border>
      <left/>
      <right/>
      <top/>
      <bottom/>
      <diagonal/>
    </border>
    <border>
      <left/>
      <right/>
      <top/>
      <bottom/>
      <diagonal/>
    </border>
    <border>
      <left style="medium">
        <color rgb="FFFFFFFF"/>
      </left>
      <right style="medium">
        <color rgb="FFFFFFFF"/>
      </right>
      <top/>
      <bottom style="medium">
        <color rgb="FFFFFFFF"/>
      </bottom>
      <diagonal/>
    </border>
    <border>
      <left style="thin">
        <color rgb="FFFFFFFF"/>
      </left>
      <right/>
      <top style="thin">
        <color rgb="FFFFFFFF"/>
      </top>
      <bottom/>
      <diagonal/>
    </border>
    <border>
      <left/>
      <right/>
      <top style="medium">
        <color rgb="FFFFFFFF"/>
      </top>
      <bottom style="medium">
        <color rgb="FFFFFFFF"/>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FFFFFF"/>
      </left>
      <right style="medium">
        <color rgb="FFFFFFFF"/>
      </right>
      <top/>
      <bottom style="medium">
        <color rgb="FFFFFFFF"/>
      </bottom>
      <diagonal/>
    </border>
    <border>
      <left/>
      <right style="medium">
        <color rgb="FFFFFFFF"/>
      </right>
      <top style="medium">
        <color rgb="FFFFFFFF"/>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diagonal/>
    </border>
    <border>
      <left style="medium">
        <color rgb="FFFFFFFF"/>
      </left>
      <right style="medium">
        <color rgb="FFFFFFFF"/>
      </right>
      <top/>
      <bottom style="medium">
        <color rgb="FFFFFFFF"/>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diagonal/>
    </border>
    <border>
      <left style="medium">
        <color rgb="FFFFFFFF"/>
      </left>
      <right style="medium">
        <color rgb="FFFFFFFF"/>
      </right>
      <top style="medium">
        <color rgb="FFFFFFFF"/>
      </top>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indexed="64"/>
      </bottom>
      <diagonal/>
    </border>
    <border>
      <left style="medium">
        <color indexed="64"/>
      </left>
      <right/>
      <top/>
      <bottom/>
      <diagonal/>
    </border>
    <border>
      <left/>
      <right style="medium">
        <color indexed="64"/>
      </right>
      <top/>
      <bottom/>
      <diagonal/>
    </border>
    <border>
      <left/>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style="medium">
        <color indexed="64"/>
      </bottom>
      <diagonal/>
    </border>
    <border>
      <left style="medium">
        <color rgb="FF000000"/>
      </left>
      <right style="thin">
        <color rgb="FFCCCCCC"/>
      </right>
      <top/>
      <bottom/>
      <diagonal/>
    </border>
    <border>
      <left style="thin">
        <color rgb="FFCCCCCC"/>
      </left>
      <right style="thin">
        <color rgb="FFCCCCCC"/>
      </right>
      <top/>
      <bottom/>
      <diagonal/>
    </border>
    <border>
      <left style="thin">
        <color rgb="FFCCCCCC"/>
      </left>
      <right style="thin">
        <color rgb="FFCCCCCC"/>
      </right>
      <top style="medium">
        <color rgb="FF000000"/>
      </top>
      <bottom/>
      <diagonal/>
    </border>
    <border>
      <left style="thin">
        <color rgb="FFCCCCCC"/>
      </left>
      <right/>
      <top style="medium">
        <color rgb="FF000000"/>
      </top>
      <bottom/>
      <diagonal/>
    </border>
    <border>
      <left/>
      <right/>
      <top style="medium">
        <color indexed="64"/>
      </top>
      <bottom/>
      <diagonal/>
    </border>
    <border>
      <left/>
      <right/>
      <top/>
      <bottom style="medium">
        <color indexed="64"/>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rgb="FF000000"/>
      </right>
      <top style="thin">
        <color theme="0" tint="-0.14999847407452621"/>
      </top>
      <bottom style="thin">
        <color theme="0" tint="-0.14999847407452621"/>
      </bottom>
      <diagonal/>
    </border>
    <border>
      <left/>
      <right style="thin">
        <color theme="0" tint="-0.14999847407452621"/>
      </right>
      <top style="thin">
        <color theme="0" tint="-0.14999847407452621"/>
      </top>
      <bottom style="medium">
        <color rgb="FF000000"/>
      </bottom>
      <diagonal/>
    </border>
    <border>
      <left style="thin">
        <color theme="0" tint="-0.14999847407452621"/>
      </left>
      <right style="thin">
        <color theme="0" tint="-0.14999847407452621"/>
      </right>
      <top style="thin">
        <color theme="0" tint="-0.14999847407452621"/>
      </top>
      <bottom style="medium">
        <color rgb="FF000000"/>
      </bottom>
      <diagonal/>
    </border>
    <border>
      <left style="thin">
        <color theme="0" tint="-0.14999847407452621"/>
      </left>
      <right style="medium">
        <color rgb="FF000000"/>
      </right>
      <top style="thin">
        <color theme="0" tint="-0.14999847407452621"/>
      </top>
      <bottom style="medium">
        <color rgb="FF000000"/>
      </bottom>
      <diagonal/>
    </border>
    <border>
      <left/>
      <right style="thin">
        <color theme="0" tint="-0.14999847407452621"/>
      </right>
      <top style="medium">
        <color rgb="FF000000"/>
      </top>
      <bottom style="thin">
        <color theme="0" tint="-0.14999847407452621"/>
      </bottom>
      <diagonal/>
    </border>
    <border>
      <left style="thin">
        <color theme="0" tint="-0.14999847407452621"/>
      </left>
      <right style="thin">
        <color theme="0" tint="-0.14999847407452621"/>
      </right>
      <top style="medium">
        <color rgb="FF000000"/>
      </top>
      <bottom style="thin">
        <color theme="0" tint="-0.14999847407452621"/>
      </bottom>
      <diagonal/>
    </border>
    <border>
      <left style="thin">
        <color theme="0" tint="-0.14999847407452621"/>
      </left>
      <right style="medium">
        <color rgb="FF000000"/>
      </right>
      <top style="medium">
        <color rgb="FF000000"/>
      </top>
      <bottom style="thin">
        <color theme="0" tint="-0.14999847407452621"/>
      </bottom>
      <diagonal/>
    </border>
    <border>
      <left/>
      <right style="thin">
        <color theme="0" tint="-0.14999847407452621"/>
      </right>
      <top style="medium">
        <color rgb="FF000000"/>
      </top>
      <bottom style="medium">
        <color rgb="FF000000"/>
      </bottom>
      <diagonal/>
    </border>
    <border>
      <left style="thin">
        <color theme="0" tint="-0.14999847407452621"/>
      </left>
      <right style="thin">
        <color theme="0" tint="-0.14999847407452621"/>
      </right>
      <top style="medium">
        <color rgb="FF000000"/>
      </top>
      <bottom style="medium">
        <color rgb="FF000000"/>
      </bottom>
      <diagonal/>
    </border>
    <border>
      <left style="thin">
        <color theme="0" tint="-0.14999847407452621"/>
      </left>
      <right style="medium">
        <color rgb="FF000000"/>
      </right>
      <top style="medium">
        <color rgb="FF000000"/>
      </top>
      <bottom style="medium">
        <color rgb="FF000000"/>
      </bottom>
      <diagonal/>
    </border>
    <border>
      <left style="medium">
        <color indexed="64"/>
      </left>
      <right style="thin">
        <color theme="0" tint="-0.14999847407452621"/>
      </right>
      <top style="medium">
        <color indexed="64"/>
      </top>
      <bottom style="thin">
        <color theme="0" tint="-0.14999847407452621"/>
      </bottom>
      <diagonal/>
    </border>
    <border>
      <left style="thin">
        <color theme="0" tint="-0.14999847407452621"/>
      </left>
      <right style="thin">
        <color theme="0" tint="-0.14999847407452621"/>
      </right>
      <top style="medium">
        <color indexed="64"/>
      </top>
      <bottom style="thin">
        <color theme="0" tint="-0.14999847407452621"/>
      </bottom>
      <diagonal/>
    </border>
    <border>
      <left style="thin">
        <color theme="0" tint="-0.14999847407452621"/>
      </left>
      <right style="medium">
        <color indexed="64"/>
      </right>
      <top style="medium">
        <color indexed="64"/>
      </top>
      <bottom style="thin">
        <color theme="0" tint="-0.14999847407452621"/>
      </bottom>
      <diagonal/>
    </border>
    <border>
      <left style="medium">
        <color indexed="64"/>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indexed="64"/>
      </right>
      <top style="thin">
        <color theme="0" tint="-0.14999847407452621"/>
      </top>
      <bottom style="thin">
        <color theme="0" tint="-0.14999847407452621"/>
      </bottom>
      <diagonal/>
    </border>
    <border>
      <left style="medium">
        <color indexed="64"/>
      </left>
      <right style="thin">
        <color theme="0" tint="-0.14999847407452621"/>
      </right>
      <top style="thin">
        <color theme="0" tint="-0.14999847407452621"/>
      </top>
      <bottom style="medium">
        <color indexed="64"/>
      </bottom>
      <diagonal/>
    </border>
    <border>
      <left style="thin">
        <color theme="0" tint="-0.14999847407452621"/>
      </left>
      <right style="thin">
        <color theme="0" tint="-0.14999847407452621"/>
      </right>
      <top style="thin">
        <color theme="0" tint="-0.14999847407452621"/>
      </top>
      <bottom style="medium">
        <color indexed="64"/>
      </bottom>
      <diagonal/>
    </border>
    <border>
      <left style="thin">
        <color theme="0" tint="-0.14999847407452621"/>
      </left>
      <right style="medium">
        <color indexed="64"/>
      </right>
      <top style="thin">
        <color theme="0" tint="-0.14999847407452621"/>
      </top>
      <bottom style="medium">
        <color indexed="64"/>
      </bottom>
      <diagonal/>
    </border>
    <border>
      <left style="thick">
        <color indexed="64"/>
      </left>
      <right style="thick">
        <color indexed="64"/>
      </right>
      <top style="thick">
        <color indexed="64"/>
      </top>
      <bottom style="thick">
        <color indexed="64"/>
      </bottom>
      <diagonal/>
    </border>
  </borders>
  <cellStyleXfs count="3">
    <xf numFmtId="0" fontId="0" fillId="0" borderId="0"/>
    <xf numFmtId="0" fontId="18" fillId="0" borderId="46"/>
    <xf numFmtId="0" fontId="5" fillId="0" borderId="46"/>
  </cellStyleXfs>
  <cellXfs count="274">
    <xf numFmtId="0" fontId="0" fillId="0" borderId="0" xfId="0"/>
    <xf numFmtId="0" fontId="14" fillId="3" borderId="4" xfId="0" applyFont="1" applyFill="1" applyBorder="1" applyAlignment="1">
      <alignment horizontal="center" vertical="center"/>
    </xf>
    <xf numFmtId="0" fontId="14" fillId="3" borderId="5" xfId="0" applyFont="1" applyFill="1" applyBorder="1" applyAlignment="1">
      <alignment horizontal="left" vertical="center"/>
    </xf>
    <xf numFmtId="0" fontId="14" fillId="3" borderId="7" xfId="0" applyFont="1" applyFill="1" applyBorder="1"/>
    <xf numFmtId="0" fontId="14" fillId="3" borderId="3" xfId="0" applyFont="1" applyFill="1" applyBorder="1"/>
    <xf numFmtId="0" fontId="11" fillId="0" borderId="8" xfId="0" applyFont="1" applyBorder="1"/>
    <xf numFmtId="0" fontId="11" fillId="4" borderId="8" xfId="0" applyFont="1" applyFill="1" applyBorder="1"/>
    <xf numFmtId="0" fontId="13" fillId="4" borderId="8" xfId="0" applyFont="1" applyFill="1" applyBorder="1" applyAlignment="1">
      <alignment horizontal="center"/>
    </xf>
    <xf numFmtId="0" fontId="11" fillId="0" borderId="13" xfId="0" applyFont="1" applyBorder="1"/>
    <xf numFmtId="0" fontId="14" fillId="3" borderId="14" xfId="0" applyFont="1" applyFill="1" applyBorder="1"/>
    <xf numFmtId="0" fontId="14" fillId="3" borderId="15" xfId="0" applyFont="1" applyFill="1" applyBorder="1"/>
    <xf numFmtId="0" fontId="12" fillId="0" borderId="17" xfId="0" applyFont="1" applyBorder="1"/>
    <xf numFmtId="0" fontId="11" fillId="0" borderId="17" xfId="0" applyFont="1" applyBorder="1"/>
    <xf numFmtId="0" fontId="14" fillId="3" borderId="18" xfId="0" applyFont="1" applyFill="1" applyBorder="1"/>
    <xf numFmtId="0" fontId="14" fillId="4" borderId="19" xfId="0" applyFont="1" applyFill="1" applyBorder="1"/>
    <xf numFmtId="0" fontId="11" fillId="4" borderId="20" xfId="0" applyFont="1" applyFill="1" applyBorder="1"/>
    <xf numFmtId="0" fontId="14" fillId="3" borderId="13" xfId="0" applyFont="1" applyFill="1" applyBorder="1"/>
    <xf numFmtId="0" fontId="14" fillId="3" borderId="21" xfId="0" applyFont="1" applyFill="1" applyBorder="1"/>
    <xf numFmtId="0" fontId="14" fillId="3" borderId="17" xfId="0" applyFont="1" applyFill="1" applyBorder="1"/>
    <xf numFmtId="0" fontId="14" fillId="3" borderId="25" xfId="0" applyFont="1" applyFill="1" applyBorder="1"/>
    <xf numFmtId="0" fontId="14" fillId="3" borderId="19" xfId="0" applyFont="1" applyFill="1" applyBorder="1"/>
    <xf numFmtId="0" fontId="11" fillId="0" borderId="19" xfId="0" applyFont="1" applyBorder="1"/>
    <xf numFmtId="0" fontId="11" fillId="4" borderId="19" xfId="0" applyFont="1" applyFill="1" applyBorder="1"/>
    <xf numFmtId="0" fontId="16" fillId="4" borderId="1" xfId="0" applyFont="1" applyFill="1" applyBorder="1" applyAlignment="1">
      <alignment horizontal="left"/>
    </xf>
    <xf numFmtId="0" fontId="14" fillId="4" borderId="1" xfId="0" applyFont="1" applyFill="1" applyBorder="1"/>
    <xf numFmtId="0" fontId="14" fillId="4" borderId="1" xfId="0" applyFont="1" applyFill="1" applyBorder="1" applyAlignment="1">
      <alignment horizontal="left"/>
    </xf>
    <xf numFmtId="0" fontId="11" fillId="4" borderId="1" xfId="0" applyFont="1" applyFill="1" applyBorder="1" applyAlignment="1">
      <alignment horizontal="left"/>
    </xf>
    <xf numFmtId="0" fontId="11" fillId="4" borderId="1" xfId="0" applyFont="1" applyFill="1" applyBorder="1"/>
    <xf numFmtId="0" fontId="12" fillId="4" borderId="1" xfId="0" applyFont="1" applyFill="1" applyBorder="1"/>
    <xf numFmtId="0" fontId="10" fillId="4" borderId="17" xfId="0" applyFont="1" applyFill="1" applyBorder="1"/>
    <xf numFmtId="0" fontId="11" fillId="4" borderId="17" xfId="0" applyFont="1" applyFill="1" applyBorder="1"/>
    <xf numFmtId="0" fontId="14" fillId="4" borderId="17" xfId="0" applyFont="1" applyFill="1" applyBorder="1"/>
    <xf numFmtId="0" fontId="10" fillId="4" borderId="1" xfId="0" applyFont="1" applyFill="1" applyBorder="1"/>
    <xf numFmtId="0" fontId="14" fillId="4" borderId="30" xfId="0" applyFont="1" applyFill="1" applyBorder="1" applyAlignment="1">
      <alignment horizontal="center"/>
    </xf>
    <xf numFmtId="0" fontId="14" fillId="4" borderId="24" xfId="0" applyFont="1" applyFill="1" applyBorder="1" applyAlignment="1">
      <alignment horizontal="center"/>
    </xf>
    <xf numFmtId="0" fontId="14" fillId="4" borderId="31" xfId="0" applyFont="1" applyFill="1" applyBorder="1" applyAlignment="1">
      <alignment horizontal="center"/>
    </xf>
    <xf numFmtId="0" fontId="14" fillId="4" borderId="19" xfId="0" applyFont="1" applyFill="1" applyBorder="1" applyAlignment="1">
      <alignment horizontal="center"/>
    </xf>
    <xf numFmtId="0" fontId="16" fillId="4" borderId="20" xfId="0" applyFont="1" applyFill="1" applyBorder="1" applyAlignment="1">
      <alignment horizontal="left"/>
    </xf>
    <xf numFmtId="0" fontId="14" fillId="4" borderId="8" xfId="0" applyFont="1" applyFill="1" applyBorder="1" applyAlignment="1">
      <alignment horizontal="center"/>
    </xf>
    <xf numFmtId="0" fontId="13" fillId="4" borderId="19" xfId="0" applyFont="1" applyFill="1" applyBorder="1" applyAlignment="1">
      <alignment horizontal="center" vertical="center" wrapText="1"/>
    </xf>
    <xf numFmtId="0" fontId="14" fillId="3" borderId="8" xfId="0" applyFont="1" applyFill="1" applyBorder="1" applyAlignment="1">
      <alignment horizontal="center"/>
    </xf>
    <xf numFmtId="0" fontId="16" fillId="3" borderId="8" xfId="0" applyFont="1" applyFill="1" applyBorder="1" applyAlignment="1">
      <alignment horizontal="left"/>
    </xf>
    <xf numFmtId="0" fontId="13" fillId="4" borderId="0" xfId="0" applyFont="1" applyFill="1" applyAlignment="1">
      <alignment horizontal="center"/>
    </xf>
    <xf numFmtId="0" fontId="14" fillId="3" borderId="6" xfId="0" applyFont="1" applyFill="1" applyBorder="1" applyAlignment="1">
      <alignment horizontal="center"/>
    </xf>
    <xf numFmtId="0" fontId="16" fillId="3" borderId="6" xfId="0" applyFont="1" applyFill="1" applyBorder="1" applyAlignment="1">
      <alignment horizontal="left"/>
    </xf>
    <xf numFmtId="0" fontId="14" fillId="3" borderId="4" xfId="0" applyFont="1" applyFill="1" applyBorder="1" applyAlignment="1">
      <alignment horizontal="center"/>
    </xf>
    <xf numFmtId="0" fontId="16" fillId="3" borderId="35" xfId="0" quotePrefix="1" applyFont="1" applyFill="1" applyBorder="1" applyAlignment="1">
      <alignment horizontal="left"/>
    </xf>
    <xf numFmtId="0" fontId="14" fillId="3" borderId="35" xfId="0" applyFont="1" applyFill="1" applyBorder="1" applyAlignment="1">
      <alignment horizontal="center"/>
    </xf>
    <xf numFmtId="0" fontId="14" fillId="3" borderId="3" xfId="0" applyFont="1" applyFill="1" applyBorder="1" applyAlignment="1">
      <alignment horizontal="center"/>
    </xf>
    <xf numFmtId="0" fontId="16" fillId="3" borderId="3" xfId="0" applyFont="1" applyFill="1" applyBorder="1" applyAlignment="1">
      <alignment horizontal="left"/>
    </xf>
    <xf numFmtId="0" fontId="16" fillId="3" borderId="24" xfId="0" applyFont="1" applyFill="1" applyBorder="1" applyAlignment="1">
      <alignment horizontal="left" vertical="center"/>
    </xf>
    <xf numFmtId="0" fontId="14" fillId="3" borderId="24" xfId="0" applyFont="1" applyFill="1" applyBorder="1" applyAlignment="1">
      <alignment horizontal="center"/>
    </xf>
    <xf numFmtId="0" fontId="16" fillId="3" borderId="8" xfId="0" quotePrefix="1" applyFont="1" applyFill="1" applyBorder="1" applyAlignment="1">
      <alignment horizontal="left"/>
    </xf>
    <xf numFmtId="0" fontId="16" fillId="3" borderId="8" xfId="0" applyFont="1" applyFill="1" applyBorder="1" applyAlignment="1">
      <alignment horizontal="left" vertical="center"/>
    </xf>
    <xf numFmtId="0" fontId="16" fillId="3" borderId="14" xfId="0" applyFont="1" applyFill="1" applyBorder="1" applyAlignment="1">
      <alignment horizontal="left" vertical="center"/>
    </xf>
    <xf numFmtId="0" fontId="16" fillId="3" borderId="15" xfId="0" applyFont="1" applyFill="1" applyBorder="1" applyAlignment="1">
      <alignment horizontal="left"/>
    </xf>
    <xf numFmtId="0" fontId="14" fillId="3" borderId="15" xfId="0" applyFont="1" applyFill="1" applyBorder="1" applyAlignment="1">
      <alignment horizontal="center"/>
    </xf>
    <xf numFmtId="0" fontId="14" fillId="3" borderId="15" xfId="0" applyFont="1" applyFill="1" applyBorder="1" applyAlignment="1">
      <alignment horizontal="left"/>
    </xf>
    <xf numFmtId="0" fontId="14" fillId="3" borderId="8" xfId="0" applyFont="1" applyFill="1" applyBorder="1" applyAlignment="1">
      <alignment horizontal="center" vertical="center"/>
    </xf>
    <xf numFmtId="0" fontId="14" fillId="3" borderId="16" xfId="0" applyFont="1" applyFill="1" applyBorder="1" applyAlignment="1">
      <alignment horizontal="center" vertical="center"/>
    </xf>
    <xf numFmtId="0" fontId="11" fillId="0" borderId="24" xfId="0" applyFont="1" applyBorder="1"/>
    <xf numFmtId="0" fontId="14" fillId="3" borderId="24" xfId="0" applyFont="1" applyFill="1" applyBorder="1" applyAlignment="1">
      <alignment horizontal="center" vertical="center"/>
    </xf>
    <xf numFmtId="0" fontId="16" fillId="3" borderId="24" xfId="0" applyFont="1" applyFill="1" applyBorder="1" applyAlignment="1">
      <alignment horizontal="left"/>
    </xf>
    <xf numFmtId="0" fontId="14" fillId="3" borderId="36" xfId="0" applyFont="1" applyFill="1" applyBorder="1" applyAlignment="1">
      <alignment horizontal="center"/>
    </xf>
    <xf numFmtId="0" fontId="14" fillId="3" borderId="20" xfId="0" applyFont="1" applyFill="1" applyBorder="1" applyAlignment="1">
      <alignment horizontal="center" vertical="center"/>
    </xf>
    <xf numFmtId="0" fontId="14" fillId="3" borderId="39" xfId="0" applyFont="1" applyFill="1" applyBorder="1" applyAlignment="1">
      <alignment horizontal="center"/>
    </xf>
    <xf numFmtId="0" fontId="16" fillId="3" borderId="5" xfId="0" quotePrefix="1" applyFont="1" applyFill="1" applyBorder="1" applyAlignment="1">
      <alignment horizontal="left"/>
    </xf>
    <xf numFmtId="0" fontId="14" fillId="3" borderId="22" xfId="0" applyFont="1" applyFill="1" applyBorder="1" applyAlignment="1">
      <alignment horizontal="center"/>
    </xf>
    <xf numFmtId="0" fontId="14" fillId="3" borderId="23" xfId="0" applyFont="1" applyFill="1" applyBorder="1" applyAlignment="1">
      <alignment horizontal="center"/>
    </xf>
    <xf numFmtId="0" fontId="16" fillId="3" borderId="14" xfId="0" quotePrefix="1" applyFont="1" applyFill="1" applyBorder="1" applyAlignment="1">
      <alignment horizontal="left"/>
    </xf>
    <xf numFmtId="0" fontId="14" fillId="4" borderId="4" xfId="0" applyFont="1" applyFill="1" applyBorder="1" applyAlignment="1">
      <alignment horizontal="center"/>
    </xf>
    <xf numFmtId="0" fontId="14" fillId="4" borderId="5" xfId="0" applyFont="1" applyFill="1" applyBorder="1" applyAlignment="1">
      <alignment horizontal="center"/>
    </xf>
    <xf numFmtId="0" fontId="14" fillId="4" borderId="3" xfId="0" applyFont="1" applyFill="1" applyBorder="1" applyAlignment="1">
      <alignment horizontal="center"/>
    </xf>
    <xf numFmtId="0" fontId="14" fillId="4" borderId="13" xfId="0" applyFont="1" applyFill="1" applyBorder="1" applyAlignment="1">
      <alignment horizontal="center" vertical="center"/>
    </xf>
    <xf numFmtId="0" fontId="14" fillId="4" borderId="16" xfId="0" applyFont="1" applyFill="1" applyBorder="1" applyAlignment="1">
      <alignment horizontal="center" vertical="center"/>
    </xf>
    <xf numFmtId="0" fontId="14" fillId="4" borderId="24" xfId="0" applyFont="1" applyFill="1" applyBorder="1" applyAlignment="1">
      <alignment horizontal="center" vertical="center"/>
    </xf>
    <xf numFmtId="0" fontId="16" fillId="4" borderId="0" xfId="0" applyFont="1" applyFill="1" applyAlignment="1">
      <alignment horizontal="left"/>
    </xf>
    <xf numFmtId="0" fontId="14" fillId="4" borderId="0" xfId="0" applyFont="1" applyFill="1" applyAlignment="1">
      <alignment horizontal="center"/>
    </xf>
    <xf numFmtId="0" fontId="14" fillId="4" borderId="6" xfId="0" applyFont="1" applyFill="1" applyBorder="1" applyAlignment="1">
      <alignment horizontal="center"/>
    </xf>
    <xf numFmtId="0" fontId="14" fillId="4" borderId="36" xfId="0" applyFont="1" applyFill="1" applyBorder="1" applyAlignment="1">
      <alignment horizontal="center"/>
    </xf>
    <xf numFmtId="0" fontId="14" fillId="4" borderId="47" xfId="0" applyFont="1" applyFill="1" applyBorder="1" applyAlignment="1">
      <alignment horizontal="center"/>
    </xf>
    <xf numFmtId="0" fontId="0" fillId="6" borderId="0" xfId="0" applyFill="1"/>
    <xf numFmtId="0" fontId="10" fillId="0" borderId="1" xfId="0" applyFont="1" applyBorder="1" applyAlignment="1">
      <alignment horizontal="left" vertical="top"/>
    </xf>
    <xf numFmtId="0" fontId="14" fillId="3" borderId="46" xfId="0" applyFont="1" applyFill="1" applyBorder="1" applyAlignment="1">
      <alignment horizontal="left" vertical="center"/>
    </xf>
    <xf numFmtId="0" fontId="0" fillId="7" borderId="0" xfId="0" applyFill="1"/>
    <xf numFmtId="0" fontId="13" fillId="4" borderId="19" xfId="0" applyFont="1" applyFill="1" applyBorder="1" applyAlignment="1">
      <alignment horizontal="center" vertical="center"/>
    </xf>
    <xf numFmtId="2" fontId="11" fillId="4" borderId="8" xfId="0" applyNumberFormat="1" applyFont="1" applyFill="1" applyBorder="1"/>
    <xf numFmtId="0" fontId="13" fillId="2" borderId="27" xfId="0" applyFont="1" applyFill="1" applyBorder="1" applyAlignment="1">
      <alignment horizontal="left" vertical="top"/>
    </xf>
    <xf numFmtId="0" fontId="13" fillId="2" borderId="32" xfId="0" applyFont="1" applyFill="1" applyBorder="1" applyAlignment="1">
      <alignment horizontal="left" vertical="top"/>
    </xf>
    <xf numFmtId="0" fontId="13" fillId="2" borderId="33" xfId="0" applyFont="1" applyFill="1" applyBorder="1" applyAlignment="1">
      <alignment horizontal="left" vertical="top" wrapText="1"/>
    </xf>
    <xf numFmtId="0" fontId="13" fillId="2" borderId="34" xfId="0" applyFont="1" applyFill="1" applyBorder="1" applyAlignment="1">
      <alignment horizontal="left" vertical="top" wrapText="1"/>
    </xf>
    <xf numFmtId="0" fontId="13" fillId="2" borderId="28" xfId="0" applyFont="1" applyFill="1" applyBorder="1" applyAlignment="1">
      <alignment horizontal="left" vertical="top"/>
    </xf>
    <xf numFmtId="0" fontId="13" fillId="2" borderId="37" xfId="0" applyFont="1" applyFill="1" applyBorder="1" applyAlignment="1">
      <alignment horizontal="left" vertical="top"/>
    </xf>
    <xf numFmtId="0" fontId="13" fillId="2" borderId="38" xfId="0" applyFont="1" applyFill="1" applyBorder="1" applyAlignment="1">
      <alignment horizontal="left" vertical="top"/>
    </xf>
    <xf numFmtId="0" fontId="13" fillId="2" borderId="41" xfId="0" applyFont="1" applyFill="1" applyBorder="1" applyAlignment="1">
      <alignment horizontal="left" vertical="top"/>
    </xf>
    <xf numFmtId="0" fontId="13" fillId="2" borderId="40" xfId="0" applyFont="1" applyFill="1" applyBorder="1" applyAlignment="1">
      <alignment horizontal="left" vertical="top"/>
    </xf>
    <xf numFmtId="0" fontId="14" fillId="2" borderId="41" xfId="0" applyFont="1" applyFill="1" applyBorder="1" applyAlignment="1">
      <alignment horizontal="left" vertical="top"/>
    </xf>
    <xf numFmtId="0" fontId="13" fillId="2" borderId="9" xfId="0" applyFont="1" applyFill="1" applyBorder="1" applyAlignment="1">
      <alignment horizontal="left" vertical="top"/>
    </xf>
    <xf numFmtId="0" fontId="13" fillId="2" borderId="10" xfId="0" applyFont="1" applyFill="1" applyBorder="1" applyAlignment="1">
      <alignment horizontal="left" vertical="top"/>
    </xf>
    <xf numFmtId="0" fontId="11" fillId="8" borderId="20" xfId="0" applyFont="1" applyFill="1" applyBorder="1"/>
    <xf numFmtId="0" fontId="11" fillId="8" borderId="26" xfId="0" applyFont="1" applyFill="1" applyBorder="1"/>
    <xf numFmtId="0" fontId="13" fillId="2" borderId="42" xfId="0" applyFont="1" applyFill="1" applyBorder="1" applyAlignment="1">
      <alignment horizontal="left" vertical="top"/>
    </xf>
    <xf numFmtId="0" fontId="13" fillId="2" borderId="48" xfId="0" applyFont="1" applyFill="1" applyBorder="1" applyAlignment="1">
      <alignment horizontal="left" vertical="top"/>
    </xf>
    <xf numFmtId="0" fontId="13" fillId="2" borderId="50" xfId="0" applyFont="1" applyFill="1" applyBorder="1" applyAlignment="1">
      <alignment horizontal="left" vertical="top"/>
    </xf>
    <xf numFmtId="0" fontId="14" fillId="8" borderId="49" xfId="0" applyFont="1" applyFill="1" applyBorder="1" applyAlignment="1">
      <alignment horizontal="left" vertical="top" wrapText="1"/>
    </xf>
    <xf numFmtId="0" fontId="13" fillId="2" borderId="49" xfId="0" applyFont="1" applyFill="1" applyBorder="1" applyAlignment="1">
      <alignment horizontal="left" vertical="top"/>
    </xf>
    <xf numFmtId="0" fontId="14" fillId="4" borderId="21" xfId="0" applyFont="1" applyFill="1" applyBorder="1" applyAlignment="1">
      <alignment horizontal="center" vertical="center"/>
    </xf>
    <xf numFmtId="0" fontId="14" fillId="2" borderId="28" xfId="0" applyFont="1" applyFill="1" applyBorder="1" applyAlignment="1">
      <alignment horizontal="left" vertical="top"/>
    </xf>
    <xf numFmtId="0" fontId="14" fillId="2" borderId="29" xfId="0" applyFont="1" applyFill="1" applyBorder="1" applyAlignment="1">
      <alignment horizontal="left" vertical="top"/>
    </xf>
    <xf numFmtId="0" fontId="14" fillId="2" borderId="11" xfId="0" applyFont="1" applyFill="1" applyBorder="1" applyAlignment="1">
      <alignment horizontal="left" vertical="top"/>
    </xf>
    <xf numFmtId="0" fontId="14" fillId="2" borderId="46" xfId="0" applyFont="1" applyFill="1" applyBorder="1" applyAlignment="1">
      <alignment horizontal="left" vertical="top"/>
    </xf>
    <xf numFmtId="0" fontId="9" fillId="2" borderId="46" xfId="0" applyFont="1" applyFill="1" applyBorder="1" applyAlignment="1">
      <alignment horizontal="left" vertical="top"/>
    </xf>
    <xf numFmtId="0" fontId="14" fillId="2" borderId="12" xfId="0" applyFont="1" applyFill="1" applyBorder="1" applyAlignment="1">
      <alignment horizontal="left" vertical="top"/>
    </xf>
    <xf numFmtId="0" fontId="13" fillId="2" borderId="54" xfId="0" applyFont="1" applyFill="1" applyBorder="1" applyAlignment="1">
      <alignment horizontal="left" vertical="top"/>
    </xf>
    <xf numFmtId="0" fontId="13" fillId="2" borderId="55" xfId="0" applyFont="1" applyFill="1" applyBorder="1" applyAlignment="1">
      <alignment horizontal="left" vertical="top"/>
    </xf>
    <xf numFmtId="0" fontId="13" fillId="2" borderId="56" xfId="0" applyFont="1" applyFill="1" applyBorder="1" applyAlignment="1">
      <alignment horizontal="left" vertical="top"/>
    </xf>
    <xf numFmtId="0" fontId="0" fillId="6" borderId="52" xfId="0" applyFill="1" applyBorder="1"/>
    <xf numFmtId="0" fontId="13" fillId="2" borderId="57" xfId="0" applyFont="1" applyFill="1" applyBorder="1" applyAlignment="1">
      <alignment horizontal="left" vertical="center"/>
    </xf>
    <xf numFmtId="0" fontId="13" fillId="2" borderId="51" xfId="0" applyFont="1" applyFill="1" applyBorder="1" applyAlignment="1">
      <alignment horizontal="left" vertical="center"/>
    </xf>
    <xf numFmtId="0" fontId="14" fillId="3" borderId="52" xfId="0" applyFont="1" applyFill="1" applyBorder="1" applyAlignment="1">
      <alignment horizontal="right"/>
    </xf>
    <xf numFmtId="164" fontId="14" fillId="3" borderId="52" xfId="0" applyNumberFormat="1" applyFont="1" applyFill="1" applyBorder="1" applyAlignment="1">
      <alignment horizontal="right"/>
    </xf>
    <xf numFmtId="0" fontId="13" fillId="2" borderId="51" xfId="0" applyFont="1" applyFill="1" applyBorder="1" applyAlignment="1">
      <alignment horizontal="left" vertical="center" wrapText="1"/>
    </xf>
    <xf numFmtId="0" fontId="14" fillId="3" borderId="52" xfId="0" applyFont="1" applyFill="1" applyBorder="1" applyAlignment="1">
      <alignment horizontal="right" wrapText="1"/>
    </xf>
    <xf numFmtId="0" fontId="13" fillId="2" borderId="59" xfId="0" applyFont="1" applyFill="1" applyBorder="1" applyAlignment="1">
      <alignment horizontal="left" vertical="center" wrapText="1"/>
    </xf>
    <xf numFmtId="0" fontId="14" fillId="3" borderId="60" xfId="0" applyFont="1" applyFill="1" applyBorder="1" applyAlignment="1">
      <alignment horizontal="right"/>
    </xf>
    <xf numFmtId="0" fontId="13" fillId="2" borderId="54" xfId="0" applyFont="1" applyFill="1" applyBorder="1" applyAlignment="1">
      <alignment vertical="top"/>
    </xf>
    <xf numFmtId="0" fontId="13" fillId="2" borderId="55" xfId="0" applyFont="1" applyFill="1" applyBorder="1" applyAlignment="1">
      <alignment vertical="top"/>
    </xf>
    <xf numFmtId="0" fontId="13" fillId="2" borderId="56" xfId="0" applyFont="1" applyFill="1" applyBorder="1" applyAlignment="1">
      <alignment vertical="top"/>
    </xf>
    <xf numFmtId="0" fontId="13" fillId="2" borderId="53" xfId="0" applyFont="1" applyFill="1" applyBorder="1" applyAlignment="1">
      <alignment horizontal="left" vertical="top"/>
    </xf>
    <xf numFmtId="0" fontId="13" fillId="2" borderId="61" xfId="0" applyFont="1" applyFill="1" applyBorder="1" applyAlignment="1">
      <alignment horizontal="left" vertical="top"/>
    </xf>
    <xf numFmtId="0" fontId="14" fillId="2" borderId="45" xfId="0" applyFont="1" applyFill="1" applyBorder="1" applyAlignment="1">
      <alignment horizontal="left" vertical="top"/>
    </xf>
    <xf numFmtId="0" fontId="11" fillId="2" borderId="2" xfId="0" applyFont="1" applyFill="1" applyBorder="1" applyAlignment="1">
      <alignment vertical="top"/>
    </xf>
    <xf numFmtId="0" fontId="11" fillId="2" borderId="2" xfId="0" applyFont="1" applyFill="1" applyBorder="1" applyAlignment="1" applyProtection="1">
      <alignment vertical="top"/>
      <protection locked="0"/>
    </xf>
    <xf numFmtId="0" fontId="0" fillId="0" borderId="0" xfId="0" applyProtection="1">
      <protection locked="0"/>
    </xf>
    <xf numFmtId="0" fontId="9" fillId="0" borderId="1" xfId="0" applyFont="1" applyBorder="1" applyAlignment="1" applyProtection="1">
      <alignment horizontal="left" vertical="top" wrapText="1"/>
      <protection locked="0"/>
    </xf>
    <xf numFmtId="0" fontId="8" fillId="0" borderId="1" xfId="0" applyFont="1" applyBorder="1" applyAlignment="1" applyProtection="1">
      <alignment horizontal="left" vertical="top" wrapText="1"/>
      <protection locked="0"/>
    </xf>
    <xf numFmtId="0" fontId="9" fillId="6" borderId="0" xfId="0" applyFont="1" applyFill="1" applyAlignment="1">
      <alignment horizontal="left" vertical="center"/>
    </xf>
    <xf numFmtId="0" fontId="7" fillId="6" borderId="0" xfId="0" applyFont="1" applyFill="1" applyAlignment="1">
      <alignment horizontal="left" vertical="center"/>
    </xf>
    <xf numFmtId="0" fontId="7" fillId="4" borderId="1" xfId="0" applyFont="1" applyFill="1" applyBorder="1"/>
    <xf numFmtId="0" fontId="14" fillId="3" borderId="54" xfId="0" applyFont="1" applyFill="1" applyBorder="1" applyAlignment="1">
      <alignment horizontal="right"/>
    </xf>
    <xf numFmtId="0" fontId="14" fillId="2" borderId="44" xfId="0" applyFont="1" applyFill="1" applyBorder="1" applyAlignment="1">
      <alignment horizontal="left" vertical="top"/>
    </xf>
    <xf numFmtId="0" fontId="14" fillId="2" borderId="62" xfId="0" applyFont="1" applyFill="1" applyBorder="1" applyAlignment="1">
      <alignment horizontal="left" vertical="top"/>
    </xf>
    <xf numFmtId="0" fontId="14" fillId="2" borderId="63" xfId="0" applyFont="1" applyFill="1" applyBorder="1" applyAlignment="1">
      <alignment horizontal="left" vertical="top"/>
    </xf>
    <xf numFmtId="0" fontId="14" fillId="2" borderId="64" xfId="0" applyFont="1" applyFill="1" applyBorder="1" applyAlignment="1">
      <alignment horizontal="left" vertical="top"/>
    </xf>
    <xf numFmtId="0" fontId="14" fillId="2" borderId="65" xfId="0" applyFont="1" applyFill="1" applyBorder="1" applyAlignment="1">
      <alignment horizontal="left" vertical="top"/>
    </xf>
    <xf numFmtId="0" fontId="13" fillId="5" borderId="57" xfId="0" applyFont="1" applyFill="1" applyBorder="1" applyAlignment="1">
      <alignment horizontal="left" vertical="top"/>
    </xf>
    <xf numFmtId="0" fontId="13" fillId="5" borderId="58" xfId="0" applyFont="1" applyFill="1" applyBorder="1" applyAlignment="1">
      <alignment horizontal="left" vertical="top"/>
    </xf>
    <xf numFmtId="0" fontId="14" fillId="3" borderId="56" xfId="0" applyFont="1" applyFill="1" applyBorder="1" applyAlignment="1">
      <alignment horizontal="right"/>
    </xf>
    <xf numFmtId="0" fontId="14" fillId="3" borderId="55" xfId="0" applyFont="1" applyFill="1" applyBorder="1" applyAlignment="1">
      <alignment horizontal="right"/>
    </xf>
    <xf numFmtId="0" fontId="14" fillId="3" borderId="46" xfId="0" applyFont="1" applyFill="1" applyBorder="1" applyAlignment="1">
      <alignment horizontal="center"/>
    </xf>
    <xf numFmtId="0" fontId="0" fillId="7" borderId="46" xfId="0" applyFill="1" applyBorder="1"/>
    <xf numFmtId="0" fontId="0" fillId="0" borderId="46" xfId="0" applyBorder="1"/>
    <xf numFmtId="2" fontId="15" fillId="6" borderId="55" xfId="0" applyNumberFormat="1" applyFont="1" applyFill="1" applyBorder="1" applyAlignment="1">
      <alignment horizontal="right"/>
    </xf>
    <xf numFmtId="0" fontId="15" fillId="6" borderId="54" xfId="0" applyFont="1" applyFill="1" applyBorder="1" applyAlignment="1">
      <alignment horizontal="right"/>
    </xf>
    <xf numFmtId="0" fontId="15" fillId="6" borderId="56" xfId="0" applyFont="1" applyFill="1" applyBorder="1" applyAlignment="1">
      <alignment horizontal="right"/>
    </xf>
    <xf numFmtId="0" fontId="14" fillId="2" borderId="43" xfId="0" applyFont="1" applyFill="1" applyBorder="1" applyAlignment="1">
      <alignment horizontal="left" vertical="top"/>
    </xf>
    <xf numFmtId="0" fontId="0" fillId="7" borderId="54" xfId="0" applyFill="1" applyBorder="1" applyAlignment="1">
      <alignment horizontal="right"/>
    </xf>
    <xf numFmtId="0" fontId="9" fillId="7" borderId="55" xfId="0" applyFont="1" applyFill="1" applyBorder="1" applyAlignment="1">
      <alignment horizontal="right"/>
    </xf>
    <xf numFmtId="14" fontId="0" fillId="7" borderId="56" xfId="0" applyNumberFormat="1" applyFill="1" applyBorder="1" applyAlignment="1">
      <alignment horizontal="right"/>
    </xf>
    <xf numFmtId="164" fontId="9" fillId="7" borderId="54" xfId="0" applyNumberFormat="1" applyFont="1" applyFill="1" applyBorder="1" applyAlignment="1">
      <alignment horizontal="right"/>
    </xf>
    <xf numFmtId="14" fontId="0" fillId="7" borderId="55" xfId="0" applyNumberFormat="1" applyFill="1" applyBorder="1" applyAlignment="1">
      <alignment horizontal="right"/>
    </xf>
    <xf numFmtId="0" fontId="9" fillId="7" borderId="56" xfId="0" applyFont="1" applyFill="1" applyBorder="1" applyAlignment="1">
      <alignment horizontal="right"/>
    </xf>
    <xf numFmtId="14" fontId="14" fillId="3" borderId="52" xfId="0" applyNumberFormat="1" applyFont="1" applyFill="1" applyBorder="1" applyAlignment="1">
      <alignment horizontal="right"/>
    </xf>
    <xf numFmtId="0" fontId="14" fillId="4" borderId="46" xfId="0" applyFont="1" applyFill="1" applyBorder="1" applyAlignment="1">
      <alignment horizontal="center"/>
    </xf>
    <xf numFmtId="0" fontId="14" fillId="9" borderId="58" xfId="0" applyFont="1" applyFill="1" applyBorder="1" applyAlignment="1">
      <alignment horizontal="right"/>
    </xf>
    <xf numFmtId="0" fontId="14" fillId="9" borderId="52" xfId="0" applyFont="1" applyFill="1" applyBorder="1" applyAlignment="1">
      <alignment horizontal="right" vertical="center"/>
    </xf>
    <xf numFmtId="0" fontId="0" fillId="10" borderId="52" xfId="0" applyFill="1" applyBorder="1" applyAlignment="1">
      <alignment horizontal="right"/>
    </xf>
    <xf numFmtId="0" fontId="14" fillId="0" borderId="46" xfId="0" applyFont="1" applyBorder="1" applyAlignment="1">
      <alignment horizontal="right"/>
    </xf>
    <xf numFmtId="0" fontId="15" fillId="0" borderId="46" xfId="0" applyFont="1" applyBorder="1" applyAlignment="1">
      <alignment horizontal="right"/>
    </xf>
    <xf numFmtId="0" fontId="6" fillId="0" borderId="46" xfId="0" applyFont="1" applyBorder="1" applyAlignment="1">
      <alignment horizontal="right"/>
    </xf>
    <xf numFmtId="0" fontId="14" fillId="0" borderId="46" xfId="0" quotePrefix="1" applyFont="1" applyBorder="1" applyAlignment="1">
      <alignment horizontal="right"/>
    </xf>
    <xf numFmtId="0" fontId="14" fillId="2" borderId="57" xfId="0" applyFont="1" applyFill="1" applyBorder="1" applyAlignment="1">
      <alignment horizontal="left" vertical="top"/>
    </xf>
    <xf numFmtId="0" fontId="14" fillId="2" borderId="66" xfId="0" applyFont="1" applyFill="1" applyBorder="1" applyAlignment="1">
      <alignment horizontal="left" vertical="top"/>
    </xf>
    <xf numFmtId="0" fontId="9" fillId="2" borderId="66" xfId="0" applyFont="1" applyFill="1" applyBorder="1" applyAlignment="1">
      <alignment horizontal="left" vertical="top"/>
    </xf>
    <xf numFmtId="0" fontId="14" fillId="2" borderId="58" xfId="0" applyFont="1" applyFill="1" applyBorder="1" applyAlignment="1">
      <alignment horizontal="left" vertical="top"/>
    </xf>
    <xf numFmtId="0" fontId="15" fillId="0" borderId="69" xfId="0" applyFont="1" applyBorder="1" applyAlignment="1">
      <alignment horizontal="right"/>
    </xf>
    <xf numFmtId="0" fontId="14" fillId="0" borderId="69" xfId="0" applyFont="1" applyBorder="1" applyAlignment="1">
      <alignment horizontal="right"/>
    </xf>
    <xf numFmtId="0" fontId="6" fillId="0" borderId="69" xfId="0" applyFont="1" applyBorder="1" applyAlignment="1">
      <alignment horizontal="right"/>
    </xf>
    <xf numFmtId="0" fontId="14" fillId="0" borderId="72" xfId="0" applyFont="1" applyBorder="1" applyAlignment="1">
      <alignment horizontal="right"/>
    </xf>
    <xf numFmtId="0" fontId="14" fillId="0" borderId="75" xfId="0" applyFont="1" applyBorder="1" applyAlignment="1">
      <alignment horizontal="right"/>
    </xf>
    <xf numFmtId="0" fontId="14" fillId="3" borderId="46" xfId="0" applyFont="1" applyFill="1" applyBorder="1"/>
    <xf numFmtId="0" fontId="14" fillId="4" borderId="36" xfId="0" applyFont="1" applyFill="1" applyBorder="1"/>
    <xf numFmtId="0" fontId="11" fillId="4" borderId="36" xfId="0" applyFont="1" applyFill="1" applyBorder="1"/>
    <xf numFmtId="0" fontId="11" fillId="0" borderId="77" xfId="0" applyFont="1" applyBorder="1" applyAlignment="1">
      <alignment horizontal="right"/>
    </xf>
    <xf numFmtId="0" fontId="11" fillId="0" borderId="78" xfId="0" applyFont="1" applyBorder="1" applyAlignment="1">
      <alignment horizontal="right" vertical="center"/>
    </xf>
    <xf numFmtId="0" fontId="14" fillId="0" borderId="78" xfId="0" applyFont="1" applyBorder="1" applyAlignment="1">
      <alignment horizontal="right" vertical="center"/>
    </xf>
    <xf numFmtId="0" fontId="9" fillId="0" borderId="78" xfId="0" applyFont="1" applyBorder="1" applyAlignment="1">
      <alignment horizontal="right" vertical="center"/>
    </xf>
    <xf numFmtId="0" fontId="11" fillId="0" borderId="78" xfId="0" applyFont="1" applyBorder="1" applyAlignment="1">
      <alignment horizontal="right"/>
    </xf>
    <xf numFmtId="0" fontId="14" fillId="0" borderId="79" xfId="0" applyFont="1" applyBorder="1" applyAlignment="1">
      <alignment horizontal="right"/>
    </xf>
    <xf numFmtId="0" fontId="14" fillId="10" borderId="69" xfId="0" applyFont="1" applyFill="1" applyBorder="1" applyAlignment="1">
      <alignment horizontal="right"/>
    </xf>
    <xf numFmtId="0" fontId="14" fillId="10" borderId="72" xfId="0" applyFont="1" applyFill="1" applyBorder="1" applyAlignment="1">
      <alignment horizontal="right"/>
    </xf>
    <xf numFmtId="0" fontId="9" fillId="0" borderId="68" xfId="0" applyFont="1" applyBorder="1" applyAlignment="1">
      <alignment horizontal="right"/>
    </xf>
    <xf numFmtId="2" fontId="14" fillId="0" borderId="69" xfId="0" applyNumberFormat="1" applyFont="1" applyBorder="1" applyAlignment="1">
      <alignment horizontal="right"/>
    </xf>
    <xf numFmtId="0" fontId="17" fillId="0" borderId="69" xfId="0" applyFont="1" applyBorder="1" applyAlignment="1">
      <alignment horizontal="right"/>
    </xf>
    <xf numFmtId="0" fontId="9" fillId="0" borderId="74" xfId="0" applyFont="1" applyBorder="1" applyAlignment="1">
      <alignment horizontal="right"/>
    </xf>
    <xf numFmtId="2" fontId="14" fillId="0" borderId="75" xfId="0" applyNumberFormat="1" applyFont="1" applyBorder="1" applyAlignment="1">
      <alignment horizontal="right"/>
    </xf>
    <xf numFmtId="0" fontId="17" fillId="0" borderId="75" xfId="0" applyFont="1" applyBorder="1" applyAlignment="1">
      <alignment horizontal="right"/>
    </xf>
    <xf numFmtId="0" fontId="9" fillId="0" borderId="71" xfId="0" applyFont="1" applyBorder="1" applyAlignment="1">
      <alignment horizontal="right"/>
    </xf>
    <xf numFmtId="2" fontId="14" fillId="0" borderId="72" xfId="0" applyNumberFormat="1" applyFont="1" applyBorder="1" applyAlignment="1">
      <alignment horizontal="right"/>
    </xf>
    <xf numFmtId="0" fontId="17" fillId="0" borderId="72" xfId="0" applyFont="1" applyBorder="1" applyAlignment="1">
      <alignment horizontal="right"/>
    </xf>
    <xf numFmtId="0" fontId="14" fillId="0" borderId="76" xfId="0" applyFont="1" applyBorder="1" applyAlignment="1">
      <alignment horizontal="right"/>
    </xf>
    <xf numFmtId="0" fontId="14" fillId="0" borderId="70" xfId="0" applyFont="1" applyBorder="1" applyAlignment="1">
      <alignment horizontal="right"/>
    </xf>
    <xf numFmtId="0" fontId="14" fillId="0" borderId="73" xfId="0" applyFont="1" applyBorder="1" applyAlignment="1">
      <alignment horizontal="right"/>
    </xf>
    <xf numFmtId="0" fontId="5" fillId="0" borderId="68" xfId="0" applyFont="1" applyBorder="1" applyAlignment="1">
      <alignment horizontal="right"/>
    </xf>
    <xf numFmtId="0" fontId="14" fillId="0" borderId="80" xfId="0" applyFont="1" applyBorder="1" applyAlignment="1">
      <alignment horizontal="right"/>
    </xf>
    <xf numFmtId="0" fontId="15" fillId="0" borderId="81" xfId="0" applyFont="1" applyBorder="1" applyAlignment="1">
      <alignment horizontal="right"/>
    </xf>
    <xf numFmtId="0" fontId="14" fillId="0" borderId="81" xfId="0" applyFont="1" applyBorder="1" applyAlignment="1">
      <alignment horizontal="right"/>
    </xf>
    <xf numFmtId="0" fontId="6" fillId="0" borderId="81" xfId="0" applyFont="1" applyBorder="1" applyAlignment="1">
      <alignment horizontal="right"/>
    </xf>
    <xf numFmtId="0" fontId="14" fillId="10" borderId="82" xfId="0" quotePrefix="1" applyFont="1" applyFill="1" applyBorder="1" applyAlignment="1">
      <alignment horizontal="right"/>
    </xf>
    <xf numFmtId="0" fontId="14" fillId="0" borderId="83" xfId="0" applyFont="1" applyBorder="1" applyAlignment="1">
      <alignment horizontal="right"/>
    </xf>
    <xf numFmtId="0" fontId="14" fillId="10" borderId="84" xfId="0" quotePrefix="1" applyFont="1" applyFill="1" applyBorder="1" applyAlignment="1">
      <alignment horizontal="right"/>
    </xf>
    <xf numFmtId="0" fontId="14" fillId="0" borderId="85" xfId="0" applyFont="1" applyBorder="1" applyAlignment="1">
      <alignment horizontal="right"/>
    </xf>
    <xf numFmtId="0" fontId="15" fillId="0" borderId="86" xfId="0" applyFont="1" applyBorder="1" applyAlignment="1">
      <alignment horizontal="right"/>
    </xf>
    <xf numFmtId="0" fontId="14" fillId="0" borderId="86" xfId="0" applyFont="1" applyBorder="1" applyAlignment="1">
      <alignment horizontal="right"/>
    </xf>
    <xf numFmtId="0" fontId="6" fillId="0" borderId="86" xfId="0" applyFont="1" applyBorder="1" applyAlignment="1">
      <alignment horizontal="right"/>
    </xf>
    <xf numFmtId="0" fontId="14" fillId="10" borderId="87" xfId="0" quotePrefix="1" applyFont="1" applyFill="1" applyBorder="1" applyAlignment="1">
      <alignment horizontal="right"/>
    </xf>
    <xf numFmtId="2" fontId="14" fillId="10" borderId="75" xfId="0" applyNumberFormat="1" applyFont="1" applyFill="1" applyBorder="1" applyAlignment="1">
      <alignment horizontal="right"/>
    </xf>
    <xf numFmtId="2" fontId="14" fillId="10" borderId="69" xfId="0" applyNumberFormat="1" applyFont="1" applyFill="1" applyBorder="1" applyAlignment="1">
      <alignment horizontal="right"/>
    </xf>
    <xf numFmtId="2" fontId="14" fillId="10" borderId="72" xfId="0" applyNumberFormat="1" applyFont="1" applyFill="1" applyBorder="1" applyAlignment="1">
      <alignment horizontal="right"/>
    </xf>
    <xf numFmtId="0" fontId="14" fillId="10" borderId="75" xfId="0" applyFont="1" applyFill="1" applyBorder="1" applyAlignment="1">
      <alignment horizontal="right"/>
    </xf>
    <xf numFmtId="0" fontId="14" fillId="3" borderId="46" xfId="0" applyFont="1" applyFill="1" applyBorder="1" applyAlignment="1">
      <alignment horizontal="center" vertical="center"/>
    </xf>
    <xf numFmtId="0" fontId="11" fillId="0" borderId="68" xfId="0" applyFont="1" applyBorder="1" applyAlignment="1">
      <alignment horizontal="right"/>
    </xf>
    <xf numFmtId="2" fontId="11" fillId="0" borderId="69" xfId="0" applyNumberFormat="1" applyFont="1" applyBorder="1" applyAlignment="1">
      <alignment horizontal="right"/>
    </xf>
    <xf numFmtId="0" fontId="11" fillId="0" borderId="69" xfId="0" applyFont="1" applyBorder="1" applyAlignment="1">
      <alignment horizontal="right"/>
    </xf>
    <xf numFmtId="0" fontId="8" fillId="0" borderId="69" xfId="0" applyFont="1" applyBorder="1" applyAlignment="1">
      <alignment horizontal="right"/>
    </xf>
    <xf numFmtId="2" fontId="11" fillId="0" borderId="75" xfId="0" applyNumberFormat="1" applyFont="1" applyBorder="1" applyAlignment="1">
      <alignment horizontal="right"/>
    </xf>
    <xf numFmtId="0" fontId="11" fillId="0" borderId="75" xfId="0" applyFont="1" applyBorder="1" applyAlignment="1">
      <alignment horizontal="right"/>
    </xf>
    <xf numFmtId="0" fontId="8" fillId="0" borderId="75" xfId="0" applyFont="1" applyBorder="1" applyAlignment="1">
      <alignment horizontal="right"/>
    </xf>
    <xf numFmtId="0" fontId="11" fillId="0" borderId="71" xfId="0" applyFont="1" applyBorder="1" applyAlignment="1">
      <alignment horizontal="right"/>
    </xf>
    <xf numFmtId="2" fontId="11" fillId="0" borderId="72" xfId="0" applyNumberFormat="1" applyFont="1" applyBorder="1" applyAlignment="1">
      <alignment horizontal="right"/>
    </xf>
    <xf numFmtId="0" fontId="11" fillId="0" borderId="72" xfId="0" applyFont="1" applyBorder="1" applyAlignment="1">
      <alignment horizontal="right"/>
    </xf>
    <xf numFmtId="0" fontId="8" fillId="0" borderId="72" xfId="0" applyFont="1" applyBorder="1" applyAlignment="1">
      <alignment horizontal="right"/>
    </xf>
    <xf numFmtId="0" fontId="14" fillId="0" borderId="68" xfId="0" applyFont="1" applyBorder="1" applyAlignment="1">
      <alignment horizontal="right" vertical="top"/>
    </xf>
    <xf numFmtId="164" fontId="14" fillId="0" borderId="69" xfId="0" applyNumberFormat="1" applyFont="1" applyBorder="1" applyAlignment="1">
      <alignment horizontal="right"/>
    </xf>
    <xf numFmtId="0" fontId="0" fillId="0" borderId="69" xfId="0" applyBorder="1" applyAlignment="1">
      <alignment horizontal="right"/>
    </xf>
    <xf numFmtId="0" fontId="14" fillId="0" borderId="74" xfId="0" applyFont="1" applyBorder="1" applyAlignment="1">
      <alignment horizontal="right" vertical="top"/>
    </xf>
    <xf numFmtId="164" fontId="14" fillId="0" borderId="75" xfId="0" applyNumberFormat="1" applyFont="1" applyBorder="1" applyAlignment="1">
      <alignment horizontal="right"/>
    </xf>
    <xf numFmtId="0" fontId="0" fillId="0" borderId="75" xfId="0" applyBorder="1" applyAlignment="1">
      <alignment horizontal="right"/>
    </xf>
    <xf numFmtId="0" fontId="14" fillId="0" borderId="71" xfId="0" applyFont="1" applyBorder="1" applyAlignment="1">
      <alignment horizontal="right" vertical="top"/>
    </xf>
    <xf numFmtId="164" fontId="14" fillId="0" borderId="72" xfId="0" applyNumberFormat="1" applyFont="1" applyBorder="1" applyAlignment="1">
      <alignment horizontal="right"/>
    </xf>
    <xf numFmtId="0" fontId="0" fillId="0" borderId="72" xfId="0" applyBorder="1" applyAlignment="1">
      <alignment horizontal="right"/>
    </xf>
    <xf numFmtId="0" fontId="4" fillId="0" borderId="68" xfId="0" applyFont="1" applyBorder="1" applyAlignment="1">
      <alignment horizontal="right"/>
    </xf>
    <xf numFmtId="0" fontId="4" fillId="0" borderId="74" xfId="0" applyFont="1" applyBorder="1" applyAlignment="1">
      <alignment horizontal="right"/>
    </xf>
    <xf numFmtId="0" fontId="4" fillId="0" borderId="75" xfId="0" applyFont="1" applyBorder="1" applyAlignment="1">
      <alignment horizontal="right"/>
    </xf>
    <xf numFmtId="0" fontId="4" fillId="0" borderId="69" xfId="0" applyFont="1" applyBorder="1" applyAlignment="1">
      <alignment horizontal="right"/>
    </xf>
    <xf numFmtId="0" fontId="4" fillId="0" borderId="72" xfId="0" applyFont="1" applyBorder="1" applyAlignment="1">
      <alignment horizontal="right"/>
    </xf>
    <xf numFmtId="0" fontId="14" fillId="10" borderId="76" xfId="0" applyFont="1" applyFill="1" applyBorder="1" applyAlignment="1">
      <alignment horizontal="right"/>
    </xf>
    <xf numFmtId="0" fontId="14" fillId="10" borderId="70" xfId="0" applyFont="1" applyFill="1" applyBorder="1" applyAlignment="1">
      <alignment horizontal="right"/>
    </xf>
    <xf numFmtId="0" fontId="14" fillId="10" borderId="73" xfId="0" applyFont="1" applyFill="1" applyBorder="1" applyAlignment="1">
      <alignment horizontal="right"/>
    </xf>
    <xf numFmtId="0" fontId="14" fillId="11" borderId="49" xfId="0" applyFont="1" applyFill="1" applyBorder="1" applyAlignment="1">
      <alignment vertical="top" wrapText="1"/>
    </xf>
    <xf numFmtId="0" fontId="14" fillId="11" borderId="49" xfId="0" applyFont="1" applyFill="1" applyBorder="1" applyAlignment="1">
      <alignment horizontal="left" vertical="top" wrapText="1"/>
    </xf>
    <xf numFmtId="0" fontId="0" fillId="10" borderId="75" xfId="0" applyFill="1" applyBorder="1" applyAlignment="1">
      <alignment horizontal="right"/>
    </xf>
    <xf numFmtId="0" fontId="8" fillId="10" borderId="75" xfId="0" applyFont="1" applyFill="1" applyBorder="1" applyAlignment="1">
      <alignment horizontal="right"/>
    </xf>
    <xf numFmtId="0" fontId="0" fillId="10" borderId="69" xfId="0" applyFill="1" applyBorder="1" applyAlignment="1">
      <alignment horizontal="right"/>
    </xf>
    <xf numFmtId="0" fontId="8" fillId="10" borderId="69" xfId="0" applyFont="1" applyFill="1" applyBorder="1" applyAlignment="1">
      <alignment horizontal="right"/>
    </xf>
    <xf numFmtId="0" fontId="0" fillId="10" borderId="72" xfId="0" applyFill="1" applyBorder="1" applyAlignment="1">
      <alignment horizontal="right"/>
    </xf>
    <xf numFmtId="0" fontId="8" fillId="10" borderId="72" xfId="0" applyFont="1" applyFill="1" applyBorder="1" applyAlignment="1">
      <alignment horizontal="right"/>
    </xf>
    <xf numFmtId="0" fontId="14" fillId="10" borderId="57" xfId="0" applyFont="1" applyFill="1" applyBorder="1" applyAlignment="1">
      <alignment horizontal="right" vertical="top"/>
    </xf>
    <xf numFmtId="0" fontId="14" fillId="10" borderId="66" xfId="0" applyFont="1" applyFill="1" applyBorder="1" applyAlignment="1">
      <alignment horizontal="right" vertical="top"/>
    </xf>
    <xf numFmtId="0" fontId="14" fillId="10" borderId="58" xfId="0" applyFont="1" applyFill="1" applyBorder="1" applyAlignment="1">
      <alignment horizontal="right" vertical="top"/>
    </xf>
    <xf numFmtId="0" fontId="14" fillId="10" borderId="51" xfId="0" applyFont="1" applyFill="1" applyBorder="1" applyAlignment="1">
      <alignment horizontal="right" vertical="top"/>
    </xf>
    <xf numFmtId="0" fontId="14" fillId="10" borderId="46" xfId="0" applyFont="1" applyFill="1" applyBorder="1" applyAlignment="1">
      <alignment horizontal="right" vertical="top"/>
    </xf>
    <xf numFmtId="0" fontId="14" fillId="10" borderId="52" xfId="0" applyFont="1" applyFill="1" applyBorder="1" applyAlignment="1">
      <alignment horizontal="right" vertical="top"/>
    </xf>
    <xf numFmtId="0" fontId="14" fillId="10" borderId="59" xfId="0" applyFont="1" applyFill="1" applyBorder="1" applyAlignment="1">
      <alignment horizontal="right" vertical="top"/>
    </xf>
    <xf numFmtId="0" fontId="14" fillId="10" borderId="67" xfId="0" applyFont="1" applyFill="1" applyBorder="1" applyAlignment="1">
      <alignment horizontal="right" vertical="top"/>
    </xf>
    <xf numFmtId="0" fontId="14" fillId="10" borderId="60" xfId="0" applyFont="1" applyFill="1" applyBorder="1" applyAlignment="1">
      <alignment horizontal="right" vertical="top"/>
    </xf>
    <xf numFmtId="0" fontId="14" fillId="10" borderId="76" xfId="0" applyFont="1" applyFill="1" applyBorder="1" applyAlignment="1">
      <alignment horizontal="right" vertical="top"/>
    </xf>
    <xf numFmtId="0" fontId="14" fillId="10" borderId="70" xfId="0" applyFont="1" applyFill="1" applyBorder="1" applyAlignment="1">
      <alignment horizontal="right" vertical="top"/>
    </xf>
    <xf numFmtId="0" fontId="14" fillId="10" borderId="73" xfId="0" applyFont="1" applyFill="1" applyBorder="1" applyAlignment="1">
      <alignment horizontal="right" vertical="top"/>
    </xf>
    <xf numFmtId="0" fontId="3" fillId="7" borderId="55" xfId="0" applyFont="1" applyFill="1" applyBorder="1" applyAlignment="1">
      <alignment horizontal="right"/>
    </xf>
    <xf numFmtId="0" fontId="14" fillId="10" borderId="52" xfId="0" applyFont="1" applyFill="1" applyBorder="1" applyAlignment="1">
      <alignment horizontal="right"/>
    </xf>
    <xf numFmtId="0" fontId="14" fillId="9" borderId="52" xfId="0" applyFont="1" applyFill="1" applyBorder="1" applyAlignment="1">
      <alignment horizontal="right" wrapText="1"/>
    </xf>
    <xf numFmtId="0" fontId="10" fillId="12" borderId="88" xfId="0" applyFont="1" applyFill="1" applyBorder="1" applyAlignment="1">
      <alignment wrapText="1"/>
    </xf>
    <xf numFmtId="0" fontId="2" fillId="0" borderId="0" xfId="0" applyFont="1" applyAlignment="1">
      <alignment wrapText="1"/>
    </xf>
  </cellXfs>
  <cellStyles count="3">
    <cellStyle name="Normal" xfId="0" builtinId="0"/>
    <cellStyle name="Normal 2" xfId="1" xr:uid="{15B5984B-4EE4-4A35-88CA-1D33B63AE2B6}"/>
    <cellStyle name="Normal 3" xfId="2" xr:uid="{D24EC48C-1E0B-4C3D-8F2E-6809851F0D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10</xdr:col>
      <xdr:colOff>1039091</xdr:colOff>
      <xdr:row>35</xdr:row>
      <xdr:rowOff>96982</xdr:rowOff>
    </xdr:from>
    <xdr:to>
      <xdr:col>12</xdr:col>
      <xdr:colOff>1832264</xdr:colOff>
      <xdr:row>50</xdr:row>
      <xdr:rowOff>188768</xdr:rowOff>
    </xdr:to>
    <xdr:pic>
      <xdr:nvPicPr>
        <xdr:cNvPr id="3" name="Graphic 2">
          <a:extLst>
            <a:ext uri="{FF2B5EF4-FFF2-40B4-BE49-F238E27FC236}">
              <a16:creationId xmlns:a16="http://schemas.microsoft.com/office/drawing/2014/main" id="{E939737E-CCB6-52F3-05EE-E8DC532469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898109" y="8257309"/>
          <a:ext cx="6667500" cy="4095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6513022</xdr:colOff>
      <xdr:row>22</xdr:row>
      <xdr:rowOff>68580</xdr:rowOff>
    </xdr:from>
    <xdr:to>
      <xdr:col>0</xdr:col>
      <xdr:colOff>9439101</xdr:colOff>
      <xdr:row>30</xdr:row>
      <xdr:rowOff>106680</xdr:rowOff>
    </xdr:to>
    <xdr:pic>
      <xdr:nvPicPr>
        <xdr:cNvPr id="2" name="Picture 1">
          <a:extLst>
            <a:ext uri="{FF2B5EF4-FFF2-40B4-BE49-F238E27FC236}">
              <a16:creationId xmlns:a16="http://schemas.microsoft.com/office/drawing/2014/main" id="{0DEFF9DE-9BD9-57C7-B1CC-6F9F0D36CC26}"/>
            </a:ext>
          </a:extLst>
        </xdr:cNvPr>
        <xdr:cNvPicPr>
          <a:picLocks noChangeAspect="1"/>
        </xdr:cNvPicPr>
      </xdr:nvPicPr>
      <xdr:blipFill>
        <a:blip xmlns:r="http://schemas.openxmlformats.org/officeDocument/2006/relationships" r:embed="rId1"/>
        <a:stretch>
          <a:fillRect/>
        </a:stretch>
      </xdr:blipFill>
      <xdr:spPr>
        <a:xfrm>
          <a:off x="6513022" y="4411980"/>
          <a:ext cx="2926079" cy="15087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aptiste mabboux" id="{95665E31-732C-49C1-A46E-EDB6997866C0}" userId="f3aee38b355b722b"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26" dT="2026-05-06T11:31:16.97" personId="{95665E31-732C-49C1-A46E-EDB6997866C0}" id="{337CA021-9AC0-4AD9-A57E-506D35A7B8D0}">
    <text>Computed from Q = m*cp*dT</text>
  </threadedComment>
  <threadedComment ref="K32" dT="2026-05-06T11:26:41.15" personId="{95665E31-732C-49C1-A46E-EDB6997866C0}" id="{1BC422D8-865C-420A-8F81-F4C46D0FE2CC}">
    <text>Assumed pure co2 with constant cp</text>
  </threadedComment>
  <threadedComment ref="K33" dT="2026-05-06T11:28:32.27" personId="{95665E31-732C-49C1-A46E-EDB6997866C0}" id="{13A20CB4-FC14-4090-A17B-0D907B3E1E80}">
    <text>Recalculated from mass flow</text>
  </threadedComment>
</ThreadedComment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2:B10"/>
  <sheetViews>
    <sheetView showGridLines="0" zoomScale="55" zoomScaleNormal="55" workbookViewId="0">
      <selection activeCell="B16" sqref="B16"/>
    </sheetView>
  </sheetViews>
  <sheetFormatPr baseColWidth="10" defaultColWidth="14.46484375" defaultRowHeight="15" customHeight="1" x14ac:dyDescent="0.45"/>
  <cols>
    <col min="1" max="1" width="18.1328125" bestFit="1" customWidth="1"/>
    <col min="2" max="2" width="255.796875" style="133" customWidth="1"/>
    <col min="3" max="3" width="29.46484375" customWidth="1"/>
  </cols>
  <sheetData>
    <row r="2" spans="1:2" ht="37.799999999999997" customHeight="1" x14ac:dyDescent="0.45">
      <c r="A2" s="82" t="s">
        <v>0</v>
      </c>
      <c r="B2" s="134" t="s">
        <v>1</v>
      </c>
    </row>
    <row r="3" spans="1:2" ht="15" customHeight="1" x14ac:dyDescent="0.45">
      <c r="A3" s="131"/>
      <c r="B3" s="132"/>
    </row>
    <row r="4" spans="1:2" ht="23.55" customHeight="1" x14ac:dyDescent="0.45">
      <c r="A4" s="82" t="s">
        <v>123</v>
      </c>
      <c r="B4" s="135" t="s">
        <v>124</v>
      </c>
    </row>
    <row r="5" spans="1:2" ht="14.25" x14ac:dyDescent="0.45">
      <c r="A5" s="131"/>
      <c r="B5" s="132"/>
    </row>
    <row r="6" spans="1:2" ht="72.5" customHeight="1" x14ac:dyDescent="0.45">
      <c r="A6" s="82" t="s">
        <v>2</v>
      </c>
      <c r="B6" s="135" t="s">
        <v>125</v>
      </c>
    </row>
    <row r="7" spans="1:2" ht="14.25" x14ac:dyDescent="0.45">
      <c r="A7" s="131"/>
      <c r="B7" s="132"/>
    </row>
    <row r="8" spans="1:2" ht="39.5" customHeight="1" x14ac:dyDescent="0.45">
      <c r="A8" s="82" t="s">
        <v>3</v>
      </c>
      <c r="B8" s="134" t="s">
        <v>4</v>
      </c>
    </row>
    <row r="9" spans="1:2" ht="14.25" x14ac:dyDescent="0.45">
      <c r="A9" s="131"/>
      <c r="B9" s="132"/>
    </row>
    <row r="10" spans="1:2" ht="55.8" customHeight="1" x14ac:dyDescent="0.45">
      <c r="A10" s="82" t="s">
        <v>5</v>
      </c>
      <c r="B10" s="135"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23"/>
  <sheetViews>
    <sheetView showGridLines="0" zoomScale="85" zoomScaleNormal="85" workbookViewId="0">
      <selection activeCell="B18" sqref="B18"/>
    </sheetView>
  </sheetViews>
  <sheetFormatPr baseColWidth="10" defaultColWidth="14.46484375" defaultRowHeight="15" customHeight="1" x14ac:dyDescent="0.45"/>
  <cols>
    <col min="1" max="1" width="59" bestFit="1" customWidth="1"/>
    <col min="2" max="2" width="90.796875" bestFit="1" customWidth="1"/>
    <col min="3" max="3" width="17.796875" customWidth="1"/>
    <col min="4" max="4" width="12.6640625" customWidth="1"/>
    <col min="5" max="5" width="4.6640625" customWidth="1"/>
    <col min="6" max="6" width="7" customWidth="1"/>
    <col min="7" max="26" width="10.6640625" customWidth="1"/>
    <col min="27" max="16384" width="14.46484375" style="84"/>
  </cols>
  <sheetData>
    <row r="1" spans="1:4" ht="14.25" x14ac:dyDescent="0.45">
      <c r="A1" s="117" t="s">
        <v>66</v>
      </c>
      <c r="B1" s="164"/>
      <c r="C1" s="2"/>
      <c r="D1" s="11" t="s">
        <v>101</v>
      </c>
    </row>
    <row r="2" spans="1:4" ht="14.25" x14ac:dyDescent="0.45">
      <c r="A2" s="118" t="s">
        <v>67</v>
      </c>
      <c r="B2" s="119" t="s">
        <v>157</v>
      </c>
      <c r="D2" s="136" t="s">
        <v>6</v>
      </c>
    </row>
    <row r="3" spans="1:4" ht="14.25" x14ac:dyDescent="0.45">
      <c r="A3" s="118" t="s">
        <v>68</v>
      </c>
      <c r="B3" s="119" t="s">
        <v>158</v>
      </c>
      <c r="C3" s="84"/>
      <c r="D3" s="137" t="s">
        <v>132</v>
      </c>
    </row>
    <row r="4" spans="1:4" ht="14.25" x14ac:dyDescent="0.45">
      <c r="A4" s="118" t="s">
        <v>80</v>
      </c>
      <c r="B4" s="119" t="s">
        <v>81</v>
      </c>
      <c r="C4" s="84"/>
      <c r="D4" s="137" t="s">
        <v>133</v>
      </c>
    </row>
    <row r="5" spans="1:4" ht="14.25" x14ac:dyDescent="0.45">
      <c r="A5" s="118" t="s">
        <v>71</v>
      </c>
      <c r="B5" s="162">
        <v>46133</v>
      </c>
      <c r="C5" s="84"/>
      <c r="D5" s="136" t="s">
        <v>9</v>
      </c>
    </row>
    <row r="6" spans="1:4" ht="14.25" x14ac:dyDescent="0.45">
      <c r="A6" s="118" t="s">
        <v>75</v>
      </c>
      <c r="B6" s="162">
        <v>46133</v>
      </c>
      <c r="C6" s="84"/>
      <c r="D6" s="136" t="s">
        <v>13</v>
      </c>
    </row>
    <row r="7" spans="1:4" ht="14.25" x14ac:dyDescent="0.45">
      <c r="A7" s="118" t="s">
        <v>83</v>
      </c>
      <c r="B7" s="119" t="s">
        <v>84</v>
      </c>
      <c r="D7" s="137" t="s">
        <v>134</v>
      </c>
    </row>
    <row r="8" spans="1:4" ht="14.25" x14ac:dyDescent="0.45">
      <c r="A8" s="118" t="s">
        <v>69</v>
      </c>
      <c r="B8" s="120" t="s">
        <v>94</v>
      </c>
      <c r="C8" s="84"/>
      <c r="D8" s="137" t="s">
        <v>130</v>
      </c>
    </row>
    <row r="9" spans="1:4" ht="14.25" x14ac:dyDescent="0.45">
      <c r="A9" s="118" t="s">
        <v>70</v>
      </c>
      <c r="B9" s="119" t="s">
        <v>8</v>
      </c>
      <c r="C9" s="84"/>
      <c r="D9" s="137" t="s">
        <v>131</v>
      </c>
    </row>
    <row r="10" spans="1:4" ht="14.25" x14ac:dyDescent="0.45">
      <c r="A10" s="118" t="s">
        <v>102</v>
      </c>
      <c r="B10" s="116">
        <v>1</v>
      </c>
      <c r="D10" s="137" t="s">
        <v>135</v>
      </c>
    </row>
    <row r="11" spans="1:4" ht="14.25" x14ac:dyDescent="0.45">
      <c r="A11" s="118" t="s">
        <v>73</v>
      </c>
      <c r="B11" s="119" t="s">
        <v>10</v>
      </c>
      <c r="C11" s="84"/>
      <c r="D11" s="137" t="s">
        <v>136</v>
      </c>
    </row>
    <row r="12" spans="1:4" ht="28.5" x14ac:dyDescent="0.45">
      <c r="A12" s="121" t="s">
        <v>77</v>
      </c>
      <c r="B12" s="165" t="str">
        <f>TEXT(Syngas_ouput,"0")&amp;"kg/h of produced syngas"</f>
        <v>46069kg/h of produced syngas</v>
      </c>
      <c r="C12" s="1"/>
      <c r="D12" s="137" t="s">
        <v>137</v>
      </c>
    </row>
    <row r="13" spans="1:4" ht="21.5" customHeight="1" x14ac:dyDescent="0.45">
      <c r="A13" s="121" t="s">
        <v>43</v>
      </c>
      <c r="B13" s="119">
        <v>9</v>
      </c>
      <c r="C13" s="1"/>
      <c r="D13" s="137" t="s">
        <v>138</v>
      </c>
    </row>
    <row r="14" spans="1:4" ht="14.25" x14ac:dyDescent="0.45">
      <c r="A14" s="118" t="s">
        <v>76</v>
      </c>
      <c r="B14" s="270" t="s">
        <v>160</v>
      </c>
      <c r="C14" s="83"/>
      <c r="D14" s="136" t="s">
        <v>14</v>
      </c>
    </row>
    <row r="15" spans="1:4" ht="14.25" x14ac:dyDescent="0.45">
      <c r="A15" s="121" t="s">
        <v>15</v>
      </c>
      <c r="B15" s="122" t="s">
        <v>157</v>
      </c>
      <c r="C15" s="1"/>
      <c r="D15" s="136" t="s">
        <v>128</v>
      </c>
    </row>
    <row r="16" spans="1:4" ht="14.25" x14ac:dyDescent="0.45">
      <c r="A16" s="121" t="s">
        <v>78</v>
      </c>
      <c r="B16" s="166"/>
      <c r="C16" s="1"/>
      <c r="D16" s="136" t="s">
        <v>127</v>
      </c>
    </row>
    <row r="17" spans="1:4" ht="14.25" x14ac:dyDescent="0.45">
      <c r="A17" s="121" t="s">
        <v>82</v>
      </c>
      <c r="B17" s="166"/>
      <c r="C17" s="1"/>
      <c r="D17" s="137" t="s">
        <v>139</v>
      </c>
    </row>
    <row r="18" spans="1:4" ht="20.55" customHeight="1" x14ac:dyDescent="0.45">
      <c r="A18" s="118" t="s">
        <v>72</v>
      </c>
      <c r="B18" s="271" t="s">
        <v>399</v>
      </c>
      <c r="C18" s="84"/>
      <c r="D18" s="137" t="s">
        <v>140</v>
      </c>
    </row>
    <row r="19" spans="1:4" ht="14.25" x14ac:dyDescent="0.45">
      <c r="A19" s="118" t="s">
        <v>74</v>
      </c>
      <c r="B19" s="119" t="s">
        <v>153</v>
      </c>
      <c r="C19" s="84"/>
      <c r="D19" s="136" t="s">
        <v>11</v>
      </c>
    </row>
    <row r="20" spans="1:4" ht="14.25" x14ac:dyDescent="0.45">
      <c r="A20" s="118" t="s">
        <v>99</v>
      </c>
      <c r="B20" s="119" t="s">
        <v>153</v>
      </c>
      <c r="C20" s="84"/>
      <c r="D20" s="137" t="s">
        <v>141</v>
      </c>
    </row>
    <row r="21" spans="1:4" ht="15.75" customHeight="1" x14ac:dyDescent="0.45">
      <c r="A21" s="121" t="s">
        <v>79</v>
      </c>
      <c r="B21" s="119" t="s">
        <v>159</v>
      </c>
      <c r="C21" s="1"/>
      <c r="D21" s="137" t="s">
        <v>142</v>
      </c>
    </row>
    <row r="22" spans="1:4" ht="14.25" x14ac:dyDescent="0.45">
      <c r="A22" s="118" t="s">
        <v>12</v>
      </c>
      <c r="B22" s="166"/>
      <c r="C22" s="84"/>
      <c r="D22" s="137" t="s">
        <v>143</v>
      </c>
    </row>
    <row r="23" spans="1:4" ht="15.75" customHeight="1" thickBot="1" x14ac:dyDescent="0.5">
      <c r="A23" s="123" t="s">
        <v>85</v>
      </c>
      <c r="B23" s="124" t="s">
        <v>97</v>
      </c>
      <c r="C23" s="1"/>
      <c r="D23" s="137" t="s">
        <v>129</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58"/>
  <sheetViews>
    <sheetView showGridLines="0" zoomScale="58" zoomScaleNormal="55" workbookViewId="0">
      <selection activeCell="K9" sqref="K9"/>
    </sheetView>
  </sheetViews>
  <sheetFormatPr baseColWidth="10" defaultColWidth="14.46484375" defaultRowHeight="15" customHeight="1" x14ac:dyDescent="0.45"/>
  <cols>
    <col min="1" max="1" width="42.6640625" style="81" customWidth="1"/>
    <col min="2" max="2" width="19.46484375" style="81" bestFit="1" customWidth="1"/>
    <col min="3" max="3" width="17.33203125" style="81" customWidth="1"/>
    <col min="4" max="4" width="20.1328125" style="81" bestFit="1" customWidth="1"/>
    <col min="5" max="5" width="19.46484375" style="81" bestFit="1" customWidth="1"/>
    <col min="6" max="6" width="23.46484375" style="81" customWidth="1"/>
    <col min="7" max="7" width="27" style="81" customWidth="1"/>
    <col min="8" max="8" width="23.46484375" style="81" customWidth="1"/>
    <col min="9" max="9" width="33.1328125" style="81" bestFit="1" customWidth="1"/>
    <col min="10" max="10" width="27" style="81" customWidth="1"/>
    <col min="11" max="11" width="54.796875" bestFit="1" customWidth="1"/>
    <col min="12" max="12" width="61.33203125" customWidth="1"/>
    <col min="13" max="13" width="16" customWidth="1"/>
    <col min="14" max="14" width="18.46484375" customWidth="1"/>
    <col min="15" max="15" width="14.33203125" customWidth="1"/>
    <col min="16" max="16" width="5.1328125" customWidth="1"/>
  </cols>
  <sheetData>
    <row r="1" spans="1:16" ht="15" customHeight="1" thickBot="1" x14ac:dyDescent="0.5"/>
    <row r="2" spans="1:16" ht="14.65" thickBot="1" x14ac:dyDescent="0.5">
      <c r="A2" s="11" t="s">
        <v>65</v>
      </c>
      <c r="B2" s="4"/>
      <c r="C2" s="4"/>
      <c r="D2" s="4"/>
      <c r="E2" s="4"/>
      <c r="F2" s="4"/>
      <c r="G2" s="4"/>
      <c r="H2" s="4"/>
      <c r="I2" s="4"/>
      <c r="J2" s="4"/>
      <c r="K2" s="3"/>
      <c r="L2" s="5"/>
      <c r="M2" s="6"/>
      <c r="N2" s="6"/>
      <c r="O2" s="6"/>
      <c r="P2" s="6"/>
    </row>
    <row r="3" spans="1:16" ht="14.65" thickBot="1" x14ac:dyDescent="0.5">
      <c r="A3" s="97" t="s">
        <v>16</v>
      </c>
      <c r="B3" s="98"/>
      <c r="C3" s="98"/>
      <c r="D3" s="98"/>
      <c r="E3" s="98"/>
      <c r="F3" s="98"/>
      <c r="G3" s="98"/>
      <c r="H3" s="98"/>
      <c r="I3" s="98"/>
      <c r="J3" s="98"/>
      <c r="K3" s="128"/>
      <c r="L3" s="129"/>
      <c r="M3" s="6"/>
      <c r="N3" s="6"/>
      <c r="O3" s="6"/>
      <c r="P3" s="6"/>
    </row>
    <row r="4" spans="1:16" ht="14.65" thickBot="1" x14ac:dyDescent="0.5">
      <c r="A4" s="171" t="s">
        <v>100</v>
      </c>
      <c r="B4" s="172" t="s">
        <v>17</v>
      </c>
      <c r="C4" s="172" t="s">
        <v>18</v>
      </c>
      <c r="D4" s="172" t="s">
        <v>148</v>
      </c>
      <c r="E4" s="172" t="s">
        <v>20</v>
      </c>
      <c r="F4" s="173" t="s">
        <v>21</v>
      </c>
      <c r="G4" s="172" t="s">
        <v>22</v>
      </c>
      <c r="H4" s="172" t="s">
        <v>23</v>
      </c>
      <c r="I4" s="172" t="s">
        <v>24</v>
      </c>
      <c r="J4" s="172" t="s">
        <v>25</v>
      </c>
      <c r="K4" s="172" t="s">
        <v>26</v>
      </c>
      <c r="L4" s="174" t="s">
        <v>15</v>
      </c>
      <c r="M4" s="5"/>
      <c r="N4" s="6"/>
      <c r="O4" s="6"/>
      <c r="P4" s="6"/>
    </row>
    <row r="5" spans="1:16" ht="14.65" thickBot="1" x14ac:dyDescent="0.5">
      <c r="A5" s="204" t="s">
        <v>324</v>
      </c>
      <c r="B5" s="205" t="s">
        <v>325</v>
      </c>
      <c r="C5" s="205" t="s">
        <v>324</v>
      </c>
      <c r="D5" s="205" t="s">
        <v>183</v>
      </c>
      <c r="E5" s="206" t="s">
        <v>27</v>
      </c>
      <c r="F5" s="207" t="s">
        <v>27</v>
      </c>
      <c r="G5" s="206" t="s">
        <v>27</v>
      </c>
      <c r="H5" s="206" t="s">
        <v>27</v>
      </c>
      <c r="I5" s="206" t="s">
        <v>27</v>
      </c>
      <c r="J5" s="206" t="s">
        <v>27</v>
      </c>
      <c r="K5" s="206" t="s">
        <v>27</v>
      </c>
      <c r="L5" s="208" t="s">
        <v>349</v>
      </c>
      <c r="M5" s="81"/>
      <c r="N5" s="6"/>
      <c r="O5" s="6"/>
      <c r="P5" s="6"/>
    </row>
    <row r="6" spans="1:16" ht="14.65" thickBot="1" x14ac:dyDescent="0.5">
      <c r="A6" s="209" t="s">
        <v>326</v>
      </c>
      <c r="B6" s="175" t="s">
        <v>327</v>
      </c>
      <c r="C6" s="175" t="s">
        <v>328</v>
      </c>
      <c r="D6" s="175" t="s">
        <v>175</v>
      </c>
      <c r="E6" s="176">
        <v>25</v>
      </c>
      <c r="F6" s="177" t="s">
        <v>354</v>
      </c>
      <c r="G6" s="176">
        <v>1</v>
      </c>
      <c r="H6" s="176" t="s">
        <v>329</v>
      </c>
      <c r="I6" s="176">
        <v>-1</v>
      </c>
      <c r="J6" s="176" t="s">
        <v>330</v>
      </c>
      <c r="K6" s="176" t="s">
        <v>331</v>
      </c>
      <c r="L6" s="210" t="s">
        <v>350</v>
      </c>
      <c r="M6" s="81"/>
      <c r="N6" s="6"/>
      <c r="O6" s="6"/>
      <c r="P6" s="6"/>
    </row>
    <row r="7" spans="1:16" ht="14.65" thickBot="1" x14ac:dyDescent="0.5">
      <c r="A7" s="209" t="s">
        <v>332</v>
      </c>
      <c r="B7" s="175" t="s">
        <v>332</v>
      </c>
      <c r="C7" s="175" t="s">
        <v>328</v>
      </c>
      <c r="D7" s="175" t="s">
        <v>165</v>
      </c>
      <c r="E7" s="176">
        <v>30</v>
      </c>
      <c r="F7" s="177" t="s">
        <v>354</v>
      </c>
      <c r="G7" s="176">
        <v>1</v>
      </c>
      <c r="H7" s="176" t="s">
        <v>329</v>
      </c>
      <c r="I7" s="176">
        <v>-1</v>
      </c>
      <c r="J7" s="176" t="s">
        <v>355</v>
      </c>
      <c r="K7" s="176" t="s">
        <v>357</v>
      </c>
      <c r="L7" s="210" t="s">
        <v>351</v>
      </c>
      <c r="M7" s="81"/>
      <c r="N7" s="6"/>
      <c r="O7" s="6"/>
      <c r="P7" s="6"/>
    </row>
    <row r="8" spans="1:16" ht="14.65" thickBot="1" x14ac:dyDescent="0.5">
      <c r="A8" s="209" t="s">
        <v>333</v>
      </c>
      <c r="B8" s="175" t="s">
        <v>333</v>
      </c>
      <c r="C8" s="175" t="s">
        <v>328</v>
      </c>
      <c r="D8" s="175" t="s">
        <v>165</v>
      </c>
      <c r="E8" s="176">
        <v>30</v>
      </c>
      <c r="F8" s="177" t="s">
        <v>354</v>
      </c>
      <c r="G8" s="176">
        <v>1</v>
      </c>
      <c r="H8" s="176" t="s">
        <v>329</v>
      </c>
      <c r="I8" s="176">
        <v>-1</v>
      </c>
      <c r="J8" s="176" t="s">
        <v>355</v>
      </c>
      <c r="K8" s="176" t="s">
        <v>358</v>
      </c>
      <c r="L8" s="210" t="s">
        <v>352</v>
      </c>
      <c r="M8" s="81"/>
      <c r="N8" s="6"/>
      <c r="O8" s="6"/>
      <c r="P8" s="6"/>
    </row>
    <row r="9" spans="1:16" ht="14.65" thickBot="1" x14ac:dyDescent="0.5">
      <c r="A9" s="211" t="s">
        <v>334</v>
      </c>
      <c r="B9" s="212" t="s">
        <v>334</v>
      </c>
      <c r="C9" s="212" t="s">
        <v>328</v>
      </c>
      <c r="D9" s="212" t="s">
        <v>165</v>
      </c>
      <c r="E9" s="213">
        <v>30</v>
      </c>
      <c r="F9" s="214" t="s">
        <v>354</v>
      </c>
      <c r="G9" s="213">
        <v>1</v>
      </c>
      <c r="H9" s="213" t="s">
        <v>329</v>
      </c>
      <c r="I9" s="213">
        <v>-1</v>
      </c>
      <c r="J9" s="213" t="s">
        <v>355</v>
      </c>
      <c r="K9" s="213" t="s">
        <v>356</v>
      </c>
      <c r="L9" s="215" t="s">
        <v>353</v>
      </c>
      <c r="M9" s="81"/>
      <c r="N9" s="6"/>
      <c r="O9" s="6"/>
      <c r="P9" s="6"/>
    </row>
    <row r="10" spans="1:16" ht="14.65" thickBot="1" x14ac:dyDescent="0.5">
      <c r="A10" s="167"/>
      <c r="B10" s="168"/>
      <c r="C10" s="168"/>
      <c r="D10" s="168"/>
      <c r="E10" s="167"/>
      <c r="F10" s="169"/>
      <c r="G10" s="167"/>
      <c r="H10" s="167"/>
      <c r="I10" s="167"/>
      <c r="J10" s="167"/>
      <c r="K10" s="167"/>
      <c r="L10" s="170"/>
      <c r="M10" s="81"/>
      <c r="N10" s="6"/>
      <c r="O10" s="6"/>
      <c r="P10" s="6"/>
    </row>
    <row r="11" spans="1:16" ht="14.65" thickBot="1" x14ac:dyDescent="0.5">
      <c r="A11" s="8"/>
      <c r="B11" s="8"/>
      <c r="C11" s="8"/>
      <c r="D11" s="8"/>
      <c r="E11" s="8"/>
      <c r="F11" s="8"/>
      <c r="G11" s="8"/>
      <c r="H11" s="8"/>
      <c r="I11" s="9"/>
      <c r="J11" s="10"/>
      <c r="K11" s="10"/>
      <c r="L11" s="10"/>
      <c r="N11" s="6"/>
      <c r="O11" s="6"/>
      <c r="P11" s="6"/>
    </row>
    <row r="12" spans="1:16" ht="14.65" thickBot="1" x14ac:dyDescent="0.5">
      <c r="A12" s="11" t="s">
        <v>64</v>
      </c>
      <c r="B12" s="12"/>
      <c r="C12" s="12"/>
      <c r="D12" s="12"/>
      <c r="E12" s="12"/>
      <c r="F12" s="12"/>
      <c r="G12" s="12"/>
      <c r="H12" s="12"/>
      <c r="I12" s="13"/>
      <c r="J12" s="14"/>
      <c r="K12" s="14"/>
      <c r="L12" s="14"/>
      <c r="M12" s="6"/>
      <c r="N12" s="6"/>
      <c r="O12" s="6"/>
      <c r="P12" s="6"/>
    </row>
    <row r="13" spans="1:16" ht="14.65" thickBot="1" x14ac:dyDescent="0.5">
      <c r="A13" s="97" t="s">
        <v>28</v>
      </c>
      <c r="B13" s="98"/>
      <c r="C13" s="98"/>
      <c r="D13" s="98"/>
      <c r="E13" s="98"/>
      <c r="F13" s="98"/>
      <c r="G13" s="98"/>
      <c r="H13" s="98"/>
      <c r="I13" s="98"/>
      <c r="J13" s="98"/>
      <c r="K13" s="128"/>
      <c r="L13" s="129"/>
      <c r="M13" s="5"/>
      <c r="N13" s="6"/>
      <c r="O13" s="6"/>
      <c r="P13" s="6"/>
    </row>
    <row r="14" spans="1:16" ht="14.65" thickBot="1" x14ac:dyDescent="0.5">
      <c r="A14" s="171" t="s">
        <v>100</v>
      </c>
      <c r="B14" s="172" t="s">
        <v>17</v>
      </c>
      <c r="C14" s="172" t="s">
        <v>18</v>
      </c>
      <c r="D14" s="172" t="s">
        <v>148</v>
      </c>
      <c r="E14" s="172" t="s">
        <v>20</v>
      </c>
      <c r="F14" s="173" t="s">
        <v>21</v>
      </c>
      <c r="G14" s="172" t="s">
        <v>22</v>
      </c>
      <c r="H14" s="172" t="s">
        <v>23</v>
      </c>
      <c r="I14" s="172" t="s">
        <v>24</v>
      </c>
      <c r="J14" s="172" t="s">
        <v>25</v>
      </c>
      <c r="K14" s="172" t="s">
        <v>26</v>
      </c>
      <c r="L14" s="174" t="s">
        <v>15</v>
      </c>
      <c r="M14" s="5"/>
      <c r="N14" s="6"/>
      <c r="O14" s="6"/>
      <c r="P14" s="6"/>
    </row>
    <row r="15" spans="1:16" ht="14.65" thickBot="1" x14ac:dyDescent="0.5">
      <c r="A15" s="183" t="s">
        <v>27</v>
      </c>
      <c r="B15" s="184" t="s">
        <v>27</v>
      </c>
      <c r="C15" s="185" t="s">
        <v>27</v>
      </c>
      <c r="D15" s="185" t="s">
        <v>27</v>
      </c>
      <c r="E15" s="184" t="s">
        <v>27</v>
      </c>
      <c r="F15" s="186" t="s">
        <v>27</v>
      </c>
      <c r="G15" s="184" t="s">
        <v>27</v>
      </c>
      <c r="H15" s="187" t="s">
        <v>27</v>
      </c>
      <c r="I15" s="184" t="s">
        <v>27</v>
      </c>
      <c r="J15" s="184" t="s">
        <v>27</v>
      </c>
      <c r="K15" s="185" t="s">
        <v>27</v>
      </c>
      <c r="L15" s="188" t="s">
        <v>27</v>
      </c>
      <c r="M15" s="15"/>
      <c r="N15" s="6"/>
      <c r="O15" s="6"/>
      <c r="P15" s="6"/>
    </row>
    <row r="16" spans="1:16" ht="15.75" customHeight="1" thickBot="1" x14ac:dyDescent="0.5">
      <c r="A16" s="16"/>
      <c r="B16" s="16"/>
      <c r="C16" s="16"/>
      <c r="D16" s="16"/>
      <c r="E16" s="16"/>
      <c r="F16" s="16"/>
      <c r="G16" s="17"/>
      <c r="H16" s="180"/>
      <c r="I16" s="180"/>
      <c r="J16" s="181"/>
      <c r="K16" s="182"/>
      <c r="L16" s="182"/>
      <c r="M16" s="6"/>
      <c r="N16" s="6"/>
      <c r="O16" s="6"/>
      <c r="P16" s="6"/>
    </row>
    <row r="17" spans="1:16" ht="15.75" customHeight="1" thickBot="1" x14ac:dyDescent="0.5">
      <c r="A17" s="18"/>
      <c r="B17" s="18"/>
      <c r="C17" s="18"/>
      <c r="D17" s="18"/>
      <c r="E17" s="18"/>
      <c r="F17" s="19"/>
      <c r="G17" s="20"/>
      <c r="H17" s="21"/>
      <c r="I17" s="20"/>
      <c r="J17" s="14"/>
      <c r="K17" s="22"/>
      <c r="L17" s="6"/>
      <c r="M17" s="6"/>
      <c r="N17" s="6"/>
      <c r="O17" s="6"/>
      <c r="P17" s="6"/>
    </row>
    <row r="18" spans="1:16" ht="15.75" customHeight="1" thickBot="1" x14ac:dyDescent="0.5">
      <c r="K18" s="15"/>
      <c r="L18" s="15"/>
      <c r="M18" s="6"/>
      <c r="N18" s="6"/>
      <c r="O18" s="6"/>
      <c r="P18" s="6"/>
    </row>
    <row r="19" spans="1:16" ht="15.75" customHeight="1" thickBot="1" x14ac:dyDescent="0.5">
      <c r="L19" s="15"/>
      <c r="M19" s="6"/>
      <c r="N19" s="6"/>
      <c r="O19" s="6"/>
      <c r="P19" s="6"/>
    </row>
    <row r="20" spans="1:16" ht="15.75" customHeight="1" thickBot="1" x14ac:dyDescent="0.5">
      <c r="J20" s="84"/>
      <c r="K20" s="84"/>
      <c r="L20" s="99"/>
      <c r="M20" s="6"/>
      <c r="N20" s="6"/>
      <c r="O20" s="6"/>
      <c r="P20" s="6"/>
    </row>
    <row r="21" spans="1:16" ht="15.75" customHeight="1" thickBot="1" x14ac:dyDescent="0.5">
      <c r="J21" s="84"/>
      <c r="K21" s="84"/>
      <c r="L21" s="100"/>
      <c r="M21" s="6"/>
      <c r="N21" s="6"/>
      <c r="O21" s="6"/>
      <c r="P21" s="6"/>
    </row>
    <row r="22" spans="1:16" ht="15.75" customHeight="1" thickBot="1" x14ac:dyDescent="0.5">
      <c r="J22" s="84"/>
      <c r="K22" s="84"/>
      <c r="L22" s="81"/>
      <c r="M22" s="6"/>
      <c r="N22" s="6"/>
      <c r="O22" s="6"/>
      <c r="P22" s="6"/>
    </row>
    <row r="23" spans="1:16" ht="15.75" customHeight="1" thickBot="1" x14ac:dyDescent="0.5">
      <c r="J23" s="84"/>
      <c r="K23" s="84"/>
      <c r="L23" s="81"/>
      <c r="M23" s="6"/>
      <c r="N23" s="6"/>
      <c r="O23" s="6"/>
      <c r="P23" s="6"/>
    </row>
    <row r="24" spans="1:16" ht="15.75" customHeight="1" thickBot="1" x14ac:dyDescent="0.5">
      <c r="J24" s="84"/>
      <c r="K24" s="84"/>
      <c r="L24" s="81"/>
      <c r="M24" s="6"/>
      <c r="N24" s="6"/>
      <c r="O24" s="6"/>
      <c r="P24" s="6"/>
    </row>
    <row r="25" spans="1:16" ht="15.75" customHeight="1" thickBot="1" x14ac:dyDescent="0.5">
      <c r="J25" s="84"/>
      <c r="K25" s="84"/>
      <c r="L25" s="81"/>
      <c r="M25" s="6"/>
      <c r="N25" s="6"/>
      <c r="O25" s="6"/>
      <c r="P25" s="6"/>
    </row>
    <row r="26" spans="1:16" ht="15.75" customHeight="1" thickBot="1" x14ac:dyDescent="0.5">
      <c r="J26" s="84"/>
      <c r="K26" s="84"/>
      <c r="L26" s="81"/>
      <c r="M26" s="6"/>
      <c r="N26" s="6"/>
      <c r="O26" s="6"/>
      <c r="P26" s="6"/>
    </row>
    <row r="27" spans="1:16" ht="15.75" customHeight="1" x14ac:dyDescent="0.45"/>
    <row r="28" spans="1:16" ht="15.75" customHeight="1" x14ac:dyDescent="0.45"/>
    <row r="29" spans="1:16" ht="15.75" customHeight="1" x14ac:dyDescent="0.45"/>
    <row r="30" spans="1:16" ht="15.75" customHeight="1" x14ac:dyDescent="0.45"/>
    <row r="31" spans="1:16" ht="15.75" customHeight="1" x14ac:dyDescent="0.45"/>
    <row r="32" spans="1:16"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sheetData>
  <dataValidations count="3">
    <dataValidation type="list" allowBlank="1" showErrorMessage="1" sqref="C15" xr:uid="{00000000-0002-0000-0200-000001000000}">
      <formula1>"MASS,ELECTRICITY,EMISSIONS,ENERGY"</formula1>
    </dataValidation>
    <dataValidation type="list" errorStyle="information" allowBlank="1" showInputMessage="1" showErrorMessage="1" sqref="F15 D5:D9 F5:F9 H5:H9 D15 H15" xr:uid="{3AA66CBB-E49D-4AF6-AE3F-FB01AA5142E9}">
      <formula1>"-,kg,s,m,K,°C,W,bar,kg/h,t/h,kW,kW/m2K,W/m2K,kJ/kgK,kJ/kg,m3/h,Nm3/t,kWh/Nm3,Nm3/h,%,kg/kmol,eur,eur/year,eur/kW,kWel/kWth,year, days"</formula1>
    </dataValidation>
    <dataValidation type="list" allowBlank="1" showErrorMessage="1" sqref="C5:C10" xr:uid="{00000000-0002-0000-0200-000000000000}">
      <formula1>"ELECTRICITY,EMISSIONS,MASS"</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L68"/>
  <sheetViews>
    <sheetView showGridLines="0" topLeftCell="A8" zoomScale="40" zoomScaleNormal="40" workbookViewId="0">
      <selection activeCell="G40" sqref="G40"/>
    </sheetView>
  </sheetViews>
  <sheetFormatPr baseColWidth="10" defaultColWidth="14.46484375" defaultRowHeight="15" customHeight="1" x14ac:dyDescent="0.45"/>
  <cols>
    <col min="1" max="1" width="153.33203125" style="81" bestFit="1" customWidth="1"/>
    <col min="2" max="2" width="13.6640625" style="81" customWidth="1"/>
    <col min="3" max="3" width="36.46484375" style="81" customWidth="1"/>
    <col min="4" max="4" width="14" style="81" customWidth="1"/>
    <col min="5" max="5" width="17.6640625" style="81" bestFit="1" customWidth="1"/>
    <col min="6" max="6" width="13.1328125" style="81" bestFit="1" customWidth="1"/>
    <col min="7" max="7" width="97.46484375" style="81" bestFit="1" customWidth="1"/>
    <col min="8" max="8" width="10.33203125" style="81" bestFit="1" customWidth="1"/>
    <col min="9" max="9" width="10.6640625" style="81" bestFit="1" customWidth="1"/>
    <col min="10" max="10" width="24.33203125" style="81" bestFit="1" customWidth="1"/>
    <col min="11" max="11" width="20.1328125" style="81" bestFit="1" customWidth="1"/>
    <col min="12" max="12" width="96" style="81" bestFit="1" customWidth="1"/>
    <col min="13" max="13" width="29.796875" style="81" customWidth="1"/>
    <col min="14" max="39" width="10.6640625" style="81" customWidth="1"/>
    <col min="40" max="16384" width="14.46484375" style="81"/>
  </cols>
  <sheetData>
    <row r="1" spans="1:12" customFormat="1" ht="14.25" x14ac:dyDescent="0.45">
      <c r="A1" s="23" t="s">
        <v>29</v>
      </c>
      <c r="B1" s="24"/>
      <c r="C1" s="24"/>
      <c r="D1" s="24"/>
      <c r="E1" s="24"/>
      <c r="F1" s="24"/>
      <c r="G1" s="24"/>
      <c r="H1" s="24"/>
      <c r="I1" s="24"/>
      <c r="J1" s="24"/>
      <c r="K1" s="24"/>
      <c r="L1" s="24"/>
    </row>
    <row r="2" spans="1:12" ht="14.25" x14ac:dyDescent="0.45">
      <c r="A2" s="25" t="s">
        <v>30</v>
      </c>
      <c r="B2" s="24"/>
      <c r="C2" s="24"/>
      <c r="D2" s="24"/>
      <c r="E2" s="24"/>
      <c r="F2" s="24"/>
      <c r="G2" s="24"/>
      <c r="H2" s="24"/>
      <c r="I2" s="24"/>
      <c r="J2" s="24"/>
      <c r="K2" s="24"/>
      <c r="L2" s="24"/>
    </row>
    <row r="3" spans="1:12" ht="14.25" x14ac:dyDescent="0.45">
      <c r="A3" s="26" t="s">
        <v>31</v>
      </c>
      <c r="B3" s="27"/>
      <c r="C3" s="27"/>
      <c r="D3" s="27"/>
      <c r="E3" s="27"/>
      <c r="F3" s="27"/>
      <c r="G3" s="27"/>
      <c r="H3" s="27"/>
      <c r="I3" s="27"/>
      <c r="J3" s="27"/>
      <c r="K3" s="24"/>
      <c r="L3" s="24"/>
    </row>
    <row r="4" spans="1:12" ht="14.25" x14ac:dyDescent="0.45">
      <c r="A4" s="26" t="s">
        <v>32</v>
      </c>
      <c r="B4" s="27"/>
      <c r="C4" s="27"/>
      <c r="D4" s="27"/>
      <c r="E4" s="27"/>
      <c r="F4" s="27"/>
      <c r="G4" s="27"/>
      <c r="H4" s="27"/>
      <c r="I4" s="27"/>
      <c r="J4" s="27"/>
      <c r="K4" s="24"/>
      <c r="L4" s="24"/>
    </row>
    <row r="5" spans="1:12" ht="14.25" x14ac:dyDescent="0.45">
      <c r="A5" s="26" t="s">
        <v>33</v>
      </c>
      <c r="B5" s="27"/>
      <c r="C5" s="27"/>
      <c r="D5" s="27"/>
      <c r="E5" s="27"/>
      <c r="F5" s="27"/>
      <c r="G5" s="27"/>
      <c r="H5" s="27"/>
      <c r="I5" s="27"/>
      <c r="J5" s="27"/>
      <c r="K5" s="24"/>
      <c r="L5" s="24"/>
    </row>
    <row r="6" spans="1:12" ht="14.25" x14ac:dyDescent="0.45">
      <c r="A6" s="138" t="s">
        <v>144</v>
      </c>
      <c r="B6" s="27"/>
      <c r="C6" s="27"/>
      <c r="D6" s="27"/>
      <c r="E6" s="27"/>
      <c r="F6" s="27"/>
      <c r="G6" s="27"/>
      <c r="H6" s="27"/>
      <c r="I6" s="27"/>
      <c r="J6" s="27"/>
      <c r="K6" s="24"/>
      <c r="L6" s="24"/>
    </row>
    <row r="7" spans="1:12" ht="14.25" x14ac:dyDescent="0.45">
      <c r="A7" s="28" t="s">
        <v>34</v>
      </c>
      <c r="B7" s="27"/>
      <c r="C7" s="27"/>
      <c r="D7" s="27"/>
      <c r="E7" s="27"/>
      <c r="F7" s="27"/>
      <c r="G7" s="27"/>
      <c r="H7" s="27"/>
      <c r="I7" s="27"/>
      <c r="J7" s="27"/>
      <c r="K7" s="24"/>
      <c r="L7" s="24"/>
    </row>
    <row r="8" spans="1:12" ht="14.25" x14ac:dyDescent="0.45">
      <c r="A8" s="27" t="s">
        <v>35</v>
      </c>
      <c r="B8" s="27"/>
      <c r="C8" s="27"/>
      <c r="D8" s="27"/>
      <c r="E8" s="27"/>
      <c r="F8" s="27"/>
      <c r="G8" s="27"/>
      <c r="H8" s="27"/>
      <c r="I8" s="27"/>
      <c r="J8" s="27"/>
      <c r="K8" s="24"/>
      <c r="L8" s="24"/>
    </row>
    <row r="9" spans="1:12" ht="14.25" x14ac:dyDescent="0.45">
      <c r="A9" s="29" t="s">
        <v>36</v>
      </c>
      <c r="B9" s="30"/>
      <c r="C9" s="30"/>
      <c r="D9" s="30"/>
      <c r="E9" s="30"/>
      <c r="F9" s="30"/>
      <c r="G9" s="30"/>
      <c r="H9" s="30"/>
      <c r="I9" s="30"/>
      <c r="J9" s="30"/>
      <c r="K9" s="31"/>
      <c r="L9" s="31"/>
    </row>
    <row r="10" spans="1:12" ht="14.25" x14ac:dyDescent="0.45">
      <c r="A10" s="32" t="s">
        <v>37</v>
      </c>
      <c r="B10" s="30"/>
      <c r="C10" s="30"/>
      <c r="D10" s="30"/>
      <c r="E10" s="30"/>
      <c r="F10" s="30"/>
      <c r="G10" s="30"/>
      <c r="H10" s="30"/>
      <c r="I10" s="30"/>
      <c r="J10" s="30"/>
      <c r="K10" s="31"/>
      <c r="L10" s="31"/>
    </row>
    <row r="11" spans="1:12" ht="14.25" x14ac:dyDescent="0.45">
      <c r="A11" s="27"/>
      <c r="B11" s="30"/>
      <c r="C11" s="30"/>
      <c r="D11" s="30"/>
      <c r="E11" s="30"/>
      <c r="F11" s="30"/>
      <c r="G11" s="30"/>
      <c r="H11" s="30"/>
      <c r="I11" s="30"/>
      <c r="J11" s="30"/>
      <c r="K11" s="31"/>
      <c r="L11" s="31"/>
    </row>
    <row r="12" spans="1:12" ht="17.25" customHeight="1" thickBot="1" x14ac:dyDescent="0.5">
      <c r="A12" s="33"/>
      <c r="B12" s="34"/>
      <c r="C12" s="34"/>
      <c r="D12" s="34"/>
      <c r="E12" s="34"/>
      <c r="F12" s="34"/>
      <c r="G12" s="79"/>
      <c r="H12" s="34"/>
      <c r="I12" s="34"/>
      <c r="J12" s="34"/>
      <c r="K12" s="34"/>
      <c r="L12" s="34"/>
    </row>
    <row r="13" spans="1:12" ht="14.25" x14ac:dyDescent="0.45">
      <c r="A13" s="35"/>
      <c r="B13" s="36"/>
      <c r="C13" s="36"/>
      <c r="D13" s="36"/>
      <c r="E13" s="36"/>
      <c r="F13" s="36"/>
      <c r="G13" s="80"/>
      <c r="H13" s="36"/>
      <c r="I13" s="36"/>
      <c r="J13" s="36"/>
      <c r="K13" s="36"/>
      <c r="L13" s="36"/>
    </row>
    <row r="14" spans="1:12" ht="14.65" thickBot="1" x14ac:dyDescent="0.5">
      <c r="A14" s="87" t="s">
        <v>3</v>
      </c>
      <c r="B14" s="107"/>
      <c r="C14" s="107"/>
      <c r="D14" s="107"/>
      <c r="E14" s="107"/>
      <c r="F14" s="107"/>
      <c r="G14" s="96"/>
      <c r="H14" s="107"/>
      <c r="I14" s="107"/>
      <c r="J14" s="107"/>
      <c r="K14" s="107"/>
      <c r="L14" s="108"/>
    </row>
    <row r="15" spans="1:12" ht="14.65" thickBot="1" x14ac:dyDescent="0.5">
      <c r="A15" s="109" t="s">
        <v>98</v>
      </c>
      <c r="B15" s="110" t="s">
        <v>18</v>
      </c>
      <c r="C15" s="110" t="s">
        <v>60</v>
      </c>
      <c r="D15" s="110" t="s">
        <v>34</v>
      </c>
      <c r="E15" s="110" t="s">
        <v>152</v>
      </c>
      <c r="F15" s="110" t="s">
        <v>19</v>
      </c>
      <c r="G15" s="110" t="s">
        <v>151</v>
      </c>
      <c r="H15" s="111" t="s">
        <v>61</v>
      </c>
      <c r="I15" s="110" t="s">
        <v>62</v>
      </c>
      <c r="J15" s="110" t="s">
        <v>63</v>
      </c>
      <c r="K15" s="140" t="s">
        <v>104</v>
      </c>
      <c r="L15" s="112" t="s">
        <v>15</v>
      </c>
    </row>
    <row r="16" spans="1:12" ht="14.25" x14ac:dyDescent="0.45">
      <c r="A16" s="194" t="s">
        <v>161</v>
      </c>
      <c r="B16" s="179" t="s">
        <v>162</v>
      </c>
      <c r="C16" s="179" t="s">
        <v>163</v>
      </c>
      <c r="D16" s="179" t="s">
        <v>164</v>
      </c>
      <c r="E16" s="195">
        <v>66014</v>
      </c>
      <c r="F16" s="179" t="s">
        <v>165</v>
      </c>
      <c r="G16" s="179" t="s">
        <v>27</v>
      </c>
      <c r="H16" s="219">
        <v>0</v>
      </c>
      <c r="I16" s="219">
        <v>1000000</v>
      </c>
      <c r="J16" s="196" t="s">
        <v>166</v>
      </c>
      <c r="K16" s="219" t="s">
        <v>398</v>
      </c>
      <c r="L16" s="200" t="s">
        <v>163</v>
      </c>
    </row>
    <row r="17" spans="1:12" ht="14.25" x14ac:dyDescent="0.45">
      <c r="A17" s="191" t="s">
        <v>167</v>
      </c>
      <c r="B17" s="176" t="s">
        <v>162</v>
      </c>
      <c r="C17" s="176" t="s">
        <v>168</v>
      </c>
      <c r="D17" s="176" t="s">
        <v>164</v>
      </c>
      <c r="E17" s="192">
        <v>9421</v>
      </c>
      <c r="F17" s="176" t="s">
        <v>165</v>
      </c>
      <c r="G17" s="176" t="s">
        <v>27</v>
      </c>
      <c r="H17" s="189">
        <v>0</v>
      </c>
      <c r="I17" s="189">
        <v>200000</v>
      </c>
      <c r="J17" s="193" t="s">
        <v>169</v>
      </c>
      <c r="K17" s="189" t="s">
        <v>398</v>
      </c>
      <c r="L17" s="201" t="s">
        <v>168</v>
      </c>
    </row>
    <row r="18" spans="1:12" ht="14.25" x14ac:dyDescent="0.45">
      <c r="A18" s="191" t="s">
        <v>170</v>
      </c>
      <c r="B18" s="176" t="s">
        <v>162</v>
      </c>
      <c r="C18" s="176" t="s">
        <v>171</v>
      </c>
      <c r="D18" s="176" t="s">
        <v>164</v>
      </c>
      <c r="E18" s="192">
        <v>46069</v>
      </c>
      <c r="F18" s="176" t="s">
        <v>165</v>
      </c>
      <c r="G18" s="176" t="s">
        <v>27</v>
      </c>
      <c r="H18" s="189">
        <v>0</v>
      </c>
      <c r="I18" s="189">
        <v>1000000</v>
      </c>
      <c r="J18" s="193" t="s">
        <v>172</v>
      </c>
      <c r="K18" s="189" t="s">
        <v>398</v>
      </c>
      <c r="L18" s="201" t="s">
        <v>171</v>
      </c>
    </row>
    <row r="19" spans="1:12" ht="14.25" x14ac:dyDescent="0.45">
      <c r="A19" s="191" t="s">
        <v>173</v>
      </c>
      <c r="B19" s="176" t="s">
        <v>162</v>
      </c>
      <c r="C19" s="176" t="s">
        <v>174</v>
      </c>
      <c r="D19" s="176" t="s">
        <v>164</v>
      </c>
      <c r="E19" s="192">
        <v>29.36</v>
      </c>
      <c r="F19" s="176" t="s">
        <v>175</v>
      </c>
      <c r="G19" s="176" t="s">
        <v>27</v>
      </c>
      <c r="H19" s="189">
        <v>0</v>
      </c>
      <c r="I19" s="189">
        <v>1000</v>
      </c>
      <c r="J19" s="193" t="s">
        <v>176</v>
      </c>
      <c r="K19" s="189" t="s">
        <v>398</v>
      </c>
      <c r="L19" s="201" t="s">
        <v>174</v>
      </c>
    </row>
    <row r="20" spans="1:12" ht="14.25" x14ac:dyDescent="0.45">
      <c r="A20" s="191" t="s">
        <v>177</v>
      </c>
      <c r="B20" s="176" t="s">
        <v>162</v>
      </c>
      <c r="C20" s="176" t="s">
        <v>178</v>
      </c>
      <c r="D20" s="176" t="s">
        <v>164</v>
      </c>
      <c r="E20" s="192">
        <v>25094</v>
      </c>
      <c r="F20" s="176" t="s">
        <v>179</v>
      </c>
      <c r="G20" s="176" t="s">
        <v>27</v>
      </c>
      <c r="H20" s="189">
        <v>5000</v>
      </c>
      <c r="I20" s="189">
        <v>40000</v>
      </c>
      <c r="J20" s="193" t="s">
        <v>180</v>
      </c>
      <c r="K20" s="189" t="s">
        <v>398</v>
      </c>
      <c r="L20" s="201" t="s">
        <v>178</v>
      </c>
    </row>
    <row r="21" spans="1:12" ht="14.25" x14ac:dyDescent="0.45">
      <c r="A21" s="191" t="s">
        <v>181</v>
      </c>
      <c r="B21" s="176" t="s">
        <v>162</v>
      </c>
      <c r="C21" s="176" t="s">
        <v>182</v>
      </c>
      <c r="D21" s="176" t="s">
        <v>164</v>
      </c>
      <c r="E21" s="192">
        <v>48387</v>
      </c>
      <c r="F21" s="176" t="s">
        <v>183</v>
      </c>
      <c r="G21" s="176" t="s">
        <v>27</v>
      </c>
      <c r="H21" s="189">
        <v>0</v>
      </c>
      <c r="I21" s="189">
        <v>1000000</v>
      </c>
      <c r="J21" s="193" t="s">
        <v>184</v>
      </c>
      <c r="K21" s="189" t="s">
        <v>398</v>
      </c>
      <c r="L21" s="201" t="s">
        <v>182</v>
      </c>
    </row>
    <row r="22" spans="1:12" ht="14.25" x14ac:dyDescent="0.45">
      <c r="A22" s="191" t="s">
        <v>185</v>
      </c>
      <c r="B22" s="176" t="s">
        <v>162</v>
      </c>
      <c r="C22" s="176" t="s">
        <v>186</v>
      </c>
      <c r="D22" s="176" t="s">
        <v>164</v>
      </c>
      <c r="E22" s="192">
        <v>7606</v>
      </c>
      <c r="F22" s="176" t="s">
        <v>183</v>
      </c>
      <c r="G22" s="176" t="s">
        <v>27</v>
      </c>
      <c r="H22" s="189">
        <v>0</v>
      </c>
      <c r="I22" s="189">
        <v>500000</v>
      </c>
      <c r="J22" s="193" t="s">
        <v>187</v>
      </c>
      <c r="K22" s="189" t="s">
        <v>398</v>
      </c>
      <c r="L22" s="201" t="s">
        <v>186</v>
      </c>
    </row>
    <row r="23" spans="1:12" ht="14.25" x14ac:dyDescent="0.45">
      <c r="A23" s="191" t="s">
        <v>188</v>
      </c>
      <c r="B23" s="176" t="s">
        <v>162</v>
      </c>
      <c r="C23" s="176" t="s">
        <v>189</v>
      </c>
      <c r="D23" s="176" t="s">
        <v>164</v>
      </c>
      <c r="E23" s="192">
        <v>5029</v>
      </c>
      <c r="F23" s="176" t="s">
        <v>183</v>
      </c>
      <c r="G23" s="176" t="s">
        <v>27</v>
      </c>
      <c r="H23" s="189">
        <v>0</v>
      </c>
      <c r="I23" s="189">
        <v>200000</v>
      </c>
      <c r="J23" s="193" t="s">
        <v>190</v>
      </c>
      <c r="K23" s="189" t="s">
        <v>398</v>
      </c>
      <c r="L23" s="201" t="s">
        <v>373</v>
      </c>
    </row>
    <row r="24" spans="1:12" ht="14.25" x14ac:dyDescent="0.45">
      <c r="A24" s="191" t="s">
        <v>191</v>
      </c>
      <c r="B24" s="176" t="s">
        <v>162</v>
      </c>
      <c r="C24" s="176" t="s">
        <v>192</v>
      </c>
      <c r="D24" s="176" t="s">
        <v>164</v>
      </c>
      <c r="E24" s="192">
        <v>2880</v>
      </c>
      <c r="F24" s="176" t="s">
        <v>183</v>
      </c>
      <c r="G24" s="176" t="s">
        <v>27</v>
      </c>
      <c r="H24" s="189">
        <v>0</v>
      </c>
      <c r="I24" s="189">
        <v>200000</v>
      </c>
      <c r="J24" s="193" t="s">
        <v>193</v>
      </c>
      <c r="K24" s="189" t="s">
        <v>398</v>
      </c>
      <c r="L24" s="201" t="s">
        <v>192</v>
      </c>
    </row>
    <row r="25" spans="1:12" ht="14.25" x14ac:dyDescent="0.45">
      <c r="A25" s="191" t="s">
        <v>194</v>
      </c>
      <c r="B25" s="176" t="s">
        <v>162</v>
      </c>
      <c r="C25" s="176" t="s">
        <v>195</v>
      </c>
      <c r="D25" s="176" t="s">
        <v>164</v>
      </c>
      <c r="E25" s="192">
        <v>1435</v>
      </c>
      <c r="F25" s="176" t="s">
        <v>183</v>
      </c>
      <c r="G25" s="176" t="s">
        <v>27</v>
      </c>
      <c r="H25" s="189">
        <v>0</v>
      </c>
      <c r="I25" s="189">
        <v>100000</v>
      </c>
      <c r="J25" s="193" t="s">
        <v>196</v>
      </c>
      <c r="K25" s="189" t="s">
        <v>398</v>
      </c>
      <c r="L25" s="201" t="s">
        <v>374</v>
      </c>
    </row>
    <row r="26" spans="1:12" ht="14.25" x14ac:dyDescent="0.45">
      <c r="A26" s="191" t="s">
        <v>197</v>
      </c>
      <c r="B26" s="176" t="s">
        <v>162</v>
      </c>
      <c r="C26" s="176" t="s">
        <v>198</v>
      </c>
      <c r="D26" s="176" t="s">
        <v>164</v>
      </c>
      <c r="E26" s="192">
        <v>1053</v>
      </c>
      <c r="F26" s="176" t="s">
        <v>183</v>
      </c>
      <c r="G26" s="176" t="s">
        <v>27</v>
      </c>
      <c r="H26" s="189">
        <v>0</v>
      </c>
      <c r="I26" s="189">
        <v>100000</v>
      </c>
      <c r="J26" s="193" t="s">
        <v>199</v>
      </c>
      <c r="K26" s="189" t="s">
        <v>398</v>
      </c>
      <c r="L26" s="201" t="s">
        <v>198</v>
      </c>
    </row>
    <row r="27" spans="1:12" ht="14.25" x14ac:dyDescent="0.45">
      <c r="A27" s="191" t="s">
        <v>200</v>
      </c>
      <c r="B27" s="176" t="s">
        <v>162</v>
      </c>
      <c r="C27" s="176" t="s">
        <v>201</v>
      </c>
      <c r="D27" s="176" t="s">
        <v>164</v>
      </c>
      <c r="E27" s="192">
        <v>48387</v>
      </c>
      <c r="F27" s="176" t="s">
        <v>183</v>
      </c>
      <c r="G27" s="176" t="s">
        <v>27</v>
      </c>
      <c r="H27" s="189">
        <v>0</v>
      </c>
      <c r="I27" s="189">
        <v>1000000</v>
      </c>
      <c r="J27" s="193" t="s">
        <v>202</v>
      </c>
      <c r="K27" s="189" t="s">
        <v>398</v>
      </c>
      <c r="L27" s="201" t="s">
        <v>201</v>
      </c>
    </row>
    <row r="28" spans="1:12" ht="14.25" x14ac:dyDescent="0.45">
      <c r="A28" s="191" t="s">
        <v>203</v>
      </c>
      <c r="B28" s="176" t="s">
        <v>162</v>
      </c>
      <c r="C28" s="176" t="s">
        <v>201</v>
      </c>
      <c r="D28" s="176" t="s">
        <v>164</v>
      </c>
      <c r="E28" s="192">
        <v>20310</v>
      </c>
      <c r="F28" s="176" t="s">
        <v>183</v>
      </c>
      <c r="G28" s="176" t="s">
        <v>27</v>
      </c>
      <c r="H28" s="189">
        <v>0</v>
      </c>
      <c r="I28" s="189">
        <v>500000</v>
      </c>
      <c r="J28" s="193" t="s">
        <v>204</v>
      </c>
      <c r="K28" s="189" t="s">
        <v>398</v>
      </c>
      <c r="L28" s="201" t="s">
        <v>201</v>
      </c>
    </row>
    <row r="29" spans="1:12" ht="14.25" x14ac:dyDescent="0.45">
      <c r="A29" s="191" t="s">
        <v>205</v>
      </c>
      <c r="B29" s="176" t="s">
        <v>162</v>
      </c>
      <c r="C29" s="176" t="s">
        <v>206</v>
      </c>
      <c r="D29" s="176" t="s">
        <v>164</v>
      </c>
      <c r="E29" s="192">
        <v>746.9</v>
      </c>
      <c r="F29" s="176" t="s">
        <v>183</v>
      </c>
      <c r="G29" s="176" t="s">
        <v>27</v>
      </c>
      <c r="H29" s="189">
        <v>0</v>
      </c>
      <c r="I29" s="189">
        <v>50000</v>
      </c>
      <c r="J29" s="193" t="s">
        <v>207</v>
      </c>
      <c r="K29" s="189" t="s">
        <v>398</v>
      </c>
      <c r="L29" s="201" t="s">
        <v>206</v>
      </c>
    </row>
    <row r="30" spans="1:12" ht="14.25" x14ac:dyDescent="0.45">
      <c r="A30" s="191" t="s">
        <v>208</v>
      </c>
      <c r="B30" s="176" t="s">
        <v>162</v>
      </c>
      <c r="C30" s="176" t="s">
        <v>206</v>
      </c>
      <c r="D30" s="176" t="s">
        <v>164</v>
      </c>
      <c r="E30" s="192">
        <v>1065</v>
      </c>
      <c r="F30" s="176" t="s">
        <v>183</v>
      </c>
      <c r="G30" s="176" t="s">
        <v>27</v>
      </c>
      <c r="H30" s="189">
        <v>0</v>
      </c>
      <c r="I30" s="189">
        <v>50000</v>
      </c>
      <c r="J30" s="193" t="s">
        <v>209</v>
      </c>
      <c r="K30" s="189" t="s">
        <v>398</v>
      </c>
      <c r="L30" s="201" t="s">
        <v>206</v>
      </c>
    </row>
    <row r="31" spans="1:12" ht="14.25" x14ac:dyDescent="0.45">
      <c r="A31" s="191" t="s">
        <v>210</v>
      </c>
      <c r="B31" s="176" t="s">
        <v>162</v>
      </c>
      <c r="C31" s="176" t="s">
        <v>211</v>
      </c>
      <c r="D31" s="176" t="s">
        <v>164</v>
      </c>
      <c r="E31" s="192">
        <v>28.87</v>
      </c>
      <c r="F31" s="176" t="s">
        <v>354</v>
      </c>
      <c r="G31" s="176" t="s">
        <v>27</v>
      </c>
      <c r="H31" s="189">
        <v>0</v>
      </c>
      <c r="I31" s="189">
        <v>150</v>
      </c>
      <c r="J31" s="193" t="s">
        <v>212</v>
      </c>
      <c r="K31" s="189" t="s">
        <v>398</v>
      </c>
      <c r="L31" s="201" t="s">
        <v>211</v>
      </c>
    </row>
    <row r="32" spans="1:12" ht="14.25" x14ac:dyDescent="0.45">
      <c r="A32" s="191" t="s">
        <v>213</v>
      </c>
      <c r="B32" s="176" t="s">
        <v>162</v>
      </c>
      <c r="C32" s="176" t="s">
        <v>214</v>
      </c>
      <c r="D32" s="176" t="s">
        <v>164</v>
      </c>
      <c r="E32" s="192">
        <v>700</v>
      </c>
      <c r="F32" s="176" t="s">
        <v>354</v>
      </c>
      <c r="G32" s="176" t="s">
        <v>27</v>
      </c>
      <c r="H32" s="189">
        <v>200</v>
      </c>
      <c r="I32" s="189">
        <v>1000</v>
      </c>
      <c r="J32" s="193" t="s">
        <v>215</v>
      </c>
      <c r="K32" s="189" t="s">
        <v>398</v>
      </c>
      <c r="L32" s="201" t="s">
        <v>214</v>
      </c>
    </row>
    <row r="33" spans="1:12" ht="14.25" x14ac:dyDescent="0.45">
      <c r="A33" s="191" t="s">
        <v>216</v>
      </c>
      <c r="B33" s="176" t="s">
        <v>162</v>
      </c>
      <c r="C33" s="176" t="s">
        <v>217</v>
      </c>
      <c r="D33" s="176" t="s">
        <v>164</v>
      </c>
      <c r="E33" s="192">
        <v>165.4</v>
      </c>
      <c r="F33" s="176" t="s">
        <v>354</v>
      </c>
      <c r="G33" s="176" t="s">
        <v>27</v>
      </c>
      <c r="H33" s="189">
        <v>30</v>
      </c>
      <c r="I33" s="189">
        <v>300</v>
      </c>
      <c r="J33" s="193" t="s">
        <v>218</v>
      </c>
      <c r="K33" s="189" t="s">
        <v>398</v>
      </c>
      <c r="L33" s="201" t="s">
        <v>217</v>
      </c>
    </row>
    <row r="34" spans="1:12" ht="14.25" x14ac:dyDescent="0.45">
      <c r="A34" s="191" t="s">
        <v>219</v>
      </c>
      <c r="B34" s="176" t="s">
        <v>162</v>
      </c>
      <c r="C34" s="176" t="s">
        <v>220</v>
      </c>
      <c r="D34" s="176" t="s">
        <v>164</v>
      </c>
      <c r="E34" s="192">
        <v>107.7</v>
      </c>
      <c r="F34" s="176" t="s">
        <v>354</v>
      </c>
      <c r="G34" s="176" t="s">
        <v>27</v>
      </c>
      <c r="H34" s="189">
        <v>30</v>
      </c>
      <c r="I34" s="189">
        <v>300</v>
      </c>
      <c r="J34" s="193" t="s">
        <v>221</v>
      </c>
      <c r="K34" s="189" t="s">
        <v>398</v>
      </c>
      <c r="L34" s="201" t="s">
        <v>220</v>
      </c>
    </row>
    <row r="35" spans="1:12" ht="14.25" x14ac:dyDescent="0.45">
      <c r="A35" s="191" t="s">
        <v>222</v>
      </c>
      <c r="B35" s="176" t="s">
        <v>162</v>
      </c>
      <c r="C35" s="176" t="s">
        <v>223</v>
      </c>
      <c r="D35" s="176" t="s">
        <v>164</v>
      </c>
      <c r="E35" s="192">
        <v>115.7</v>
      </c>
      <c r="F35" s="176" t="s">
        <v>354</v>
      </c>
      <c r="G35" s="176" t="s">
        <v>27</v>
      </c>
      <c r="H35" s="189">
        <v>30</v>
      </c>
      <c r="I35" s="189">
        <v>300</v>
      </c>
      <c r="J35" s="193" t="s">
        <v>224</v>
      </c>
      <c r="K35" s="189" t="s">
        <v>398</v>
      </c>
      <c r="L35" s="201" t="s">
        <v>223</v>
      </c>
    </row>
    <row r="36" spans="1:12" ht="14.25" x14ac:dyDescent="0.45">
      <c r="A36" s="191" t="s">
        <v>225</v>
      </c>
      <c r="B36" s="176" t="s">
        <v>162</v>
      </c>
      <c r="C36" s="176" t="s">
        <v>226</v>
      </c>
      <c r="D36" s="176" t="s">
        <v>164</v>
      </c>
      <c r="E36" s="192">
        <v>92.72</v>
      </c>
      <c r="F36" s="176" t="s">
        <v>354</v>
      </c>
      <c r="G36" s="176" t="s">
        <v>27</v>
      </c>
      <c r="H36" s="189">
        <v>30</v>
      </c>
      <c r="I36" s="189">
        <v>300</v>
      </c>
      <c r="J36" s="193" t="s">
        <v>227</v>
      </c>
      <c r="K36" s="189" t="s">
        <v>398</v>
      </c>
      <c r="L36" s="201" t="s">
        <v>226</v>
      </c>
    </row>
    <row r="37" spans="1:12" ht="14.25" x14ac:dyDescent="0.45">
      <c r="A37" s="191" t="s">
        <v>228</v>
      </c>
      <c r="B37" s="176" t="s">
        <v>162</v>
      </c>
      <c r="C37" s="176" t="s">
        <v>229</v>
      </c>
      <c r="D37" s="176" t="s">
        <v>164</v>
      </c>
      <c r="E37" s="192">
        <v>750</v>
      </c>
      <c r="F37" s="176" t="s">
        <v>354</v>
      </c>
      <c r="G37" s="176" t="s">
        <v>27</v>
      </c>
      <c r="H37" s="189">
        <v>400</v>
      </c>
      <c r="I37" s="189">
        <v>1200</v>
      </c>
      <c r="J37" s="193" t="s">
        <v>230</v>
      </c>
      <c r="K37" s="189" t="s">
        <v>398</v>
      </c>
      <c r="L37" s="201" t="s">
        <v>229</v>
      </c>
    </row>
    <row r="38" spans="1:12" ht="14.25" x14ac:dyDescent="0.45">
      <c r="A38" s="191" t="s">
        <v>231</v>
      </c>
      <c r="B38" s="176" t="s">
        <v>162</v>
      </c>
      <c r="C38" s="176" t="s">
        <v>229</v>
      </c>
      <c r="D38" s="176" t="s">
        <v>164</v>
      </c>
      <c r="E38" s="192">
        <v>99.34</v>
      </c>
      <c r="F38" s="176" t="s">
        <v>354</v>
      </c>
      <c r="G38" s="176" t="s">
        <v>27</v>
      </c>
      <c r="H38" s="189">
        <v>50</v>
      </c>
      <c r="I38" s="189">
        <v>300</v>
      </c>
      <c r="J38" s="193" t="s">
        <v>232</v>
      </c>
      <c r="K38" s="189" t="s">
        <v>398</v>
      </c>
      <c r="L38" s="201" t="s">
        <v>229</v>
      </c>
    </row>
    <row r="39" spans="1:12" ht="14.25" x14ac:dyDescent="0.45">
      <c r="A39" s="191" t="s">
        <v>233</v>
      </c>
      <c r="B39" s="176" t="s">
        <v>162</v>
      </c>
      <c r="C39" s="176" t="s">
        <v>234</v>
      </c>
      <c r="D39" s="176" t="s">
        <v>164</v>
      </c>
      <c r="E39" s="192">
        <v>91.53</v>
      </c>
      <c r="F39" s="176" t="s">
        <v>354</v>
      </c>
      <c r="G39" s="176" t="s">
        <v>27</v>
      </c>
      <c r="H39" s="189">
        <v>30</v>
      </c>
      <c r="I39" s="189">
        <v>300</v>
      </c>
      <c r="J39" s="193" t="s">
        <v>235</v>
      </c>
      <c r="K39" s="189" t="s">
        <v>398</v>
      </c>
      <c r="L39" s="201" t="s">
        <v>234</v>
      </c>
    </row>
    <row r="40" spans="1:12" ht="14.25" x14ac:dyDescent="0.45">
      <c r="A40" s="191" t="s">
        <v>236</v>
      </c>
      <c r="B40" s="176" t="s">
        <v>162</v>
      </c>
      <c r="C40" s="176" t="s">
        <v>234</v>
      </c>
      <c r="D40" s="176" t="s">
        <v>164</v>
      </c>
      <c r="E40" s="192">
        <v>115.9</v>
      </c>
      <c r="F40" s="176" t="s">
        <v>354</v>
      </c>
      <c r="G40" s="176" t="s">
        <v>27</v>
      </c>
      <c r="H40" s="189">
        <v>30</v>
      </c>
      <c r="I40" s="189">
        <v>300</v>
      </c>
      <c r="J40" s="193" t="s">
        <v>237</v>
      </c>
      <c r="K40" s="189" t="s">
        <v>398</v>
      </c>
      <c r="L40" s="201" t="s">
        <v>234</v>
      </c>
    </row>
    <row r="41" spans="1:12" ht="14.25" x14ac:dyDescent="0.45">
      <c r="A41" s="191" t="s">
        <v>238</v>
      </c>
      <c r="B41" s="176" t="s">
        <v>162</v>
      </c>
      <c r="C41" s="176" t="s">
        <v>239</v>
      </c>
      <c r="D41" s="176" t="s">
        <v>164</v>
      </c>
      <c r="E41" s="192">
        <v>700</v>
      </c>
      <c r="F41" s="176" t="s">
        <v>354</v>
      </c>
      <c r="G41" s="176" t="s">
        <v>27</v>
      </c>
      <c r="H41" s="189">
        <v>300</v>
      </c>
      <c r="I41" s="189">
        <v>1100</v>
      </c>
      <c r="J41" s="193" t="s">
        <v>240</v>
      </c>
      <c r="K41" s="189" t="s">
        <v>398</v>
      </c>
      <c r="L41" s="201" t="s">
        <v>239</v>
      </c>
    </row>
    <row r="42" spans="1:12" ht="14.25" x14ac:dyDescent="0.45">
      <c r="A42" s="191" t="s">
        <v>241</v>
      </c>
      <c r="B42" s="176" t="s">
        <v>162</v>
      </c>
      <c r="C42" s="176" t="s">
        <v>242</v>
      </c>
      <c r="D42" s="176" t="s">
        <v>164</v>
      </c>
      <c r="E42" s="192">
        <v>750</v>
      </c>
      <c r="F42" s="176" t="s">
        <v>354</v>
      </c>
      <c r="G42" s="176" t="s">
        <v>27</v>
      </c>
      <c r="H42" s="189">
        <v>500</v>
      </c>
      <c r="I42" s="189">
        <v>1200</v>
      </c>
      <c r="J42" s="193" t="s">
        <v>243</v>
      </c>
      <c r="K42" s="189" t="s">
        <v>398</v>
      </c>
      <c r="L42" s="201" t="s">
        <v>242</v>
      </c>
    </row>
    <row r="43" spans="1:12" ht="14.25" x14ac:dyDescent="0.45">
      <c r="A43" s="191" t="s">
        <v>244</v>
      </c>
      <c r="B43" s="176" t="s">
        <v>162</v>
      </c>
      <c r="C43" s="176" t="s">
        <v>245</v>
      </c>
      <c r="D43" s="176" t="s">
        <v>164</v>
      </c>
      <c r="E43" s="192">
        <v>30</v>
      </c>
      <c r="F43" s="176" t="s">
        <v>354</v>
      </c>
      <c r="G43" s="176" t="s">
        <v>27</v>
      </c>
      <c r="H43" s="189">
        <v>10</v>
      </c>
      <c r="I43" s="189">
        <v>100</v>
      </c>
      <c r="J43" s="193" t="s">
        <v>246</v>
      </c>
      <c r="K43" s="189" t="s">
        <v>398</v>
      </c>
      <c r="L43" s="201" t="s">
        <v>245</v>
      </c>
    </row>
    <row r="44" spans="1:12" ht="14.25" x14ac:dyDescent="0.45">
      <c r="A44" s="191" t="s">
        <v>247</v>
      </c>
      <c r="B44" s="176" t="s">
        <v>162</v>
      </c>
      <c r="C44" s="176" t="s">
        <v>248</v>
      </c>
      <c r="D44" s="176" t="s">
        <v>164</v>
      </c>
      <c r="E44" s="192">
        <v>30</v>
      </c>
      <c r="F44" s="176" t="s">
        <v>354</v>
      </c>
      <c r="G44" s="176" t="s">
        <v>27</v>
      </c>
      <c r="H44" s="189">
        <v>10</v>
      </c>
      <c r="I44" s="189">
        <v>100</v>
      </c>
      <c r="J44" s="193" t="s">
        <v>249</v>
      </c>
      <c r="K44" s="189" t="s">
        <v>398</v>
      </c>
      <c r="L44" s="201" t="s">
        <v>248</v>
      </c>
    </row>
    <row r="45" spans="1:12" ht="14.25" x14ac:dyDescent="0.45">
      <c r="A45" s="191" t="s">
        <v>250</v>
      </c>
      <c r="B45" s="176" t="s">
        <v>162</v>
      </c>
      <c r="C45" s="176" t="s">
        <v>251</v>
      </c>
      <c r="D45" s="176" t="s">
        <v>164</v>
      </c>
      <c r="E45" s="192">
        <v>30</v>
      </c>
      <c r="F45" s="176" t="s">
        <v>354</v>
      </c>
      <c r="G45" s="176" t="s">
        <v>27</v>
      </c>
      <c r="H45" s="189">
        <v>10</v>
      </c>
      <c r="I45" s="189">
        <v>100</v>
      </c>
      <c r="J45" s="193" t="s">
        <v>252</v>
      </c>
      <c r="K45" s="189" t="s">
        <v>398</v>
      </c>
      <c r="L45" s="201" t="s">
        <v>251</v>
      </c>
    </row>
    <row r="46" spans="1:12" ht="14.25" x14ac:dyDescent="0.45">
      <c r="A46" s="191" t="s">
        <v>253</v>
      </c>
      <c r="B46" s="176" t="s">
        <v>162</v>
      </c>
      <c r="C46" s="176" t="s">
        <v>251</v>
      </c>
      <c r="D46" s="176" t="s">
        <v>164</v>
      </c>
      <c r="E46" s="192">
        <v>30</v>
      </c>
      <c r="F46" s="176" t="s">
        <v>354</v>
      </c>
      <c r="G46" s="176" t="s">
        <v>27</v>
      </c>
      <c r="H46" s="189">
        <v>10</v>
      </c>
      <c r="I46" s="189">
        <v>100</v>
      </c>
      <c r="J46" s="193" t="s">
        <v>254</v>
      </c>
      <c r="K46" s="189" t="s">
        <v>398</v>
      </c>
      <c r="L46" s="201" t="s">
        <v>251</v>
      </c>
    </row>
    <row r="47" spans="1:12" ht="14.25" x14ac:dyDescent="0.45">
      <c r="A47" s="191" t="s">
        <v>255</v>
      </c>
      <c r="B47" s="176" t="s">
        <v>162</v>
      </c>
      <c r="C47" s="176" t="s">
        <v>256</v>
      </c>
      <c r="D47" s="176" t="s">
        <v>164</v>
      </c>
      <c r="E47" s="192">
        <v>99.34</v>
      </c>
      <c r="F47" s="176" t="s">
        <v>354</v>
      </c>
      <c r="G47" s="176" t="s">
        <v>27</v>
      </c>
      <c r="H47" s="189">
        <v>50</v>
      </c>
      <c r="I47" s="189">
        <v>400</v>
      </c>
      <c r="J47" s="193" t="s">
        <v>257</v>
      </c>
      <c r="K47" s="189" t="s">
        <v>398</v>
      </c>
      <c r="L47" s="201" t="s">
        <v>256</v>
      </c>
    </row>
    <row r="48" spans="1:12" ht="14.25" x14ac:dyDescent="0.45">
      <c r="A48" s="191" t="s">
        <v>258</v>
      </c>
      <c r="B48" s="176" t="s">
        <v>162</v>
      </c>
      <c r="C48" s="176" t="s">
        <v>256</v>
      </c>
      <c r="D48" s="176" t="s">
        <v>164</v>
      </c>
      <c r="E48" s="192">
        <v>30</v>
      </c>
      <c r="F48" s="176" t="s">
        <v>354</v>
      </c>
      <c r="G48" s="176" t="s">
        <v>27</v>
      </c>
      <c r="H48" s="189">
        <v>10</v>
      </c>
      <c r="I48" s="189">
        <v>100</v>
      </c>
      <c r="J48" s="193" t="s">
        <v>259</v>
      </c>
      <c r="K48" s="189" t="s">
        <v>398</v>
      </c>
      <c r="L48" s="201" t="s">
        <v>256</v>
      </c>
    </row>
    <row r="49" spans="1:12" ht="14.25" x14ac:dyDescent="0.45">
      <c r="A49" s="191" t="s">
        <v>260</v>
      </c>
      <c r="B49" s="176" t="s">
        <v>162</v>
      </c>
      <c r="C49" s="176" t="s">
        <v>261</v>
      </c>
      <c r="D49" s="176" t="s">
        <v>164</v>
      </c>
      <c r="E49" s="192">
        <v>30</v>
      </c>
      <c r="F49" s="176" t="s">
        <v>354</v>
      </c>
      <c r="G49" s="176" t="s">
        <v>27</v>
      </c>
      <c r="H49" s="189">
        <v>10</v>
      </c>
      <c r="I49" s="189">
        <v>100</v>
      </c>
      <c r="J49" s="193" t="s">
        <v>262</v>
      </c>
      <c r="K49" s="189" t="s">
        <v>398</v>
      </c>
      <c r="L49" s="201" t="s">
        <v>261</v>
      </c>
    </row>
    <row r="50" spans="1:12" ht="14.25" x14ac:dyDescent="0.45">
      <c r="A50" s="191" t="s">
        <v>263</v>
      </c>
      <c r="B50" s="176" t="s">
        <v>162</v>
      </c>
      <c r="C50" s="176" t="s">
        <v>261</v>
      </c>
      <c r="D50" s="176" t="s">
        <v>164</v>
      </c>
      <c r="E50" s="192">
        <v>30</v>
      </c>
      <c r="F50" s="176" t="s">
        <v>354</v>
      </c>
      <c r="G50" s="176" t="s">
        <v>27</v>
      </c>
      <c r="H50" s="189">
        <v>10</v>
      </c>
      <c r="I50" s="189">
        <v>100</v>
      </c>
      <c r="J50" s="193" t="s">
        <v>264</v>
      </c>
      <c r="K50" s="189" t="s">
        <v>398</v>
      </c>
      <c r="L50" s="201" t="s">
        <v>261</v>
      </c>
    </row>
    <row r="51" spans="1:12" ht="14.25" x14ac:dyDescent="0.45">
      <c r="A51" s="191" t="s">
        <v>265</v>
      </c>
      <c r="B51" s="176" t="s">
        <v>162</v>
      </c>
      <c r="C51" s="176" t="s">
        <v>266</v>
      </c>
      <c r="D51" s="176" t="s">
        <v>164</v>
      </c>
      <c r="E51" s="192">
        <v>8</v>
      </c>
      <c r="F51" s="176" t="s">
        <v>354</v>
      </c>
      <c r="G51" s="176" t="s">
        <v>27</v>
      </c>
      <c r="H51" s="189">
        <v>0.1</v>
      </c>
      <c r="I51" s="189">
        <v>100</v>
      </c>
      <c r="J51" s="193" t="s">
        <v>267</v>
      </c>
      <c r="K51" s="189" t="s">
        <v>398</v>
      </c>
      <c r="L51" s="201" t="s">
        <v>266</v>
      </c>
    </row>
    <row r="52" spans="1:12" ht="14.25" x14ac:dyDescent="0.45">
      <c r="A52" s="191" t="s">
        <v>268</v>
      </c>
      <c r="B52" s="176" t="s">
        <v>162</v>
      </c>
      <c r="C52" s="176" t="s">
        <v>269</v>
      </c>
      <c r="D52" s="176" t="s">
        <v>164</v>
      </c>
      <c r="E52" s="192">
        <v>2</v>
      </c>
      <c r="F52" s="176" t="s">
        <v>354</v>
      </c>
      <c r="G52" s="176" t="s">
        <v>27</v>
      </c>
      <c r="H52" s="189">
        <v>0.1</v>
      </c>
      <c r="I52" s="189">
        <v>50</v>
      </c>
      <c r="J52" s="193" t="s">
        <v>270</v>
      </c>
      <c r="K52" s="189" t="s">
        <v>398</v>
      </c>
      <c r="L52" s="201" t="s">
        <v>269</v>
      </c>
    </row>
    <row r="53" spans="1:12" ht="14.25" x14ac:dyDescent="0.45">
      <c r="A53" s="191" t="s">
        <v>271</v>
      </c>
      <c r="B53" s="176" t="s">
        <v>162</v>
      </c>
      <c r="C53" s="176" t="s">
        <v>272</v>
      </c>
      <c r="D53" s="176" t="s">
        <v>164</v>
      </c>
      <c r="E53" s="192">
        <f>5029+2880</f>
        <v>7909</v>
      </c>
      <c r="F53" s="176" t="s">
        <v>183</v>
      </c>
      <c r="G53" s="176" t="s">
        <v>319</v>
      </c>
      <c r="H53" s="189">
        <v>0</v>
      </c>
      <c r="I53" s="189">
        <v>500000</v>
      </c>
      <c r="J53" s="193" t="s">
        <v>273</v>
      </c>
      <c r="K53" s="189" t="s">
        <v>398</v>
      </c>
      <c r="L53" s="201" t="s">
        <v>272</v>
      </c>
    </row>
    <row r="54" spans="1:12" ht="14.25" x14ac:dyDescent="0.45">
      <c r="A54" s="191" t="s">
        <v>274</v>
      </c>
      <c r="B54" s="176" t="s">
        <v>162</v>
      </c>
      <c r="C54" s="176" t="s">
        <v>275</v>
      </c>
      <c r="D54" s="176" t="s">
        <v>164</v>
      </c>
      <c r="E54" s="192">
        <f>1409+1011</f>
        <v>2420</v>
      </c>
      <c r="F54" s="176" t="s">
        <v>183</v>
      </c>
      <c r="G54" s="176" t="s">
        <v>320</v>
      </c>
      <c r="H54" s="189">
        <v>0</v>
      </c>
      <c r="I54" s="189">
        <v>200000</v>
      </c>
      <c r="J54" s="193" t="s">
        <v>276</v>
      </c>
      <c r="K54" s="189" t="s">
        <v>398</v>
      </c>
      <c r="L54" s="201" t="s">
        <v>275</v>
      </c>
    </row>
    <row r="55" spans="1:12" ht="14.25" x14ac:dyDescent="0.45">
      <c r="A55" s="191" t="s">
        <v>277</v>
      </c>
      <c r="B55" s="176" t="s">
        <v>162</v>
      </c>
      <c r="C55" s="176" t="s">
        <v>278</v>
      </c>
      <c r="D55" s="176" t="s">
        <v>164</v>
      </c>
      <c r="E55" s="192">
        <f>718.3+1027</f>
        <v>1745.3</v>
      </c>
      <c r="F55" s="176" t="s">
        <v>183</v>
      </c>
      <c r="G55" s="176" t="s">
        <v>321</v>
      </c>
      <c r="H55" s="189">
        <v>0</v>
      </c>
      <c r="I55" s="189">
        <v>100000</v>
      </c>
      <c r="J55" s="193" t="s">
        <v>279</v>
      </c>
      <c r="K55" s="189" t="s">
        <v>398</v>
      </c>
      <c r="L55" s="201" t="s">
        <v>278</v>
      </c>
    </row>
    <row r="56" spans="1:12" ht="14.25" x14ac:dyDescent="0.45">
      <c r="A56" s="191" t="s">
        <v>280</v>
      </c>
      <c r="B56" s="176" t="s">
        <v>162</v>
      </c>
      <c r="C56" s="176" t="s">
        <v>281</v>
      </c>
      <c r="D56" s="176" t="s">
        <v>164</v>
      </c>
      <c r="E56" s="192">
        <f>4772+4670</f>
        <v>9442</v>
      </c>
      <c r="F56" s="176" t="s">
        <v>183</v>
      </c>
      <c r="G56" s="176" t="s">
        <v>322</v>
      </c>
      <c r="H56" s="189">
        <v>0</v>
      </c>
      <c r="I56" s="189">
        <v>500000</v>
      </c>
      <c r="J56" s="193" t="s">
        <v>282</v>
      </c>
      <c r="K56" s="189" t="s">
        <v>398</v>
      </c>
      <c r="L56" s="201" t="s">
        <v>281</v>
      </c>
    </row>
    <row r="57" spans="1:12" ht="14.25" x14ac:dyDescent="0.45">
      <c r="A57" s="191" t="s">
        <v>283</v>
      </c>
      <c r="B57" s="176" t="s">
        <v>162</v>
      </c>
      <c r="C57" s="176" t="s">
        <v>284</v>
      </c>
      <c r="D57" s="176" t="s">
        <v>164</v>
      </c>
      <c r="E57" s="192">
        <f>4489+4203</f>
        <v>8692</v>
      </c>
      <c r="F57" s="176" t="s">
        <v>183</v>
      </c>
      <c r="G57" s="176" t="s">
        <v>323</v>
      </c>
      <c r="H57" s="189">
        <v>0</v>
      </c>
      <c r="I57" s="189">
        <v>500000</v>
      </c>
      <c r="J57" s="193" t="s">
        <v>285</v>
      </c>
      <c r="K57" s="189" t="s">
        <v>398</v>
      </c>
      <c r="L57" s="201" t="s">
        <v>284</v>
      </c>
    </row>
    <row r="58" spans="1:12" ht="14.25" x14ac:dyDescent="0.45">
      <c r="A58" s="191" t="s">
        <v>286</v>
      </c>
      <c r="B58" s="176" t="s">
        <v>162</v>
      </c>
      <c r="C58" s="176" t="s">
        <v>287</v>
      </c>
      <c r="D58" s="176" t="s">
        <v>164</v>
      </c>
      <c r="E58" s="192">
        <v>25</v>
      </c>
      <c r="F58" s="176" t="s">
        <v>288</v>
      </c>
      <c r="G58" s="176" t="s">
        <v>27</v>
      </c>
      <c r="H58" s="189">
        <v>1</v>
      </c>
      <c r="I58" s="189">
        <v>50</v>
      </c>
      <c r="J58" s="193" t="s">
        <v>289</v>
      </c>
      <c r="K58" s="189" t="s">
        <v>398</v>
      </c>
      <c r="L58" s="201" t="s">
        <v>287</v>
      </c>
    </row>
    <row r="59" spans="1:12" ht="14.25" x14ac:dyDescent="0.45">
      <c r="A59" s="191" t="s">
        <v>290</v>
      </c>
      <c r="B59" s="176" t="s">
        <v>162</v>
      </c>
      <c r="C59" s="176" t="s">
        <v>291</v>
      </c>
      <c r="D59" s="176" t="s">
        <v>164</v>
      </c>
      <c r="E59" s="192">
        <v>0.06</v>
      </c>
      <c r="F59" s="176" t="s">
        <v>27</v>
      </c>
      <c r="G59" s="176" t="s">
        <v>27</v>
      </c>
      <c r="H59" s="189">
        <v>0</v>
      </c>
      <c r="I59" s="189">
        <v>0.5</v>
      </c>
      <c r="J59" s="193" t="s">
        <v>292</v>
      </c>
      <c r="K59" s="189" t="s">
        <v>398</v>
      </c>
      <c r="L59" s="201" t="s">
        <v>291</v>
      </c>
    </row>
    <row r="60" spans="1:12" ht="14.25" x14ac:dyDescent="0.45">
      <c r="A60" s="191" t="s">
        <v>293</v>
      </c>
      <c r="B60" s="176" t="s">
        <v>162</v>
      </c>
      <c r="C60" s="176" t="s">
        <v>365</v>
      </c>
      <c r="D60" s="176" t="s">
        <v>164</v>
      </c>
      <c r="E60" s="192">
        <v>596.20000000000005</v>
      </c>
      <c r="F60" s="176" t="s">
        <v>27</v>
      </c>
      <c r="G60" s="176" t="s">
        <v>27</v>
      </c>
      <c r="H60" s="189">
        <v>100</v>
      </c>
      <c r="I60" s="189">
        <v>2000</v>
      </c>
      <c r="J60" s="193" t="s">
        <v>294</v>
      </c>
      <c r="K60" s="189" t="s">
        <v>398</v>
      </c>
      <c r="L60" s="201" t="s">
        <v>365</v>
      </c>
    </row>
    <row r="61" spans="1:12" ht="14.25" x14ac:dyDescent="0.45">
      <c r="A61" s="191" t="s">
        <v>295</v>
      </c>
      <c r="B61" s="176" t="s">
        <v>162</v>
      </c>
      <c r="C61" s="176" t="s">
        <v>296</v>
      </c>
      <c r="D61" s="176" t="s">
        <v>164</v>
      </c>
      <c r="E61" s="192">
        <v>575.4</v>
      </c>
      <c r="F61" s="176" t="s">
        <v>27</v>
      </c>
      <c r="G61" s="176" t="s">
        <v>27</v>
      </c>
      <c r="H61" s="189">
        <v>100</v>
      </c>
      <c r="I61" s="189">
        <v>2000</v>
      </c>
      <c r="J61" s="193" t="s">
        <v>297</v>
      </c>
      <c r="K61" s="189" t="s">
        <v>398</v>
      </c>
      <c r="L61" s="201" t="s">
        <v>296</v>
      </c>
    </row>
    <row r="62" spans="1:12" ht="14.25" x14ac:dyDescent="0.45">
      <c r="A62" s="191" t="s">
        <v>298</v>
      </c>
      <c r="B62" s="176" t="s">
        <v>162</v>
      </c>
      <c r="C62" s="176" t="s">
        <v>384</v>
      </c>
      <c r="D62" s="176" t="s">
        <v>164</v>
      </c>
      <c r="E62" s="192">
        <v>200</v>
      </c>
      <c r="F62" s="176" t="s">
        <v>376</v>
      </c>
      <c r="G62" s="176" t="s">
        <v>27</v>
      </c>
      <c r="H62" s="189">
        <v>1</v>
      </c>
      <c r="I62" s="189">
        <v>10000</v>
      </c>
      <c r="J62" s="193" t="s">
        <v>300</v>
      </c>
      <c r="K62" s="189" t="s">
        <v>398</v>
      </c>
      <c r="L62" s="201" t="s">
        <v>299</v>
      </c>
    </row>
    <row r="63" spans="1:12" ht="14.25" x14ac:dyDescent="0.45">
      <c r="A63" s="191" t="s">
        <v>301</v>
      </c>
      <c r="B63" s="176" t="s">
        <v>162</v>
      </c>
      <c r="C63" s="176" t="s">
        <v>302</v>
      </c>
      <c r="D63" s="176" t="s">
        <v>164</v>
      </c>
      <c r="E63" s="192">
        <f>1*Syngas_ouput</f>
        <v>46069</v>
      </c>
      <c r="F63" s="176" t="s">
        <v>165</v>
      </c>
      <c r="G63" s="176" t="s">
        <v>360</v>
      </c>
      <c r="H63" s="189">
        <v>0</v>
      </c>
      <c r="I63" s="189">
        <v>1000000</v>
      </c>
      <c r="J63" s="193" t="s">
        <v>303</v>
      </c>
      <c r="K63" s="189" t="s">
        <v>398</v>
      </c>
      <c r="L63" s="201" t="s">
        <v>302</v>
      </c>
    </row>
    <row r="64" spans="1:12" ht="14.25" x14ac:dyDescent="0.45">
      <c r="A64" s="203" t="s">
        <v>359</v>
      </c>
      <c r="B64" s="176" t="s">
        <v>162</v>
      </c>
      <c r="C64" s="176" t="s">
        <v>397</v>
      </c>
      <c r="D64" s="176" t="s">
        <v>164</v>
      </c>
      <c r="E64" s="192">
        <f>Syngas_ouput*LHV_syngas/3600</f>
        <v>321126.52388888889</v>
      </c>
      <c r="F64" s="176" t="s">
        <v>183</v>
      </c>
      <c r="G64" s="176" t="s">
        <v>361</v>
      </c>
      <c r="H64" s="189">
        <v>0</v>
      </c>
      <c r="I64" s="189">
        <v>10000000</v>
      </c>
      <c r="J64" s="193" t="s">
        <v>305</v>
      </c>
      <c r="K64" s="189" t="s">
        <v>398</v>
      </c>
      <c r="L64" s="201" t="s">
        <v>304</v>
      </c>
    </row>
    <row r="65" spans="1:12" ht="14.25" x14ac:dyDescent="0.45">
      <c r="A65" s="191" t="s">
        <v>306</v>
      </c>
      <c r="B65" s="176" t="s">
        <v>162</v>
      </c>
      <c r="C65" s="176" t="s">
        <v>307</v>
      </c>
      <c r="D65" s="176" t="s">
        <v>164</v>
      </c>
      <c r="E65" s="192">
        <f>H2_compr+CO2_compr+Recy_compr</f>
        <v>12074.3</v>
      </c>
      <c r="F65" s="176" t="s">
        <v>183</v>
      </c>
      <c r="G65" s="176" t="s">
        <v>362</v>
      </c>
      <c r="H65" s="189">
        <v>0</v>
      </c>
      <c r="I65" s="189">
        <v>1000000</v>
      </c>
      <c r="J65" s="193" t="s">
        <v>308</v>
      </c>
      <c r="K65" s="189" t="s">
        <v>398</v>
      </c>
      <c r="L65" s="201" t="s">
        <v>307</v>
      </c>
    </row>
    <row r="66" spans="1:12" ht="14.25" x14ac:dyDescent="0.45">
      <c r="A66" s="191" t="s">
        <v>309</v>
      </c>
      <c r="B66" s="176" t="s">
        <v>162</v>
      </c>
      <c r="C66" s="176" t="s">
        <v>310</v>
      </c>
      <c r="D66" s="176" t="s">
        <v>164</v>
      </c>
      <c r="E66" s="192">
        <f>(i*(1+i)^n)/((1+i)^n-1)</f>
        <v>7.8226718212273949E-2</v>
      </c>
      <c r="F66" s="176" t="s">
        <v>27</v>
      </c>
      <c r="G66" s="176" t="s">
        <v>363</v>
      </c>
      <c r="H66" s="189">
        <v>0.01</v>
      </c>
      <c r="I66" s="189">
        <v>1</v>
      </c>
      <c r="J66" s="193" t="s">
        <v>311</v>
      </c>
      <c r="K66" s="189" t="s">
        <v>398</v>
      </c>
      <c r="L66" s="201" t="s">
        <v>310</v>
      </c>
    </row>
    <row r="67" spans="1:12" ht="14.25" x14ac:dyDescent="0.45">
      <c r="A67" s="191" t="s">
        <v>312</v>
      </c>
      <c r="B67" s="176" t="s">
        <v>162</v>
      </c>
      <c r="C67" s="176" t="s">
        <v>313</v>
      </c>
      <c r="D67" s="176" t="s">
        <v>164</v>
      </c>
      <c r="E67" s="192">
        <f>0.4*Q_cold1+Q_cold2</f>
        <v>26960.799999999999</v>
      </c>
      <c r="F67" s="176" t="s">
        <v>314</v>
      </c>
      <c r="G67" s="176" t="s">
        <v>383</v>
      </c>
      <c r="H67" s="189">
        <v>0</v>
      </c>
      <c r="I67" s="189">
        <v>1000000</v>
      </c>
      <c r="J67" s="193" t="s">
        <v>315</v>
      </c>
      <c r="K67" s="189" t="s">
        <v>398</v>
      </c>
      <c r="L67" s="201" t="s">
        <v>313</v>
      </c>
    </row>
    <row r="68" spans="1:12" ht="14.65" thickBot="1" x14ac:dyDescent="0.5">
      <c r="A68" s="197" t="s">
        <v>316</v>
      </c>
      <c r="B68" s="178" t="s">
        <v>162</v>
      </c>
      <c r="C68" s="178" t="s">
        <v>382</v>
      </c>
      <c r="D68" s="178" t="s">
        <v>164</v>
      </c>
      <c r="E68" s="198">
        <f>Cinv2_rWGS_spec*heat_costing*(CEPCI_2020/CEPCI_2008)*Annuity</f>
        <v>437058.92735135596</v>
      </c>
      <c r="F68" s="178" t="s">
        <v>375</v>
      </c>
      <c r="G68" s="178" t="s">
        <v>364</v>
      </c>
      <c r="H68" s="190">
        <v>0</v>
      </c>
      <c r="I68" s="190">
        <v>5000000000</v>
      </c>
      <c r="J68" s="199" t="s">
        <v>318</v>
      </c>
      <c r="K68" s="190" t="s">
        <v>398</v>
      </c>
      <c r="L68" s="202" t="s">
        <v>317</v>
      </c>
    </row>
  </sheetData>
  <dataValidations count="3">
    <dataValidation type="list" allowBlank="1" showErrorMessage="1" sqref="B16:B68" xr:uid="{00000000-0002-0000-0300-000000000000}">
      <formula1>"CONTEXT,LITERATURE,MEASURED,DECISION"</formula1>
    </dataValidation>
    <dataValidation type="list" allowBlank="1" showErrorMessage="1" sqref="D16:D68" xr:uid="{00000000-0002-0000-0300-000001000000}">
      <formula1>"MANDATORY,OPTIONAL,PRIVATE"</formula1>
    </dataValidation>
    <dataValidation type="list" errorStyle="information" allowBlank="1" showInputMessage="1" showErrorMessage="1" sqref="F16:F68" xr:uid="{B124724F-538F-4A47-945C-AFAD09A7F2F3}">
      <formula1>"-,kg,s,m,K,°C,W,bar,kg/h,t/h,kW,kW/m2K,W/m2K,kJ/kgK,kJ/kg,m3/h,Nm3/t,kWh/Nm3,Nm3/h,%,kg/kmol,eur,eur/year,eur/kW,kWel/kWth,year, days"</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U51"/>
  <sheetViews>
    <sheetView showGridLines="0" topLeftCell="F9" zoomScale="55" zoomScaleNormal="55" workbookViewId="0">
      <selection activeCell="K45" sqref="K45"/>
    </sheetView>
  </sheetViews>
  <sheetFormatPr baseColWidth="10" defaultColWidth="14.46484375" defaultRowHeight="15" customHeight="1" x14ac:dyDescent="0.45"/>
  <cols>
    <col min="1" max="1" width="59.1328125" customWidth="1"/>
    <col min="2" max="2" width="43.796875" customWidth="1"/>
    <col min="3" max="3" width="59.33203125" customWidth="1"/>
    <col min="4" max="4" width="45.33203125" customWidth="1"/>
    <col min="5" max="5" width="37.6640625" customWidth="1"/>
    <col min="6" max="6" width="42.1328125" customWidth="1"/>
    <col min="7" max="7" width="34.33203125" customWidth="1"/>
    <col min="8" max="8" width="34.6640625" customWidth="1"/>
    <col min="9" max="9" width="29.1328125" customWidth="1"/>
    <col min="10" max="10" width="35.33203125" customWidth="1"/>
    <col min="11" max="11" width="42.6640625" customWidth="1"/>
    <col min="12" max="12" width="43" customWidth="1"/>
    <col min="13" max="13" width="43.46484375" bestFit="1" customWidth="1"/>
    <col min="14" max="14" width="60.796875" customWidth="1"/>
    <col min="15" max="15" width="22.33203125" bestFit="1" customWidth="1"/>
    <col min="16" max="16" width="19.796875" customWidth="1"/>
    <col min="17" max="17" width="31.46484375" bestFit="1" customWidth="1"/>
    <col min="18" max="18" width="29" bestFit="1" customWidth="1"/>
    <col min="19" max="19" width="16.796875" bestFit="1" customWidth="1"/>
    <col min="20" max="20" width="30.1328125" customWidth="1"/>
    <col min="21" max="21" width="53.796875" bestFit="1" customWidth="1"/>
    <col min="22" max="28" width="10.6640625" customWidth="1"/>
  </cols>
  <sheetData>
    <row r="1" spans="1:21" ht="14.25" customHeight="1" thickBot="1" x14ac:dyDescent="0.5">
      <c r="A1" s="105" t="s">
        <v>46</v>
      </c>
      <c r="B1" s="84"/>
      <c r="C1" s="84"/>
      <c r="D1" s="37"/>
      <c r="E1" s="38"/>
      <c r="F1" s="38"/>
      <c r="G1" s="38"/>
      <c r="H1" s="38"/>
      <c r="I1" s="6"/>
      <c r="J1" s="6"/>
      <c r="K1" s="7"/>
      <c r="L1" s="7"/>
      <c r="M1" s="7"/>
      <c r="N1" s="7"/>
    </row>
    <row r="2" spans="1:21" ht="48" customHeight="1" thickBot="1" x14ac:dyDescent="0.5">
      <c r="A2" s="249" t="s">
        <v>388</v>
      </c>
      <c r="B2" s="84"/>
      <c r="C2" s="84"/>
      <c r="D2" s="37"/>
      <c r="E2" s="38"/>
      <c r="F2" s="38"/>
      <c r="G2" s="38"/>
      <c r="H2" s="38"/>
      <c r="I2" s="6"/>
      <c r="J2" s="6"/>
      <c r="K2" s="7"/>
      <c r="L2" s="7"/>
      <c r="M2" s="7"/>
      <c r="N2" s="7"/>
    </row>
    <row r="3" spans="1:21" ht="14.25" customHeight="1" thickBot="1" x14ac:dyDescent="0.5">
      <c r="D3" s="37"/>
      <c r="E3" s="38"/>
      <c r="F3" s="38"/>
      <c r="G3" s="38"/>
      <c r="H3" s="38"/>
      <c r="I3" s="6"/>
      <c r="J3" s="6"/>
      <c r="K3" s="7"/>
      <c r="L3" s="7"/>
      <c r="M3" s="7"/>
      <c r="N3" s="7"/>
    </row>
    <row r="4" spans="1:21" ht="14.65" thickBot="1" x14ac:dyDescent="0.5">
      <c r="A4" s="85"/>
      <c r="B4" s="39"/>
      <c r="C4" s="39"/>
      <c r="D4" s="6"/>
      <c r="E4" s="40"/>
      <c r="F4" s="40"/>
      <c r="G4" s="40"/>
      <c r="H4" s="41"/>
      <c r="I4" s="42"/>
      <c r="J4" s="42"/>
      <c r="K4" s="42"/>
      <c r="L4" s="42"/>
      <c r="M4" s="42"/>
      <c r="N4" s="42"/>
    </row>
    <row r="5" spans="1:21" ht="14.65" thickBot="1" x14ac:dyDescent="0.5">
      <c r="A5" s="88" t="s">
        <v>48</v>
      </c>
      <c r="B5" s="89" t="s">
        <v>50</v>
      </c>
      <c r="C5" s="90" t="s">
        <v>49</v>
      </c>
      <c r="D5" s="66" t="s">
        <v>150</v>
      </c>
      <c r="E5" s="45"/>
      <c r="F5" s="45"/>
      <c r="G5" s="45"/>
      <c r="H5" s="44"/>
      <c r="I5" s="7"/>
      <c r="J5" s="7"/>
      <c r="K5" s="7"/>
      <c r="L5" s="7"/>
      <c r="M5" s="7"/>
      <c r="N5" s="7"/>
    </row>
    <row r="6" spans="1:21" ht="14.65" thickBot="1" x14ac:dyDescent="0.5">
      <c r="A6" s="139" t="s">
        <v>335</v>
      </c>
      <c r="B6" s="148">
        <v>0</v>
      </c>
      <c r="C6" s="147">
        <v>100</v>
      </c>
      <c r="D6" s="46"/>
      <c r="E6" s="47"/>
      <c r="F6" s="48"/>
      <c r="G6" s="48"/>
      <c r="H6" s="49"/>
      <c r="I6" s="38"/>
      <c r="J6" s="38"/>
      <c r="K6" s="38"/>
      <c r="L6" s="38"/>
      <c r="M6" s="38"/>
      <c r="N6" s="38"/>
    </row>
    <row r="7" spans="1:21" ht="14.65" thickBot="1" x14ac:dyDescent="0.5">
      <c r="A7" s="50"/>
      <c r="B7" s="51"/>
      <c r="C7" s="51"/>
      <c r="D7" s="52"/>
      <c r="E7" s="5"/>
      <c r="F7" s="40"/>
      <c r="G7" s="40"/>
      <c r="H7" s="41"/>
      <c r="I7" s="40"/>
      <c r="J7" s="40"/>
      <c r="K7" s="40"/>
      <c r="L7" s="40"/>
      <c r="M7" s="40"/>
      <c r="N7" s="40"/>
    </row>
    <row r="8" spans="1:21" ht="17.25" customHeight="1" thickBot="1" x14ac:dyDescent="0.5">
      <c r="A8" s="102" t="s">
        <v>47</v>
      </c>
      <c r="B8" s="84"/>
      <c r="C8" s="84"/>
      <c r="D8" s="41"/>
      <c r="E8" s="5"/>
      <c r="F8" s="40"/>
      <c r="G8" s="40"/>
      <c r="H8" s="41"/>
      <c r="I8" s="40"/>
      <c r="J8" s="40"/>
      <c r="K8" s="40"/>
      <c r="L8" s="40"/>
      <c r="M8" s="40"/>
      <c r="N8" s="40"/>
    </row>
    <row r="9" spans="1:21" ht="61.25" customHeight="1" thickBot="1" x14ac:dyDescent="0.5">
      <c r="A9" s="249" t="s">
        <v>389</v>
      </c>
      <c r="B9" s="84"/>
      <c r="C9" s="84"/>
      <c r="D9" s="5"/>
      <c r="E9" s="5"/>
      <c r="F9" s="40"/>
      <c r="G9" s="40"/>
      <c r="H9" s="41"/>
      <c r="I9" s="40"/>
      <c r="J9" s="40"/>
      <c r="K9" s="40"/>
      <c r="L9" s="40"/>
      <c r="M9" s="40"/>
      <c r="N9" s="40"/>
    </row>
    <row r="10" spans="1:21" ht="14.65" thickBot="1" x14ac:dyDescent="0.5">
      <c r="A10" s="53"/>
      <c r="B10" s="40"/>
      <c r="C10" s="40"/>
      <c r="D10" s="5"/>
      <c r="E10" s="5"/>
      <c r="F10" s="40"/>
      <c r="G10" s="40"/>
      <c r="H10" s="41"/>
      <c r="I10" s="40"/>
      <c r="J10" s="40"/>
      <c r="K10" s="40"/>
      <c r="L10" s="40"/>
      <c r="M10" s="40"/>
      <c r="N10" s="40"/>
    </row>
    <row r="11" spans="1:21" ht="14.65" thickBot="1" x14ac:dyDescent="0.5">
      <c r="A11" s="54" t="s">
        <v>59</v>
      </c>
      <c r="B11" s="40"/>
      <c r="C11" s="40"/>
      <c r="D11" s="5"/>
      <c r="E11" s="5"/>
      <c r="F11" s="40"/>
      <c r="G11" s="40"/>
      <c r="H11" s="41"/>
      <c r="I11" s="40"/>
      <c r="J11" s="40"/>
      <c r="K11" s="40"/>
      <c r="L11" s="40"/>
      <c r="M11" s="40"/>
      <c r="N11" s="40"/>
    </row>
    <row r="12" spans="1:21" ht="14.65" thickBot="1" x14ac:dyDescent="0.5">
      <c r="A12" s="55" t="s">
        <v>58</v>
      </c>
      <c r="B12" s="56"/>
      <c r="D12" s="56"/>
      <c r="E12" s="56"/>
      <c r="F12" s="56"/>
      <c r="G12" s="56"/>
      <c r="H12" s="56"/>
      <c r="I12" s="57"/>
      <c r="J12" s="56"/>
      <c r="K12" s="56"/>
      <c r="L12" s="56"/>
      <c r="M12" s="43"/>
      <c r="N12" s="43"/>
    </row>
    <row r="13" spans="1:21" ht="19.5" customHeight="1" thickBot="1" x14ac:dyDescent="0.5">
      <c r="A13" s="87" t="s">
        <v>2</v>
      </c>
      <c r="B13" s="91"/>
      <c r="C13" s="91"/>
      <c r="D13" s="91"/>
      <c r="E13" s="91"/>
      <c r="F13" s="91"/>
      <c r="G13" s="91"/>
      <c r="H13" s="91"/>
      <c r="I13" s="91"/>
      <c r="J13" s="91"/>
      <c r="K13" s="91"/>
      <c r="L13" s="94"/>
      <c r="M13" s="94"/>
      <c r="N13" s="101"/>
    </row>
    <row r="14" spans="1:21" ht="14.65" thickBot="1" x14ac:dyDescent="0.5">
      <c r="A14" s="109" t="s">
        <v>17</v>
      </c>
      <c r="B14" s="110" t="s">
        <v>18</v>
      </c>
      <c r="C14" s="110" t="s">
        <v>38</v>
      </c>
      <c r="D14" s="110" t="s">
        <v>147</v>
      </c>
      <c r="E14" s="110" t="s">
        <v>148</v>
      </c>
      <c r="F14" s="110" t="s">
        <v>145</v>
      </c>
      <c r="G14" s="111" t="s">
        <v>21</v>
      </c>
      <c r="H14" s="110" t="s">
        <v>146</v>
      </c>
      <c r="I14" s="110" t="s">
        <v>23</v>
      </c>
      <c r="J14" s="110" t="s">
        <v>24</v>
      </c>
      <c r="K14" s="110" t="s">
        <v>25</v>
      </c>
      <c r="L14" s="140" t="s">
        <v>26</v>
      </c>
      <c r="M14" s="140" t="s">
        <v>121</v>
      </c>
      <c r="N14" s="130" t="s">
        <v>15</v>
      </c>
    </row>
    <row r="15" spans="1:21" ht="14.25" x14ac:dyDescent="0.45">
      <c r="A15" s="242" t="s">
        <v>333</v>
      </c>
      <c r="B15" s="179" t="s">
        <v>328</v>
      </c>
      <c r="C15" s="179" t="s">
        <v>336</v>
      </c>
      <c r="D15" s="225">
        <f>H2_input</f>
        <v>9421</v>
      </c>
      <c r="E15" s="179" t="s">
        <v>165</v>
      </c>
      <c r="F15" s="226">
        <v>30</v>
      </c>
      <c r="G15" s="226" t="s">
        <v>354</v>
      </c>
      <c r="H15" s="226">
        <v>1</v>
      </c>
      <c r="I15" s="226" t="s">
        <v>329</v>
      </c>
      <c r="J15" s="226">
        <v>-1</v>
      </c>
      <c r="K15" s="226" t="s">
        <v>355</v>
      </c>
      <c r="L15" s="179" t="s">
        <v>358</v>
      </c>
      <c r="M15" s="243" t="s">
        <v>369</v>
      </c>
      <c r="N15" s="246" t="s">
        <v>352</v>
      </c>
      <c r="O15" s="1"/>
      <c r="P15" s="1"/>
      <c r="Q15" s="1"/>
      <c r="R15" s="1"/>
      <c r="S15" s="1"/>
      <c r="T15" s="1"/>
      <c r="U15" s="1"/>
    </row>
    <row r="16" spans="1:21" ht="14.25" x14ac:dyDescent="0.45">
      <c r="A16" s="221" t="s">
        <v>332</v>
      </c>
      <c r="B16" s="176" t="s">
        <v>328</v>
      </c>
      <c r="C16" s="176" t="s">
        <v>336</v>
      </c>
      <c r="D16" s="222">
        <f>CO2_input</f>
        <v>66014</v>
      </c>
      <c r="E16" s="176" t="s">
        <v>165</v>
      </c>
      <c r="F16" s="223">
        <v>30</v>
      </c>
      <c r="G16" s="223" t="s">
        <v>354</v>
      </c>
      <c r="H16" s="223">
        <v>1</v>
      </c>
      <c r="I16" s="223" t="s">
        <v>329</v>
      </c>
      <c r="J16" s="223">
        <v>-1</v>
      </c>
      <c r="K16" s="223" t="s">
        <v>355</v>
      </c>
      <c r="L16" s="176" t="s">
        <v>357</v>
      </c>
      <c r="M16" s="244" t="s">
        <v>369</v>
      </c>
      <c r="N16" s="247" t="s">
        <v>351</v>
      </c>
      <c r="O16" s="220"/>
      <c r="P16" s="220"/>
      <c r="Q16" s="220"/>
      <c r="R16" s="220"/>
      <c r="S16" s="220"/>
      <c r="T16" s="220"/>
      <c r="U16" s="220"/>
    </row>
    <row r="17" spans="1:21" ht="14.25" x14ac:dyDescent="0.45">
      <c r="A17" s="241" t="s">
        <v>327</v>
      </c>
      <c r="B17" s="176" t="s">
        <v>328</v>
      </c>
      <c r="C17" s="176" t="s">
        <v>337</v>
      </c>
      <c r="D17" s="222">
        <f>Water_output</f>
        <v>29.36</v>
      </c>
      <c r="E17" s="176" t="s">
        <v>175</v>
      </c>
      <c r="F17" s="223">
        <v>25</v>
      </c>
      <c r="G17" s="223" t="s">
        <v>354</v>
      </c>
      <c r="H17" s="223">
        <v>1</v>
      </c>
      <c r="I17" s="223" t="s">
        <v>329</v>
      </c>
      <c r="J17" s="223">
        <v>-1</v>
      </c>
      <c r="K17" s="223" t="s">
        <v>330</v>
      </c>
      <c r="L17" s="176" t="s">
        <v>331</v>
      </c>
      <c r="M17" s="244" t="s">
        <v>369</v>
      </c>
      <c r="N17" s="247" t="s">
        <v>350</v>
      </c>
      <c r="O17" s="220"/>
      <c r="P17" s="220"/>
      <c r="Q17" s="220"/>
      <c r="R17" s="220"/>
      <c r="S17" s="220"/>
      <c r="T17" s="220"/>
      <c r="U17" s="220"/>
    </row>
    <row r="18" spans="1:21" ht="14.25" x14ac:dyDescent="0.45">
      <c r="A18" s="221" t="s">
        <v>334</v>
      </c>
      <c r="B18" s="176" t="s">
        <v>328</v>
      </c>
      <c r="C18" s="176" t="s">
        <v>337</v>
      </c>
      <c r="D18" s="222">
        <f>Syngas_ouput</f>
        <v>46069</v>
      </c>
      <c r="E18" s="176" t="s">
        <v>165</v>
      </c>
      <c r="F18" s="223">
        <v>30</v>
      </c>
      <c r="G18" s="223" t="s">
        <v>354</v>
      </c>
      <c r="H18" s="223">
        <v>1</v>
      </c>
      <c r="I18" s="223" t="s">
        <v>329</v>
      </c>
      <c r="J18" s="223">
        <v>-1</v>
      </c>
      <c r="K18" s="223" t="s">
        <v>355</v>
      </c>
      <c r="L18" s="176" t="s">
        <v>356</v>
      </c>
      <c r="M18" s="244" t="s">
        <v>370</v>
      </c>
      <c r="N18" s="247" t="s">
        <v>353</v>
      </c>
      <c r="O18" s="220"/>
      <c r="P18" s="220"/>
      <c r="Q18" s="220"/>
      <c r="R18" s="220"/>
      <c r="S18" s="220"/>
      <c r="T18" s="220"/>
      <c r="U18" s="220"/>
    </row>
    <row r="19" spans="1:21" ht="14.65" thickBot="1" x14ac:dyDescent="0.5">
      <c r="A19" s="228" t="s">
        <v>325</v>
      </c>
      <c r="B19" s="178" t="s">
        <v>324</v>
      </c>
      <c r="C19" s="178" t="s">
        <v>336</v>
      </c>
      <c r="D19" s="229">
        <f>Power_rWGS</f>
        <v>12074.3</v>
      </c>
      <c r="E19" s="178" t="s">
        <v>183</v>
      </c>
      <c r="F19" s="230" t="s">
        <v>27</v>
      </c>
      <c r="G19" s="230" t="s">
        <v>27</v>
      </c>
      <c r="H19" s="230" t="s">
        <v>27</v>
      </c>
      <c r="I19" s="230" t="s">
        <v>27</v>
      </c>
      <c r="J19" s="230" t="s">
        <v>27</v>
      </c>
      <c r="K19" s="230" t="s">
        <v>27</v>
      </c>
      <c r="L19" s="178" t="s">
        <v>27</v>
      </c>
      <c r="M19" s="245" t="s">
        <v>369</v>
      </c>
      <c r="N19" s="248" t="s">
        <v>349</v>
      </c>
      <c r="O19" s="220"/>
      <c r="P19" s="220"/>
      <c r="Q19" s="220"/>
      <c r="R19" s="220"/>
      <c r="S19" s="220"/>
      <c r="T19" s="220"/>
      <c r="U19" s="220"/>
    </row>
    <row r="20" spans="1:21" ht="14.65" thickBot="1" x14ac:dyDescent="0.5">
      <c r="A20" s="59"/>
      <c r="B20" s="51"/>
      <c r="C20" s="51"/>
      <c r="D20" s="51"/>
      <c r="E20" s="60"/>
      <c r="F20" s="61"/>
      <c r="G20" s="61"/>
      <c r="H20" s="61"/>
      <c r="I20" s="61"/>
      <c r="J20" s="60"/>
      <c r="K20" s="62"/>
      <c r="L20" s="51"/>
      <c r="M20" s="63"/>
      <c r="N20" s="51"/>
      <c r="O20" s="63"/>
      <c r="P20" s="63"/>
      <c r="Q20" s="63"/>
      <c r="R20" s="63"/>
      <c r="S20" s="63"/>
      <c r="T20" s="63"/>
      <c r="U20" s="63"/>
    </row>
    <row r="21" spans="1:21" ht="14.25" customHeight="1" thickBot="1" x14ac:dyDescent="0.5">
      <c r="A21" s="103" t="s">
        <v>56</v>
      </c>
      <c r="C21" s="84"/>
      <c r="D21" s="37"/>
      <c r="E21" s="38"/>
      <c r="F21" s="38"/>
      <c r="G21" s="38"/>
      <c r="H21" s="38"/>
      <c r="I21" s="6"/>
      <c r="J21" s="6"/>
      <c r="K21" s="7"/>
      <c r="L21" s="7"/>
      <c r="M21" s="7"/>
      <c r="N21" s="7"/>
      <c r="O21" s="38"/>
      <c r="P21" s="38"/>
      <c r="Q21" s="38"/>
      <c r="R21" s="38"/>
      <c r="S21" s="38"/>
      <c r="T21" s="38"/>
      <c r="U21" s="38"/>
    </row>
    <row r="22" spans="1:21" ht="47.45" customHeight="1" thickBot="1" x14ac:dyDescent="0.5">
      <c r="A22" s="249" t="s">
        <v>391</v>
      </c>
      <c r="C22" s="84"/>
      <c r="D22" s="37"/>
      <c r="E22" s="38"/>
      <c r="F22" s="38"/>
      <c r="G22" s="38"/>
      <c r="H22" s="38"/>
      <c r="I22" s="6"/>
      <c r="J22" s="6"/>
      <c r="K22" s="7"/>
      <c r="L22" s="7"/>
      <c r="M22" s="7"/>
      <c r="N22" s="7"/>
      <c r="O22" s="38"/>
      <c r="P22" s="38"/>
      <c r="Q22" s="38"/>
      <c r="R22" s="38"/>
      <c r="S22" s="38"/>
      <c r="T22" s="38"/>
      <c r="U22" s="38"/>
    </row>
    <row r="23" spans="1:21" ht="14.65" thickBot="1" x14ac:dyDescent="0.5">
      <c r="A23" s="64"/>
      <c r="B23" s="40"/>
      <c r="C23" s="40"/>
      <c r="D23" s="40"/>
      <c r="E23" s="5"/>
      <c r="F23" s="58"/>
      <c r="G23" s="58"/>
      <c r="H23" s="58"/>
      <c r="I23" s="58"/>
      <c r="J23" s="5"/>
      <c r="K23" s="41"/>
      <c r="L23" s="40"/>
      <c r="M23" s="40"/>
      <c r="N23" s="40"/>
      <c r="O23" s="40"/>
      <c r="P23" s="40"/>
      <c r="Q23" s="40"/>
      <c r="R23" s="40"/>
      <c r="S23" s="40"/>
      <c r="T23" s="40"/>
      <c r="U23" s="40"/>
    </row>
    <row r="24" spans="1:21" ht="14.65" thickBot="1" x14ac:dyDescent="0.5">
      <c r="A24" s="92" t="s">
        <v>40</v>
      </c>
      <c r="B24" s="93"/>
      <c r="C24" s="93"/>
      <c r="D24" s="93"/>
      <c r="E24" s="93"/>
      <c r="F24" s="93"/>
      <c r="G24" s="93"/>
      <c r="H24" s="93"/>
      <c r="I24" s="93"/>
      <c r="J24" s="93"/>
      <c r="K24" s="93"/>
      <c r="L24" s="93"/>
      <c r="M24" s="93"/>
      <c r="N24" s="93"/>
      <c r="O24" s="93"/>
      <c r="P24" s="93"/>
      <c r="Q24" s="93"/>
      <c r="R24" s="93"/>
      <c r="S24" s="93"/>
      <c r="T24" s="93"/>
      <c r="U24" s="101"/>
    </row>
    <row r="25" spans="1:21" ht="14.65" thickBot="1" x14ac:dyDescent="0.5">
      <c r="A25" s="141" t="s">
        <v>52</v>
      </c>
      <c r="B25" s="142" t="s">
        <v>18</v>
      </c>
      <c r="C25" s="142" t="s">
        <v>109</v>
      </c>
      <c r="D25" s="143" t="s">
        <v>105</v>
      </c>
      <c r="E25" s="142" t="s">
        <v>110</v>
      </c>
      <c r="F25" s="142" t="s">
        <v>106</v>
      </c>
      <c r="G25" s="142" t="s">
        <v>111</v>
      </c>
      <c r="H25" s="142" t="s">
        <v>112</v>
      </c>
      <c r="I25" s="142" t="s">
        <v>113</v>
      </c>
      <c r="J25" s="142" t="s">
        <v>107</v>
      </c>
      <c r="K25" s="142" t="s">
        <v>114</v>
      </c>
      <c r="L25" s="142" t="s">
        <v>108</v>
      </c>
      <c r="M25" s="142" t="s">
        <v>115</v>
      </c>
      <c r="N25" s="142" t="s">
        <v>116</v>
      </c>
      <c r="O25" s="142" t="s">
        <v>117</v>
      </c>
      <c r="P25" s="142" t="s">
        <v>118</v>
      </c>
      <c r="Q25" s="142" t="s">
        <v>119</v>
      </c>
      <c r="R25" s="142" t="s">
        <v>120</v>
      </c>
      <c r="S25" s="144" t="s">
        <v>51</v>
      </c>
      <c r="T25" s="144" t="s">
        <v>121</v>
      </c>
      <c r="U25" s="130" t="s">
        <v>15</v>
      </c>
    </row>
    <row r="26" spans="1:21" ht="15.75" customHeight="1" x14ac:dyDescent="0.45">
      <c r="A26" s="235" t="s">
        <v>338</v>
      </c>
      <c r="B26" s="179" t="s">
        <v>339</v>
      </c>
      <c r="C26" s="236">
        <f>Tin_hot1</f>
        <v>165.4</v>
      </c>
      <c r="D26" s="227" t="s">
        <v>354</v>
      </c>
      <c r="E26" s="236">
        <f>Tout_hot1</f>
        <v>30</v>
      </c>
      <c r="F26" s="227" t="s">
        <v>354</v>
      </c>
      <c r="G26" s="236">
        <f>Q_hot1</f>
        <v>5029</v>
      </c>
      <c r="H26" s="227" t="s">
        <v>183</v>
      </c>
      <c r="I26" s="195">
        <v>0</v>
      </c>
      <c r="J26" s="227" t="s">
        <v>183</v>
      </c>
      <c r="K26" s="216">
        <f>G26/(C26-E26)/M26*3600</f>
        <v>14.192812593632157</v>
      </c>
      <c r="L26" s="251" t="s">
        <v>366</v>
      </c>
      <c r="M26" s="216">
        <f>H2_input</f>
        <v>9421</v>
      </c>
      <c r="N26" s="252" t="s">
        <v>165</v>
      </c>
      <c r="O26" s="179">
        <v>8</v>
      </c>
      <c r="P26" s="227" t="s">
        <v>367</v>
      </c>
      <c r="Q26" s="216">
        <v>1</v>
      </c>
      <c r="R26" s="237" t="s">
        <v>368</v>
      </c>
      <c r="S26" s="195" t="s">
        <v>371</v>
      </c>
      <c r="T26" s="195" t="s">
        <v>369</v>
      </c>
      <c r="U26" s="266" t="s">
        <v>189</v>
      </c>
    </row>
    <row r="27" spans="1:21" ht="15.75" customHeight="1" x14ac:dyDescent="0.45">
      <c r="A27" s="232" t="s">
        <v>340</v>
      </c>
      <c r="B27" s="176" t="s">
        <v>339</v>
      </c>
      <c r="C27" s="233">
        <f>Tin_hot2</f>
        <v>107.7</v>
      </c>
      <c r="D27" s="224" t="s">
        <v>354</v>
      </c>
      <c r="E27" s="233">
        <f>Tout_hot2</f>
        <v>30</v>
      </c>
      <c r="F27" s="224" t="s">
        <v>354</v>
      </c>
      <c r="G27" s="233">
        <f>Q_hot2</f>
        <v>2880</v>
      </c>
      <c r="H27" s="224" t="s">
        <v>183</v>
      </c>
      <c r="I27" s="192">
        <v>0</v>
      </c>
      <c r="J27" s="224" t="s">
        <v>183</v>
      </c>
      <c r="K27" s="217">
        <f>G27/(C27-E27)/M27*3600</f>
        <v>14.163708039092818</v>
      </c>
      <c r="L27" s="253" t="s">
        <v>366</v>
      </c>
      <c r="M27" s="217">
        <f>H2_input</f>
        <v>9421</v>
      </c>
      <c r="N27" s="254" t="s">
        <v>165</v>
      </c>
      <c r="O27" s="176">
        <v>8</v>
      </c>
      <c r="P27" s="224" t="s">
        <v>367</v>
      </c>
      <c r="Q27" s="217">
        <v>1</v>
      </c>
      <c r="R27" s="234" t="s">
        <v>368</v>
      </c>
      <c r="S27" s="192" t="s">
        <v>371</v>
      </c>
      <c r="T27" s="192" t="s">
        <v>369</v>
      </c>
      <c r="U27" s="267" t="s">
        <v>192</v>
      </c>
    </row>
    <row r="28" spans="1:21" ht="15.75" customHeight="1" x14ac:dyDescent="0.45">
      <c r="A28" s="232" t="s">
        <v>341</v>
      </c>
      <c r="B28" s="176" t="s">
        <v>339</v>
      </c>
      <c r="C28" s="233">
        <f>Tin_hot3</f>
        <v>115.7</v>
      </c>
      <c r="D28" s="224" t="s">
        <v>354</v>
      </c>
      <c r="E28" s="233">
        <f>Tout_hot3</f>
        <v>30</v>
      </c>
      <c r="F28" s="224" t="s">
        <v>354</v>
      </c>
      <c r="G28" s="233">
        <f>Q_hot3</f>
        <v>1435</v>
      </c>
      <c r="H28" s="224" t="s">
        <v>183</v>
      </c>
      <c r="I28" s="192">
        <v>0</v>
      </c>
      <c r="J28" s="224" t="s">
        <v>183</v>
      </c>
      <c r="K28" s="217">
        <f t="shared" ref="K28:K31" si="0">G28/(C28-E28)/M28*3600</f>
        <v>0.913140344085281</v>
      </c>
      <c r="L28" s="253" t="s">
        <v>366</v>
      </c>
      <c r="M28" s="217">
        <f>CO2_input</f>
        <v>66014</v>
      </c>
      <c r="N28" s="254" t="s">
        <v>165</v>
      </c>
      <c r="O28" s="176">
        <v>8</v>
      </c>
      <c r="P28" s="224" t="s">
        <v>367</v>
      </c>
      <c r="Q28" s="217">
        <v>1</v>
      </c>
      <c r="R28" s="234" t="s">
        <v>368</v>
      </c>
      <c r="S28" s="192" t="s">
        <v>371</v>
      </c>
      <c r="T28" s="192" t="s">
        <v>369</v>
      </c>
      <c r="U28" s="267" t="s">
        <v>195</v>
      </c>
    </row>
    <row r="29" spans="1:21" ht="15.75" customHeight="1" x14ac:dyDescent="0.45">
      <c r="A29" s="232" t="s">
        <v>342</v>
      </c>
      <c r="B29" s="176" t="s">
        <v>339</v>
      </c>
      <c r="C29" s="233">
        <f>Tin_hot4</f>
        <v>92.72</v>
      </c>
      <c r="D29" s="224" t="s">
        <v>354</v>
      </c>
      <c r="E29" s="233">
        <f>Tout_hot4</f>
        <v>30</v>
      </c>
      <c r="F29" s="224" t="s">
        <v>354</v>
      </c>
      <c r="G29" s="233">
        <f>Q_hot4</f>
        <v>1053</v>
      </c>
      <c r="H29" s="224" t="s">
        <v>183</v>
      </c>
      <c r="I29" s="192">
        <v>0</v>
      </c>
      <c r="J29" s="224" t="s">
        <v>183</v>
      </c>
      <c r="K29" s="217">
        <f t="shared" si="0"/>
        <v>0.91556413821928939</v>
      </c>
      <c r="L29" s="253" t="s">
        <v>366</v>
      </c>
      <c r="M29" s="217">
        <f>CO2_input</f>
        <v>66014</v>
      </c>
      <c r="N29" s="254" t="s">
        <v>165</v>
      </c>
      <c r="O29" s="176">
        <v>8</v>
      </c>
      <c r="P29" s="224" t="s">
        <v>367</v>
      </c>
      <c r="Q29" s="217">
        <v>1</v>
      </c>
      <c r="R29" s="234" t="s">
        <v>368</v>
      </c>
      <c r="S29" s="192" t="s">
        <v>371</v>
      </c>
      <c r="T29" s="192" t="s">
        <v>369</v>
      </c>
      <c r="U29" s="267" t="s">
        <v>198</v>
      </c>
    </row>
    <row r="30" spans="1:21" ht="15.75" customHeight="1" x14ac:dyDescent="0.45">
      <c r="A30" s="232" t="s">
        <v>343</v>
      </c>
      <c r="B30" s="176" t="s">
        <v>339</v>
      </c>
      <c r="C30" s="233">
        <f>Tin_hot5</f>
        <v>750</v>
      </c>
      <c r="D30" s="224" t="s">
        <v>354</v>
      </c>
      <c r="E30" s="233">
        <f>Tout_hot5</f>
        <v>99.34</v>
      </c>
      <c r="F30" s="224" t="s">
        <v>354</v>
      </c>
      <c r="G30" s="233">
        <f>Q_hot5</f>
        <v>48387</v>
      </c>
      <c r="H30" s="224" t="s">
        <v>183</v>
      </c>
      <c r="I30" s="192">
        <v>0</v>
      </c>
      <c r="J30" s="224" t="s">
        <v>183</v>
      </c>
      <c r="K30" s="217">
        <f t="shared" si="0"/>
        <v>5.8112331942441884</v>
      </c>
      <c r="L30" s="253" t="s">
        <v>366</v>
      </c>
      <c r="M30" s="217">
        <f>Syngas_ouput</f>
        <v>46069</v>
      </c>
      <c r="N30" s="254" t="s">
        <v>165</v>
      </c>
      <c r="O30" s="176">
        <v>8</v>
      </c>
      <c r="P30" s="224" t="s">
        <v>367</v>
      </c>
      <c r="Q30" s="217">
        <v>1</v>
      </c>
      <c r="R30" s="234" t="s">
        <v>368</v>
      </c>
      <c r="S30" s="192" t="s">
        <v>371</v>
      </c>
      <c r="T30" s="192" t="s">
        <v>369</v>
      </c>
      <c r="U30" s="267" t="s">
        <v>201</v>
      </c>
    </row>
    <row r="31" spans="1:21" ht="15.75" customHeight="1" x14ac:dyDescent="0.45">
      <c r="A31" s="232" t="s">
        <v>344</v>
      </c>
      <c r="B31" s="176" t="s">
        <v>339</v>
      </c>
      <c r="C31" s="233">
        <f>Tin_hot6</f>
        <v>99.34</v>
      </c>
      <c r="D31" s="224" t="s">
        <v>354</v>
      </c>
      <c r="E31" s="233">
        <f>Tout_hot6</f>
        <v>30</v>
      </c>
      <c r="F31" s="224" t="s">
        <v>354</v>
      </c>
      <c r="G31" s="233">
        <f>Q_hot6</f>
        <v>20310</v>
      </c>
      <c r="H31" s="224" t="s">
        <v>183</v>
      </c>
      <c r="I31" s="192">
        <v>0</v>
      </c>
      <c r="J31" s="224" t="s">
        <v>183</v>
      </c>
      <c r="K31" s="217">
        <f t="shared" si="0"/>
        <v>22.888630147791943</v>
      </c>
      <c r="L31" s="253" t="s">
        <v>366</v>
      </c>
      <c r="M31" s="217">
        <f>Syngas_ouput</f>
        <v>46069</v>
      </c>
      <c r="N31" s="254" t="s">
        <v>165</v>
      </c>
      <c r="O31" s="176">
        <v>2</v>
      </c>
      <c r="P31" s="224" t="s">
        <v>367</v>
      </c>
      <c r="Q31" s="217">
        <v>1</v>
      </c>
      <c r="R31" s="234" t="s">
        <v>368</v>
      </c>
      <c r="S31" s="192" t="s">
        <v>371</v>
      </c>
      <c r="T31" s="192" t="s">
        <v>369</v>
      </c>
      <c r="U31" s="267" t="s">
        <v>400</v>
      </c>
    </row>
    <row r="32" spans="1:21" ht="15.75" customHeight="1" x14ac:dyDescent="0.45">
      <c r="A32" s="232" t="s">
        <v>345</v>
      </c>
      <c r="B32" s="176" t="s">
        <v>339</v>
      </c>
      <c r="C32" s="233">
        <f>Tin_hot7</f>
        <v>91.53</v>
      </c>
      <c r="D32" s="224" t="s">
        <v>354</v>
      </c>
      <c r="E32" s="233">
        <f>Tout_hot7</f>
        <v>30</v>
      </c>
      <c r="F32" s="224" t="s">
        <v>354</v>
      </c>
      <c r="G32" s="233">
        <f>Q_hot7</f>
        <v>746.9</v>
      </c>
      <c r="H32" s="224" t="s">
        <v>183</v>
      </c>
      <c r="I32" s="192">
        <v>0</v>
      </c>
      <c r="J32" s="224" t="s">
        <v>183</v>
      </c>
      <c r="K32" s="217">
        <v>0.85</v>
      </c>
      <c r="L32" s="253" t="s">
        <v>366</v>
      </c>
      <c r="M32" s="217">
        <f>G32/(C32-E32)/K32*3600</f>
        <v>51411.363180084321</v>
      </c>
      <c r="N32" s="254" t="s">
        <v>165</v>
      </c>
      <c r="O32" s="176">
        <v>8</v>
      </c>
      <c r="P32" s="224" t="s">
        <v>367</v>
      </c>
      <c r="Q32" s="217">
        <v>1</v>
      </c>
      <c r="R32" s="234" t="s">
        <v>368</v>
      </c>
      <c r="S32" s="192" t="s">
        <v>371</v>
      </c>
      <c r="T32" s="192" t="s">
        <v>369</v>
      </c>
      <c r="U32" s="267" t="s">
        <v>206</v>
      </c>
    </row>
    <row r="33" spans="1:21" ht="15.75" customHeight="1" x14ac:dyDescent="0.45">
      <c r="A33" s="232" t="s">
        <v>346</v>
      </c>
      <c r="B33" s="176" t="s">
        <v>339</v>
      </c>
      <c r="C33" s="233">
        <f>Tin_hot8</f>
        <v>115.9</v>
      </c>
      <c r="D33" s="224" t="s">
        <v>354</v>
      </c>
      <c r="E33" s="233">
        <f>Tout_hot8</f>
        <v>30</v>
      </c>
      <c r="F33" s="224" t="s">
        <v>354</v>
      </c>
      <c r="G33" s="233">
        <f>Q_hot8</f>
        <v>1065</v>
      </c>
      <c r="H33" s="224" t="s">
        <v>183</v>
      </c>
      <c r="I33" s="192">
        <v>0</v>
      </c>
      <c r="J33" s="224" t="s">
        <v>183</v>
      </c>
      <c r="K33" s="217">
        <f>G33/(C33-E33)/M33*3600</f>
        <v>0.86816010639864827</v>
      </c>
      <c r="L33" s="253" t="s">
        <v>366</v>
      </c>
      <c r="M33" s="217">
        <v>51411.3631800843</v>
      </c>
      <c r="N33" s="254" t="s">
        <v>165</v>
      </c>
      <c r="O33" s="176">
        <v>8</v>
      </c>
      <c r="P33" s="224" t="s">
        <v>367</v>
      </c>
      <c r="Q33" s="217">
        <v>1</v>
      </c>
      <c r="R33" s="234" t="s">
        <v>368</v>
      </c>
      <c r="S33" s="192" t="s">
        <v>371</v>
      </c>
      <c r="T33" s="192" t="s">
        <v>369</v>
      </c>
      <c r="U33" s="267" t="s">
        <v>206</v>
      </c>
    </row>
    <row r="34" spans="1:21" ht="15.75" customHeight="1" x14ac:dyDescent="0.45">
      <c r="A34" s="232" t="s">
        <v>347</v>
      </c>
      <c r="B34" s="176" t="s">
        <v>372</v>
      </c>
      <c r="C34" s="233">
        <f>Tin_cold1</f>
        <v>28.87</v>
      </c>
      <c r="D34" s="224" t="s">
        <v>354</v>
      </c>
      <c r="E34" s="233">
        <f>Tout_cold1</f>
        <v>700</v>
      </c>
      <c r="F34" s="224" t="s">
        <v>354</v>
      </c>
      <c r="G34" s="233">
        <v>0</v>
      </c>
      <c r="H34" s="224" t="s">
        <v>183</v>
      </c>
      <c r="I34" s="233">
        <f>Q_cold1</f>
        <v>48387</v>
      </c>
      <c r="J34" s="224" t="s">
        <v>183</v>
      </c>
      <c r="K34" s="217">
        <f>I34/(E34-C34)/M34*3600</f>
        <v>2.0461926711349347</v>
      </c>
      <c r="L34" s="253" t="s">
        <v>366</v>
      </c>
      <c r="M34" s="217">
        <f>CO2_input+H2_input+M32</f>
        <v>126846.36318008433</v>
      </c>
      <c r="N34" s="254" t="s">
        <v>165</v>
      </c>
      <c r="O34" s="176">
        <v>8</v>
      </c>
      <c r="P34" s="224" t="s">
        <v>367</v>
      </c>
      <c r="Q34" s="217">
        <v>1</v>
      </c>
      <c r="R34" s="234" t="s">
        <v>368</v>
      </c>
      <c r="S34" s="192" t="s">
        <v>371</v>
      </c>
      <c r="T34" s="192" t="s">
        <v>369</v>
      </c>
      <c r="U34" s="267" t="s">
        <v>182</v>
      </c>
    </row>
    <row r="35" spans="1:21" ht="15.75" customHeight="1" thickBot="1" x14ac:dyDescent="0.5">
      <c r="A35" s="238" t="s">
        <v>348</v>
      </c>
      <c r="B35" s="178" t="s">
        <v>372</v>
      </c>
      <c r="C35" s="239">
        <f>Tin_cold2</f>
        <v>700</v>
      </c>
      <c r="D35" s="231" t="s">
        <v>354</v>
      </c>
      <c r="E35" s="239">
        <f>Tout_cold2</f>
        <v>750</v>
      </c>
      <c r="F35" s="231" t="s">
        <v>354</v>
      </c>
      <c r="G35" s="239">
        <v>0</v>
      </c>
      <c r="H35" s="231" t="s">
        <v>183</v>
      </c>
      <c r="I35" s="239">
        <f>Q_cold2</f>
        <v>7606</v>
      </c>
      <c r="J35" s="231" t="s">
        <v>183</v>
      </c>
      <c r="K35" s="218" t="s">
        <v>27</v>
      </c>
      <c r="L35" s="255" t="s">
        <v>27</v>
      </c>
      <c r="M35" s="218" t="s">
        <v>27</v>
      </c>
      <c r="N35" s="256" t="s">
        <v>27</v>
      </c>
      <c r="O35" s="178">
        <v>8</v>
      </c>
      <c r="P35" s="231" t="s">
        <v>367</v>
      </c>
      <c r="Q35" s="218">
        <v>1</v>
      </c>
      <c r="R35" s="240" t="s">
        <v>368</v>
      </c>
      <c r="S35" s="198" t="s">
        <v>371</v>
      </c>
      <c r="T35" s="198" t="s">
        <v>369</v>
      </c>
      <c r="U35" s="268" t="s">
        <v>186</v>
      </c>
    </row>
    <row r="36" spans="1:21" ht="14.25" customHeight="1" thickBot="1" x14ac:dyDescent="0.5">
      <c r="A36" s="149"/>
      <c r="B36" s="149"/>
      <c r="C36" s="149"/>
      <c r="D36" s="149"/>
      <c r="E36" s="149"/>
      <c r="F36" s="149"/>
      <c r="G36" s="149"/>
      <c r="H36" s="149"/>
      <c r="I36" s="149"/>
      <c r="J36" s="149"/>
      <c r="K36" s="149"/>
      <c r="L36" s="150"/>
      <c r="M36" s="150"/>
      <c r="N36" s="150"/>
      <c r="O36" s="79"/>
      <c r="P36" s="79"/>
      <c r="Q36" s="79"/>
      <c r="R36" s="79"/>
      <c r="S36" s="79"/>
      <c r="T36" s="79"/>
      <c r="U36" s="79"/>
    </row>
    <row r="37" spans="1:21" ht="14.25" customHeight="1" thickBot="1" x14ac:dyDescent="0.5">
      <c r="A37" s="105" t="s">
        <v>44</v>
      </c>
      <c r="B37" s="84"/>
      <c r="C37" s="84"/>
      <c r="D37" s="37"/>
      <c r="E37" s="38"/>
      <c r="F37" s="38"/>
      <c r="G37" s="38"/>
      <c r="H37" s="38"/>
      <c r="I37" s="86"/>
      <c r="J37" s="6"/>
      <c r="K37" s="7"/>
      <c r="L37" s="84"/>
      <c r="M37" s="84"/>
      <c r="N37" s="84"/>
      <c r="O37" s="38"/>
      <c r="P37" s="38"/>
      <c r="Q37" s="38"/>
      <c r="R37" s="38"/>
      <c r="S37" s="38"/>
      <c r="T37" s="38"/>
      <c r="U37" s="38"/>
    </row>
    <row r="38" spans="1:21" ht="57.5" customHeight="1" thickBot="1" x14ac:dyDescent="0.5">
      <c r="A38" s="250" t="s">
        <v>390</v>
      </c>
      <c r="B38" s="84"/>
      <c r="C38" s="84"/>
      <c r="D38" s="37"/>
      <c r="E38" s="38"/>
      <c r="F38" s="38"/>
      <c r="G38" s="38"/>
      <c r="H38" s="38"/>
      <c r="I38" s="6"/>
      <c r="J38" s="6"/>
      <c r="K38" s="7"/>
      <c r="L38" s="84"/>
      <c r="M38" s="84"/>
      <c r="N38" s="84"/>
      <c r="O38" s="38"/>
      <c r="P38" s="38"/>
      <c r="Q38" s="38"/>
      <c r="R38" s="38"/>
      <c r="S38" s="38"/>
      <c r="T38" s="38"/>
      <c r="U38" s="38"/>
    </row>
    <row r="39" spans="1:21" ht="15.75" customHeight="1" thickBot="1" x14ac:dyDescent="0.5">
      <c r="A39" s="67"/>
      <c r="B39" s="56"/>
      <c r="C39" s="56"/>
      <c r="D39" s="56"/>
      <c r="E39" s="68"/>
      <c r="F39" s="43"/>
      <c r="G39" s="43"/>
      <c r="H39" s="43"/>
      <c r="I39" s="43"/>
      <c r="J39" s="45"/>
      <c r="K39" s="45"/>
      <c r="L39" s="45"/>
      <c r="M39" s="65"/>
      <c r="O39" s="45"/>
      <c r="P39" s="45"/>
      <c r="Q39" s="45"/>
      <c r="R39" s="45"/>
      <c r="S39" s="45"/>
      <c r="T39" s="45"/>
      <c r="U39" s="45"/>
    </row>
    <row r="40" spans="1:21" ht="15.75" customHeight="1" thickBot="1" x14ac:dyDescent="0.5">
      <c r="A40" s="125" t="s">
        <v>41</v>
      </c>
      <c r="B40" s="126"/>
      <c r="C40" s="126"/>
      <c r="D40" s="126"/>
      <c r="E40" s="126"/>
      <c r="F40" s="126"/>
      <c r="G40" s="127"/>
      <c r="H40" s="69" t="s">
        <v>122</v>
      </c>
      <c r="I40" s="45"/>
      <c r="J40" s="45"/>
      <c r="K40" s="45"/>
      <c r="L40" s="45"/>
      <c r="M40" s="45"/>
      <c r="N40" s="43"/>
      <c r="O40" s="45"/>
      <c r="P40" s="45"/>
      <c r="Q40" s="45"/>
      <c r="R40" s="45"/>
      <c r="S40" s="45"/>
      <c r="T40" s="45"/>
      <c r="U40" s="45"/>
    </row>
    <row r="41" spans="1:21" ht="15.75" customHeight="1" thickBot="1" x14ac:dyDescent="0.5">
      <c r="A41" s="109" t="s">
        <v>52</v>
      </c>
      <c r="B41" s="110" t="s">
        <v>18</v>
      </c>
      <c r="C41" s="110" t="s">
        <v>103</v>
      </c>
      <c r="D41" s="110" t="s">
        <v>104</v>
      </c>
      <c r="E41" s="110" t="s">
        <v>53</v>
      </c>
      <c r="F41" s="110" t="s">
        <v>39</v>
      </c>
      <c r="G41" s="112" t="s">
        <v>149</v>
      </c>
      <c r="H41" s="71"/>
      <c r="I41" s="70"/>
      <c r="J41" s="72"/>
      <c r="K41" s="48"/>
      <c r="L41" s="48"/>
      <c r="M41" s="48"/>
      <c r="N41" s="45"/>
      <c r="O41" s="45"/>
      <c r="P41" s="45"/>
      <c r="Q41" s="45"/>
      <c r="R41" s="45"/>
      <c r="S41" s="45"/>
      <c r="T41" s="45"/>
      <c r="U41" s="45"/>
    </row>
    <row r="42" spans="1:21" ht="15.75" customHeight="1" x14ac:dyDescent="0.45">
      <c r="A42" s="257" t="s">
        <v>377</v>
      </c>
      <c r="B42" s="258" t="s">
        <v>378</v>
      </c>
      <c r="C42" s="258" t="s">
        <v>379</v>
      </c>
      <c r="D42" s="258" t="s">
        <v>387</v>
      </c>
      <c r="E42" s="258" t="s">
        <v>380</v>
      </c>
      <c r="F42" s="258">
        <v>25</v>
      </c>
      <c r="G42" s="259" t="s">
        <v>381</v>
      </c>
      <c r="H42" s="163"/>
      <c r="I42" s="163"/>
      <c r="J42" s="163"/>
      <c r="K42" s="149"/>
      <c r="L42" s="149"/>
      <c r="M42" s="149"/>
      <c r="N42" s="149"/>
      <c r="O42" s="149"/>
      <c r="P42" s="149"/>
      <c r="Q42" s="149"/>
      <c r="R42" s="149"/>
      <c r="S42" s="149"/>
      <c r="T42" s="149"/>
      <c r="U42" s="149"/>
    </row>
    <row r="43" spans="1:21" ht="15.75" customHeight="1" x14ac:dyDescent="0.45">
      <c r="A43" s="260"/>
      <c r="B43" s="261"/>
      <c r="C43" s="261"/>
      <c r="D43" s="261"/>
      <c r="E43" s="261" t="s">
        <v>385</v>
      </c>
      <c r="F43" s="261">
        <v>200</v>
      </c>
      <c r="G43" s="262" t="s">
        <v>376</v>
      </c>
      <c r="H43" s="163"/>
      <c r="I43" s="163"/>
      <c r="J43" s="163"/>
      <c r="K43" s="149"/>
      <c r="L43" s="149"/>
      <c r="M43" s="149"/>
      <c r="N43" s="149"/>
      <c r="O43" s="149"/>
      <c r="P43" s="149"/>
      <c r="Q43" s="149"/>
      <c r="R43" s="149"/>
      <c r="S43" s="149"/>
      <c r="T43" s="149"/>
      <c r="U43" s="149"/>
    </row>
    <row r="44" spans="1:21" ht="15.6" customHeight="1" thickBot="1" x14ac:dyDescent="0.5">
      <c r="A44" s="263"/>
      <c r="B44" s="264"/>
      <c r="C44" s="264"/>
      <c r="D44" s="264"/>
      <c r="E44" s="264" t="s">
        <v>386</v>
      </c>
      <c r="F44" s="264">
        <v>575.4</v>
      </c>
      <c r="G44" s="265" t="s">
        <v>27</v>
      </c>
      <c r="H44" s="163"/>
      <c r="I44" s="163"/>
      <c r="J44" s="163"/>
      <c r="K44" s="149"/>
      <c r="L44" s="149"/>
      <c r="M44" s="149"/>
      <c r="N44" s="149"/>
      <c r="O44" s="149"/>
      <c r="P44" s="149"/>
      <c r="Q44" s="149"/>
      <c r="R44" s="149"/>
      <c r="S44" s="149"/>
      <c r="T44" s="149"/>
      <c r="U44" s="149"/>
    </row>
    <row r="45" spans="1:21" ht="42" customHeight="1" thickBot="1" x14ac:dyDescent="0.5">
      <c r="A45" s="106"/>
      <c r="B45" s="73"/>
      <c r="C45" s="151"/>
      <c r="D45" s="73"/>
      <c r="E45" s="73"/>
      <c r="F45" s="73"/>
      <c r="G45" s="73"/>
      <c r="H45" s="70"/>
    </row>
    <row r="46" spans="1:21" ht="15.75" customHeight="1" thickBot="1" x14ac:dyDescent="0.5">
      <c r="A46" s="105" t="s">
        <v>45</v>
      </c>
      <c r="B46" s="84"/>
      <c r="C46" s="84"/>
      <c r="D46" s="70"/>
      <c r="E46" s="70"/>
      <c r="F46" s="70"/>
      <c r="G46" s="70"/>
      <c r="H46" s="75"/>
    </row>
    <row r="47" spans="1:21" ht="34.799999999999997" customHeight="1" thickBot="1" x14ac:dyDescent="0.5">
      <c r="A47" s="104" t="s">
        <v>42</v>
      </c>
      <c r="B47" s="84"/>
      <c r="C47" s="84"/>
      <c r="D47" s="70"/>
      <c r="E47" s="70"/>
      <c r="F47" s="70"/>
      <c r="G47" s="70"/>
      <c r="H47" s="70"/>
    </row>
    <row r="48" spans="1:21" ht="15.75" customHeight="1" thickBot="1" x14ac:dyDescent="0.5">
      <c r="A48" s="74"/>
      <c r="B48" s="75"/>
      <c r="C48" s="60"/>
      <c r="D48" s="75"/>
      <c r="E48" s="75"/>
      <c r="F48" s="75"/>
      <c r="G48" s="75"/>
      <c r="H48" s="70"/>
    </row>
    <row r="49" spans="1:8" ht="15.75" customHeight="1" thickBot="1" x14ac:dyDescent="0.5">
      <c r="A49" s="76" t="s">
        <v>57</v>
      </c>
      <c r="B49" s="77"/>
      <c r="C49" s="78"/>
      <c r="D49" s="70"/>
      <c r="E49" s="70"/>
      <c r="F49" s="70"/>
      <c r="G49" s="70"/>
      <c r="H49" s="70"/>
    </row>
    <row r="50" spans="1:8" ht="15.75" customHeight="1" thickBot="1" x14ac:dyDescent="0.5">
      <c r="A50" s="145" t="s">
        <v>54</v>
      </c>
      <c r="B50" s="146" t="s">
        <v>55</v>
      </c>
      <c r="C50" s="70"/>
      <c r="D50" s="70"/>
      <c r="E50" s="70"/>
      <c r="F50" s="70"/>
      <c r="G50" s="70"/>
      <c r="H50" s="70"/>
    </row>
    <row r="51" spans="1:8" ht="15.75" customHeight="1" thickBot="1" x14ac:dyDescent="0.5">
      <c r="A51" s="139">
        <v>0</v>
      </c>
      <c r="B51" s="147">
        <v>0</v>
      </c>
      <c r="C51" s="70"/>
      <c r="D51" s="70"/>
      <c r="E51" s="70"/>
      <c r="F51" s="70"/>
      <c r="G51" s="70"/>
      <c r="H51" s="70"/>
    </row>
  </sheetData>
  <dataValidations count="4">
    <dataValidation type="list" allowBlank="1" showErrorMessage="1" sqref="C15:C19" xr:uid="{00000000-0002-0000-0400-000000000000}">
      <formula1>"IN,OUT"</formula1>
    </dataValidation>
    <dataValidation type="list" allowBlank="1" showErrorMessage="1" sqref="B15:B19" xr:uid="{00000000-0002-0000-0400-000001000000}">
      <formula1>"MASS,ELECTRICITY,EMISSIONS,ENERGY"</formula1>
    </dataValidation>
    <dataValidation type="list" errorStyle="information" allowBlank="1" showInputMessage="1" showErrorMessage="1" sqref="I15:I19 E15:E19 G15:G19 R26:R35 P26:P35 N26:N35 L26:L35 J26:J35 H26:H35 F26:F35 D26:D35" xr:uid="{60FC4323-5763-41A2-B15B-42B0C39AB77E}">
      <formula1>"-,kg,s,m,K,°C,W,bar,kg/h,t/h,kW,kW/m2K,W/m2K,kJ/kgK,kJ/kg,m3/h,Nm3/t,kWh/Nm3,Nm3/h,%,kg/kmol,eur,eur/year,eur/kW,kWel/kWth,year, days"</formula1>
    </dataValidation>
    <dataValidation type="list" allowBlank="1" showErrorMessage="1" sqref="B26:B35" xr:uid="{00000000-0002-0000-0400-000002000000}">
      <formula1>"Cold,Hot"</formula1>
    </dataValidation>
  </dataValidations>
  <pageMargins left="0.7" right="0.7" top="0.75" bottom="0.75" header="0" footer="0"/>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ummaryRight="0"/>
  </sheetPr>
  <dimension ref="A1:C2"/>
  <sheetViews>
    <sheetView showGridLines="0" zoomScale="85" zoomScaleNormal="85" workbookViewId="0">
      <selection activeCell="F26" sqref="F26"/>
    </sheetView>
  </sheetViews>
  <sheetFormatPr baseColWidth="10" defaultColWidth="14.46484375" defaultRowHeight="15" customHeight="1" x14ac:dyDescent="0.45"/>
  <cols>
    <col min="1" max="1" width="32.1328125" bestFit="1" customWidth="1"/>
    <col min="2" max="2" width="20" customWidth="1"/>
    <col min="3" max="3" width="16.46484375" customWidth="1"/>
    <col min="6" max="6" width="24" customWidth="1"/>
  </cols>
  <sheetData>
    <row r="1" spans="1:3" ht="15" customHeight="1" thickBot="1" x14ac:dyDescent="0.5">
      <c r="A1" s="113" t="s">
        <v>96</v>
      </c>
      <c r="B1" s="114" t="s">
        <v>39</v>
      </c>
      <c r="C1" s="115" t="s">
        <v>19</v>
      </c>
    </row>
    <row r="2" spans="1:3" ht="14.65" thickBot="1" x14ac:dyDescent="0.5">
      <c r="A2" s="153" t="s">
        <v>27</v>
      </c>
      <c r="B2" s="152" t="s">
        <v>27</v>
      </c>
      <c r="C2" s="154" t="s">
        <v>27</v>
      </c>
    </row>
  </sheetData>
  <dataValidations count="1">
    <dataValidation type="list" errorStyle="information" allowBlank="1" showInputMessage="1" showErrorMessage="1" sqref="C2" xr:uid="{607FED51-8FA7-4672-8931-E214CCF39904}">
      <formula1>"-,kg,s,m,K,°C,W,bar,kg/h,t/h,kW,kW/m2K,W/m2K,kJ/kgK,kJ/kg,m3/h,Nm3/t,kWh/Nm3,Nm3/h,%,kg/kmol,eur,eur/year,eur/kW,kWel/kWth,year, days"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ummaryRight="0"/>
  </sheetPr>
  <dimension ref="A1:D2"/>
  <sheetViews>
    <sheetView showGridLines="0" workbookViewId="0">
      <selection activeCell="C2" sqref="C2"/>
    </sheetView>
  </sheetViews>
  <sheetFormatPr baseColWidth="10" defaultColWidth="14.46484375" defaultRowHeight="15" customHeight="1" x14ac:dyDescent="0.45"/>
  <cols>
    <col min="2" max="2" width="29.796875" bestFit="1" customWidth="1"/>
  </cols>
  <sheetData>
    <row r="1" spans="1:4" ht="14.65" thickBot="1" x14ac:dyDescent="0.5">
      <c r="A1" s="113" t="s">
        <v>69</v>
      </c>
      <c r="B1" s="114" t="s">
        <v>93</v>
      </c>
      <c r="C1" s="114" t="s">
        <v>91</v>
      </c>
      <c r="D1" s="115" t="s">
        <v>92</v>
      </c>
    </row>
    <row r="2" spans="1:4" ht="15" customHeight="1" thickBot="1" x14ac:dyDescent="0.5">
      <c r="A2" s="159" t="s">
        <v>94</v>
      </c>
      <c r="B2" s="157" t="s">
        <v>7</v>
      </c>
      <c r="C2" s="160">
        <v>46133</v>
      </c>
      <c r="D2" s="161" t="s">
        <v>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3"/>
  <sheetViews>
    <sheetView showGridLines="0" zoomScale="85" zoomScaleNormal="85" workbookViewId="0">
      <selection activeCell="B4" sqref="B4"/>
    </sheetView>
  </sheetViews>
  <sheetFormatPr baseColWidth="10" defaultColWidth="8.796875" defaultRowHeight="14.25" x14ac:dyDescent="0.45"/>
  <cols>
    <col min="1" max="1" width="12.796875" customWidth="1"/>
    <col min="2" max="2" width="18.46484375" customWidth="1"/>
    <col min="3" max="3" width="12.796875" customWidth="1"/>
    <col min="4" max="4" width="11.46484375" customWidth="1"/>
    <col min="5" max="5" width="10" customWidth="1"/>
    <col min="6" max="6" width="32" customWidth="1"/>
    <col min="7" max="7" width="14.46484375" bestFit="1" customWidth="1"/>
  </cols>
  <sheetData>
    <row r="1" spans="1:7" ht="14.65" thickBot="1" x14ac:dyDescent="0.5">
      <c r="A1" s="95" t="s">
        <v>89</v>
      </c>
      <c r="B1" s="94"/>
      <c r="C1" s="94"/>
      <c r="D1" s="94"/>
      <c r="E1" s="94"/>
      <c r="F1" s="94"/>
      <c r="G1" s="101"/>
    </row>
    <row r="2" spans="1:7" ht="14.65" thickBot="1" x14ac:dyDescent="0.5">
      <c r="A2" s="155" t="s">
        <v>90</v>
      </c>
      <c r="B2" s="140" t="s">
        <v>52</v>
      </c>
      <c r="C2" s="140" t="s">
        <v>18</v>
      </c>
      <c r="D2" s="140" t="s">
        <v>88</v>
      </c>
      <c r="E2" s="140" t="s">
        <v>87</v>
      </c>
      <c r="F2" s="140" t="s">
        <v>86</v>
      </c>
      <c r="G2" s="130" t="s">
        <v>71</v>
      </c>
    </row>
    <row r="3" spans="1:7" ht="14.65" thickBot="1" x14ac:dyDescent="0.5">
      <c r="A3" s="156">
        <v>1</v>
      </c>
      <c r="B3" s="269" t="s">
        <v>392</v>
      </c>
      <c r="C3" s="157" t="s">
        <v>154</v>
      </c>
      <c r="D3" s="157" t="s">
        <v>155</v>
      </c>
      <c r="E3" s="157" t="s">
        <v>156</v>
      </c>
      <c r="F3" s="157" t="s">
        <v>7</v>
      </c>
      <c r="G3" s="158">
        <v>46133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C8B88-7395-4587-8412-B4EDE8A6EA2C}">
  <sheetPr codeName="Sheet6"/>
  <dimension ref="A1:A33"/>
  <sheetViews>
    <sheetView showGridLines="0" tabSelected="1" workbookViewId="0">
      <selection activeCell="E28" sqref="E28"/>
    </sheetView>
  </sheetViews>
  <sheetFormatPr baseColWidth="10" defaultColWidth="8.86328125" defaultRowHeight="14.25" x14ac:dyDescent="0.45"/>
  <cols>
    <col min="1" max="1" width="140.796875" style="273" customWidth="1"/>
    <col min="2" max="16384" width="8.86328125" style="273"/>
  </cols>
  <sheetData>
    <row r="1" spans="1:1" ht="15" thickTop="1" thickBot="1" x14ac:dyDescent="0.5">
      <c r="A1" s="272" t="s">
        <v>393</v>
      </c>
    </row>
    <row r="2" spans="1:1" ht="14.65" thickTop="1" x14ac:dyDescent="0.45">
      <c r="A2" s="273" t="s">
        <v>401</v>
      </c>
    </row>
    <row r="3" spans="1:1" ht="28.5" x14ac:dyDescent="0.45">
      <c r="A3" s="273" t="s">
        <v>402</v>
      </c>
    </row>
    <row r="4" spans="1:1" ht="14.65" thickBot="1" x14ac:dyDescent="0.5"/>
    <row r="5" spans="1:1" ht="15" thickTop="1" thickBot="1" x14ac:dyDescent="0.5">
      <c r="A5" s="272" t="s">
        <v>394</v>
      </c>
    </row>
    <row r="6" spans="1:1" ht="14.65" thickTop="1" x14ac:dyDescent="0.45">
      <c r="A6" s="273" t="str">
        <f>"The system processes approximately " &amp; TEXT((CO2_input + H2_input)/1000, "0.0") &amp; " metric tons of feed per hour."</f>
        <v>The system processes approximately 75.4 metric tons of feed per hour.</v>
      </c>
    </row>
    <row r="7" spans="1:1" x14ac:dyDescent="0.45">
      <c r="A7" s="273" t="s">
        <v>403</v>
      </c>
    </row>
    <row r="8" spans="1:1" x14ac:dyDescent="0.45">
      <c r="A8" s="273" t="str">
        <f>"• Outputs: Syngas delivered at " &amp; TEXT(Syngas_ouput, "#,##0") &amp; " kg/h and Water at " &amp; TEXT(Water_output, "0.00") &amp; " m3/h."</f>
        <v>• Outputs: Syngas delivered at 46,069 kg/h and Water at 29.36 m3/h.</v>
      </c>
    </row>
    <row r="9" spans="1:1" x14ac:dyDescent="0.45">
      <c r="A9" s="273" t="str">
        <f>"• Electricity: " &amp; TEXT(Power_rWGS, "#,##0.0") &amp; " kW required for compression and the recycle loop."</f>
        <v>• Electricity: 12,074.3 kW required for compression and the recycle loop.</v>
      </c>
    </row>
    <row r="10" spans="1:1" ht="14.65" thickBot="1" x14ac:dyDescent="0.5"/>
    <row r="11" spans="1:1" ht="15" thickTop="1" thickBot="1" x14ac:dyDescent="0.5">
      <c r="A11" s="272" t="s">
        <v>395</v>
      </c>
    </row>
    <row r="12" spans="1:1" ht="14.65" thickTop="1" x14ac:dyDescent="0.45">
      <c r="A12" s="273" t="s">
        <v>404</v>
      </c>
    </row>
    <row r="13" spans="1:1" x14ac:dyDescent="0.45">
      <c r="A13" s="273" t="str">
        <f>"• Recuperative Preheating: " &amp; TEXT(Q_cold1, "#,##0") &amp; " kW (29°C to 700°C)"</f>
        <v>• Recuperative Preheating: 48,387 kW (29°C to 700°C)</v>
      </c>
    </row>
    <row r="14" spans="1:1" x14ac:dyDescent="0.45">
      <c r="A14" s="273" t="str">
        <f>"• Reactor Heat Demand: " &amp; TEXT(Q_cold2, "#,##0") &amp; " kW (700°C to 750°C)"</f>
        <v>• Reactor Heat Demand: 7,606 kW (700°C to 750°C)</v>
      </c>
    </row>
    <row r="15" spans="1:1" x14ac:dyDescent="0.45">
      <c r="A15" s="273" t="str">
        <f>"• Total Waste Heat Removal: " &amp; TEXT(Q_hot6, "#,##0") &amp; " kW (Effluent subcooling to 30°C)"</f>
        <v>• Total Waste Heat Removal: 20,310 kW (Effluent subcooling to 30°C)</v>
      </c>
    </row>
    <row r="16" spans="1:1" ht="14.65" thickBot="1" x14ac:dyDescent="0.5"/>
    <row r="17" spans="1:1" ht="15" thickTop="1" thickBot="1" x14ac:dyDescent="0.5">
      <c r="A17" s="272" t="s">
        <v>396</v>
      </c>
    </row>
    <row r="18" spans="1:1" ht="14.65" thickTop="1" x14ac:dyDescent="0.45">
      <c r="A18" s="273" t="s">
        <v>405</v>
      </c>
    </row>
    <row r="19" spans="1:1" x14ac:dyDescent="0.45">
      <c r="A19" s="273" t="str">
        <f>"• Costing Heat Basis: " &amp; TEXT(heat_costing, "#,##0") &amp; " kWth"</f>
        <v>• Costing Heat Basis: 26,961 kWth</v>
      </c>
    </row>
    <row r="20" spans="1:1" x14ac:dyDescent="0.45">
      <c r="A20" s="273" t="str">
        <f>"• Total Annualized CAPEX: " &amp; TEXT(Cinv2_rWGS, "#,##0") &amp; " EUR/year (CEPCI 2020 adjusted)."</f>
        <v>• Total Annualized CAPEX: 437,059 EUR/year (CEPCI 2020 adjusted).</v>
      </c>
    </row>
    <row r="21" spans="1:1" ht="14.65" thickBot="1" x14ac:dyDescent="0.5"/>
    <row r="22" spans="1:1" ht="15" thickTop="1" thickBot="1" x14ac:dyDescent="0.5">
      <c r="A22" s="272" t="s">
        <v>406</v>
      </c>
    </row>
    <row r="23" spans="1:1" ht="14.65" thickTop="1" x14ac:dyDescent="0.45">
      <c r="A23" s="273" t="str">
        <f>" Mass flow rate of CO2 consumed at 30C and 1bar: "&amp;TEXT(CO2_input,"#,##0.00")&amp;" "&amp;"kg/h"</f>
        <v xml:space="preserve"> Mass flow rate of CO2 consumed at 30C and 1bar: 66,014.00 kg/h</v>
      </c>
    </row>
    <row r="24" spans="1:1" x14ac:dyDescent="0.45">
      <c r="A24" s="273" t="str">
        <f>" Mass flow rate of H2 consumed at 30C and 1bar: "&amp;TEXT(H2_input,"#,##0.00")&amp;" "&amp;"kg/h"</f>
        <v xml:space="preserve"> Mass flow rate of H2 consumed at 30C and 1bar: 9,421.00 kg/h</v>
      </c>
    </row>
    <row r="25" spans="1:1" x14ac:dyDescent="0.45">
      <c r="A25" s="273" t="str">
        <f>" Mass flow rate of syngas produced at 5 bar, molfrac: "&amp;TEXT(Syngas_ouput,"#,##0.00")&amp;" "&amp;"kg/h"</f>
        <v xml:space="preserve"> Mass flow rate of syngas produced at 5 bar, molfrac: 46,069.00 kg/h</v>
      </c>
    </row>
    <row r="26" spans="1:1" x14ac:dyDescent="0.45">
      <c r="A26" s="273" t="str">
        <f>" Water production in the reverse water gas shift reaction: "&amp;TEXT(Water_output,"#,##0.00")&amp;" "&amp;"m3/h"</f>
        <v xml:space="preserve"> Water production in the reverse water gas shift reaction: 29.36 m3/h</v>
      </c>
    </row>
    <row r="27" spans="1:1" x14ac:dyDescent="0.45">
      <c r="A27" s="273" t="str">
        <f>" Power consumption in the compression of the RWGS reactants up to 5 bar: "&amp;TEXT(Power_rWGS,"#,##0.00")&amp;" "&amp;"kW"</f>
        <v xml:space="preserve"> Power consumption in the compression of the RWGS reactants up to 5 bar: 12,074.30 kW</v>
      </c>
    </row>
    <row r="28" spans="1:1" x14ac:dyDescent="0.45">
      <c r="A28" s="273" t="str">
        <f>" Preheating from 450 °C to 750 °C corresponds to only 40% of preheating from 30C to 750C: "&amp;TEXT(heat_costing,"#,##0.00")&amp;" "&amp;"kWth"</f>
        <v xml:space="preserve"> Preheating from 450 °C to 750 °C corresponds to only 40% of preheating from 30C to 750C: 26,960.80 kWth</v>
      </c>
    </row>
    <row r="29" spans="1:1" x14ac:dyDescent="0.45">
      <c r="A29" s="273" t="str">
        <f>" Annualization factor: "&amp;TEXT(Annuity,"#,##0.00")&amp;" "&amp;"-"</f>
        <v xml:space="preserve"> Annualization factor: 0.08 -</v>
      </c>
    </row>
    <row r="30" spans="1:1" x14ac:dyDescent="0.45">
      <c r="A30" s="273" t="str">
        <f>" Investment cost of rWGS (2020): "&amp;TEXT(Cinv2_rWGS,"#,##0.00")&amp;" "&amp;"eur/year"</f>
        <v xml:space="preserve"> Investment cost of rWGS (2020): 437,058.93 eur/year</v>
      </c>
    </row>
    <row r="31" spans="1:1" ht="14.65" thickBot="1" x14ac:dyDescent="0.5"/>
    <row r="32" spans="1:1" ht="15" thickTop="1" thickBot="1" x14ac:dyDescent="0.5">
      <c r="A32" s="272" t="s">
        <v>407</v>
      </c>
    </row>
    <row r="33" spans="1:1" ht="85.9" thickTop="1" x14ac:dyDescent="0.45">
      <c r="A33" s="273" t="s">
        <v>399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159</vt:i4>
      </vt:variant>
    </vt:vector>
  </HeadingPairs>
  <TitlesOfParts>
    <vt:vector size="168" baseType="lpstr">
      <vt:lpstr>README</vt:lpstr>
      <vt:lpstr>METADATA</vt:lpstr>
      <vt:lpstr>CONNECTORS</vt:lpstr>
      <vt:lpstr>VARIABLES</vt:lpstr>
      <vt:lpstr>rWGS</vt:lpstr>
      <vt:lpstr>CALCULATIONS</vt:lpstr>
      <vt:lpstr>CHANGELOG</vt:lpstr>
      <vt:lpstr>SUPPL MATERIAL</vt:lpstr>
      <vt:lpstr>DOCUMENTATION</vt:lpstr>
      <vt:lpstr>Annuity</vt:lpstr>
      <vt:lpstr>Annuity_max</vt:lpstr>
      <vt:lpstr>Annuity_min</vt:lpstr>
      <vt:lpstr>CEPCI_2008</vt:lpstr>
      <vt:lpstr>CEPCI_2008_max</vt:lpstr>
      <vt:lpstr>CEPCI_2008_min</vt:lpstr>
      <vt:lpstr>CEPCI_2020</vt:lpstr>
      <vt:lpstr>CEPCI_2020_max</vt:lpstr>
      <vt:lpstr>CEPCI_2020_min</vt:lpstr>
      <vt:lpstr>Cinv2_rWGS</vt:lpstr>
      <vt:lpstr>Cinv2_rWGS_max</vt:lpstr>
      <vt:lpstr>Cinv2_rWGS_min</vt:lpstr>
      <vt:lpstr>Cinv2_rWGS_spec</vt:lpstr>
      <vt:lpstr>Cinv2_rWGS_spec_max</vt:lpstr>
      <vt:lpstr>Cinv2_rWGS_spec_min</vt:lpstr>
      <vt:lpstr>CO2_compr</vt:lpstr>
      <vt:lpstr>CO2_compr_max</vt:lpstr>
      <vt:lpstr>CO2_compr_min</vt:lpstr>
      <vt:lpstr>CO2_input</vt:lpstr>
      <vt:lpstr>CO2_input_max</vt:lpstr>
      <vt:lpstr>CO2_input_min</vt:lpstr>
      <vt:lpstr>dtmin_2ph</vt:lpstr>
      <vt:lpstr>dtmin_2ph_max</vt:lpstr>
      <vt:lpstr>dtmin_2ph_min</vt:lpstr>
      <vt:lpstr>dtmin_gas</vt:lpstr>
      <vt:lpstr>dtmin_gas_max</vt:lpstr>
      <vt:lpstr>dtmin_gas_min</vt:lpstr>
      <vt:lpstr>H2_compr</vt:lpstr>
      <vt:lpstr>H2_compr_max</vt:lpstr>
      <vt:lpstr>H2_compr_min</vt:lpstr>
      <vt:lpstr>H2_input</vt:lpstr>
      <vt:lpstr>H2_input_max</vt:lpstr>
      <vt:lpstr>H2_input_min</vt:lpstr>
      <vt:lpstr>heat_costing</vt:lpstr>
      <vt:lpstr>heat_costing_max</vt:lpstr>
      <vt:lpstr>heat_costing_min</vt:lpstr>
      <vt:lpstr>i</vt:lpstr>
      <vt:lpstr>i_max</vt:lpstr>
      <vt:lpstr>i_min</vt:lpstr>
      <vt:lpstr>LHV_syngas</vt:lpstr>
      <vt:lpstr>LHV_syngas_max</vt:lpstr>
      <vt:lpstr>LHV_syngas_min</vt:lpstr>
      <vt:lpstr>n</vt:lpstr>
      <vt:lpstr>n_max</vt:lpstr>
      <vt:lpstr>n_min</vt:lpstr>
      <vt:lpstr>Power_rWGS</vt:lpstr>
      <vt:lpstr>Power_rWGS_max</vt:lpstr>
      <vt:lpstr>Power_rWGS_min</vt:lpstr>
      <vt:lpstr>Q_cold1</vt:lpstr>
      <vt:lpstr>Q_cold1_max</vt:lpstr>
      <vt:lpstr>Q_cold1_min</vt:lpstr>
      <vt:lpstr>Q_cold2</vt:lpstr>
      <vt:lpstr>Q_cold2_max</vt:lpstr>
      <vt:lpstr>Q_cold2_min</vt:lpstr>
      <vt:lpstr>Q_hot1</vt:lpstr>
      <vt:lpstr>Q_hot1_max</vt:lpstr>
      <vt:lpstr>Q_hot1_min</vt:lpstr>
      <vt:lpstr>Q_hot2</vt:lpstr>
      <vt:lpstr>Q_hot2_max</vt:lpstr>
      <vt:lpstr>Q_hot2_min</vt:lpstr>
      <vt:lpstr>Q_hot3</vt:lpstr>
      <vt:lpstr>Q_hot3_max</vt:lpstr>
      <vt:lpstr>Q_hot3_min</vt:lpstr>
      <vt:lpstr>Q_hot4</vt:lpstr>
      <vt:lpstr>Q_hot4_max</vt:lpstr>
      <vt:lpstr>Q_hot4_min</vt:lpstr>
      <vt:lpstr>Q_hot5</vt:lpstr>
      <vt:lpstr>Q_hot5_max</vt:lpstr>
      <vt:lpstr>Q_hot5_min</vt:lpstr>
      <vt:lpstr>Q_hot6</vt:lpstr>
      <vt:lpstr>Q_hot6_max</vt:lpstr>
      <vt:lpstr>Q_hot6_min</vt:lpstr>
      <vt:lpstr>Q_hot7</vt:lpstr>
      <vt:lpstr>Q_hot7_max</vt:lpstr>
      <vt:lpstr>Q_hot7_min</vt:lpstr>
      <vt:lpstr>Q_hot8</vt:lpstr>
      <vt:lpstr>Q_hot8_max</vt:lpstr>
      <vt:lpstr>Q_hot8_min</vt:lpstr>
      <vt:lpstr>Recy_compr</vt:lpstr>
      <vt:lpstr>Recy_compr_max</vt:lpstr>
      <vt:lpstr>Recy_compr_min</vt:lpstr>
      <vt:lpstr>Syng_compr_to_FT</vt:lpstr>
      <vt:lpstr>Syng_compr_to_FT_max</vt:lpstr>
      <vt:lpstr>Syng_compr_to_FT_min</vt:lpstr>
      <vt:lpstr>Syng_compr_to_MeOH</vt:lpstr>
      <vt:lpstr>Syng_compr_to_MeOH_max</vt:lpstr>
      <vt:lpstr>Syng_compr_to_MeOH_min</vt:lpstr>
      <vt:lpstr>Syngas_ouput</vt:lpstr>
      <vt:lpstr>Syngas_ouput_max</vt:lpstr>
      <vt:lpstr>Syngas_ouput_min</vt:lpstr>
      <vt:lpstr>Syngas_output_kg</vt:lpstr>
      <vt:lpstr>Syngas_output_kg_max</vt:lpstr>
      <vt:lpstr>Syngas_output_kg_min</vt:lpstr>
      <vt:lpstr>Syngas_output_kw</vt:lpstr>
      <vt:lpstr>Syngas_output_kw_max</vt:lpstr>
      <vt:lpstr>Syngas_output_kw_min</vt:lpstr>
      <vt:lpstr>Tin_cold1</vt:lpstr>
      <vt:lpstr>Tin_cold1_max</vt:lpstr>
      <vt:lpstr>Tin_cold1_min</vt:lpstr>
      <vt:lpstr>Tin_cold2</vt:lpstr>
      <vt:lpstr>Tin_cold2_max</vt:lpstr>
      <vt:lpstr>Tin_cold2_min</vt:lpstr>
      <vt:lpstr>Tin_hot1</vt:lpstr>
      <vt:lpstr>Tin_hot1_max</vt:lpstr>
      <vt:lpstr>Tin_hot1_min</vt:lpstr>
      <vt:lpstr>Tin_hot2</vt:lpstr>
      <vt:lpstr>Tin_hot2_max</vt:lpstr>
      <vt:lpstr>Tin_hot2_min</vt:lpstr>
      <vt:lpstr>Tin_hot3</vt:lpstr>
      <vt:lpstr>Tin_hot3_max</vt:lpstr>
      <vt:lpstr>Tin_hot3_min</vt:lpstr>
      <vt:lpstr>Tin_hot4</vt:lpstr>
      <vt:lpstr>Tin_hot4_max</vt:lpstr>
      <vt:lpstr>Tin_hot4_min</vt:lpstr>
      <vt:lpstr>Tin_hot5</vt:lpstr>
      <vt:lpstr>Tin_hot5_max</vt:lpstr>
      <vt:lpstr>Tin_hot5_min</vt:lpstr>
      <vt:lpstr>Tin_hot6</vt:lpstr>
      <vt:lpstr>Tin_hot6_max</vt:lpstr>
      <vt:lpstr>Tin_hot6_min</vt:lpstr>
      <vt:lpstr>Tin_hot7</vt:lpstr>
      <vt:lpstr>Tin_hot7_max</vt:lpstr>
      <vt:lpstr>Tin_hot7_min</vt:lpstr>
      <vt:lpstr>Tin_hot8</vt:lpstr>
      <vt:lpstr>Tin_hot8_max</vt:lpstr>
      <vt:lpstr>Tin_hot8_min</vt:lpstr>
      <vt:lpstr>Tout_cold1</vt:lpstr>
      <vt:lpstr>Tout_cold1_max</vt:lpstr>
      <vt:lpstr>Tout_cold1_min</vt:lpstr>
      <vt:lpstr>Tout_cold2</vt:lpstr>
      <vt:lpstr>Tout_cold2_max</vt:lpstr>
      <vt:lpstr>Tout_cold2_min</vt:lpstr>
      <vt:lpstr>Tout_hot1</vt:lpstr>
      <vt:lpstr>Tout_hot1_max</vt:lpstr>
      <vt:lpstr>Tout_hot1_min</vt:lpstr>
      <vt:lpstr>Tout_hot2</vt:lpstr>
      <vt:lpstr>Tout_hot2_max</vt:lpstr>
      <vt:lpstr>Tout_hot2_min</vt:lpstr>
      <vt:lpstr>Tout_hot3</vt:lpstr>
      <vt:lpstr>Tout_hot3_max</vt:lpstr>
      <vt:lpstr>Tout_hot3_min</vt:lpstr>
      <vt:lpstr>Tout_hot4</vt:lpstr>
      <vt:lpstr>Tout_hot4_max</vt:lpstr>
      <vt:lpstr>Tout_hot4_min</vt:lpstr>
      <vt:lpstr>Tout_hot5</vt:lpstr>
      <vt:lpstr>Tout_hot5_max</vt:lpstr>
      <vt:lpstr>Tout_hot5_min</vt:lpstr>
      <vt:lpstr>Tout_hot6</vt:lpstr>
      <vt:lpstr>Tout_hot6_max</vt:lpstr>
      <vt:lpstr>Tout_hot6_min</vt:lpstr>
      <vt:lpstr>Tout_hot7</vt:lpstr>
      <vt:lpstr>Tout_hot7_max</vt:lpstr>
      <vt:lpstr>Tout_hot7_min</vt:lpstr>
      <vt:lpstr>Tout_hot8</vt:lpstr>
      <vt:lpstr>Tout_hot8_max</vt:lpstr>
      <vt:lpstr>Tout_hot8_min</vt:lpstr>
      <vt:lpstr>Water_output</vt:lpstr>
      <vt:lpstr>Water_output_max</vt:lpstr>
      <vt:lpstr>Water_output_min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A Florez Orrego</dc:creator>
  <cp:lastModifiedBy>Quentin Pierre Corentin Poindextre</cp:lastModifiedBy>
  <dcterms:created xsi:type="dcterms:W3CDTF">2023-07-04T12:09:19Z</dcterms:created>
  <dcterms:modified xsi:type="dcterms:W3CDTF">2026-05-15T14:33:59Z</dcterms:modified>
</cp:coreProperties>
</file>