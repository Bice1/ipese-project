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Mineralization/"/>
    </mc:Choice>
  </mc:AlternateContent>
  <xr:revisionPtr revIDLastSave="1011" documentId="8_{F1A750F8-7932-4B9D-8CCD-7D0C50D2F76C}" xr6:coauthVersionLast="47" xr6:coauthVersionMax="47" xr10:uidLastSave="{E0A090A4-1E83-430D-8A7A-00ED779864BF}"/>
  <bookViews>
    <workbookView xWindow="-108" yWindow="-108" windowWidth="23256" windowHeight="13176" firstSheet="4" activeTab="8" xr2:uid="{00000000-000D-0000-FFFF-FFFF00000000}"/>
  </bookViews>
  <sheets>
    <sheet name="README" sheetId="1" r:id="rId1"/>
    <sheet name="METADATA" sheetId="2" r:id="rId2"/>
    <sheet name="CONNECTORS" sheetId="3" r:id="rId3"/>
    <sheet name="VARIABLES" sheetId="4" r:id="rId4"/>
    <sheet name="Carbonation" sheetId="20" r:id="rId5"/>
    <sheet name="CALCULATIONS" sheetId="10" r:id="rId6"/>
    <sheet name="CHANGELOG" sheetId="9" r:id="rId7"/>
    <sheet name="SUPPL MATERIAL" sheetId="11" r:id="rId8"/>
    <sheet name="DOCUMENTATION" sheetId="21" r:id="rId9"/>
  </sheets>
  <definedNames>
    <definedName name="_xleta.NA" hidden="1" xlm="1">#NAME?</definedName>
    <definedName name="Annuity">VARIABLES!$E$39</definedName>
    <definedName name="Annuity_max">VARIABLES!$I$39</definedName>
    <definedName name="Annuity_min">VARIABLES!$H$39</definedName>
    <definedName name="CEPCI_2007">VARIABLES!$E$35</definedName>
    <definedName name="CEPCI_2007_max">VARIABLES!$I$35</definedName>
    <definedName name="CEPCI_2007_min">VARIABLES!$H$35</definedName>
    <definedName name="CEPCI_2020">VARIABLES!$E$34</definedName>
    <definedName name="CEPCI_2020_max">VARIABLES!$I$34</definedName>
    <definedName name="CEPCI_2020_min">VARIABLES!$H$34</definedName>
    <definedName name="Cinv2_Reactor">VARIABLES!$E$40</definedName>
    <definedName name="Cinv2_Reactor_max">VARIABLES!$I$40</definedName>
    <definedName name="Cinv2_Reactor_min">VARIABLES!$H$40</definedName>
    <definedName name="CO2Min_ref_LOAD">VARIABLES!$E$22</definedName>
    <definedName name="CO2Min_ref_LOAD_max">VARIABLES!$I$22</definedName>
    <definedName name="CO2Min_ref_LOAD_min">VARIABLES!$H$22</definedName>
    <definedName name="dtmin">VARIABLES!$E$16</definedName>
    <definedName name="dtmin_max">VARIABLES!$I$16</definedName>
    <definedName name="dtmin_min">VARIABLES!$H$16</definedName>
    <definedName name="FmaxReactor">VARIABLES!$E$29</definedName>
    <definedName name="FmaxReactor_max">VARIABLES!$I$29</definedName>
    <definedName name="FmaxReactor_min">VARIABLES!$H$29</definedName>
    <definedName name="FminReactor">VARIABLES!$E$30</definedName>
    <definedName name="FminReactor_max">VARIABLES!$I$30</definedName>
    <definedName name="FminReactor_min">VARIABLES!$H$30</definedName>
    <definedName name="i">VARIABLES!$E$31</definedName>
    <definedName name="i_max">VARIABLES!$I$31</definedName>
    <definedName name="i_min">VARIABLES!$H$31</definedName>
    <definedName name="MgCO3_Prd">VARIABLES!$E$23</definedName>
    <definedName name="MgCO3_Prd_max">VARIABLES!$I$23</definedName>
    <definedName name="MgCO3_Prd_min">VARIABLES!$H$23</definedName>
    <definedName name="n">VARIABLES!$E$32</definedName>
    <definedName name="n_max">VARIABLES!$I$32</definedName>
    <definedName name="n_min">VARIABLES!$H$32</definedName>
    <definedName name="NaCl_cons">VARIABLES!$E$25</definedName>
    <definedName name="NaCl_cons_max">VARIABLES!$I$25</definedName>
    <definedName name="NaCl_cons_min">VARIABLES!$H$25</definedName>
    <definedName name="NaHCO3_cons">VARIABLES!$E$26</definedName>
    <definedName name="NaHCO3_cons_max">VARIABLES!$I$26</definedName>
    <definedName name="NaHCO3_cons_min">VARIABLES!$H$26</definedName>
    <definedName name="PostProcessing_Elec">VARIABLES!$E$28</definedName>
    <definedName name="PostProcessing_Elec_max">VARIABLES!$I$28</definedName>
    <definedName name="PostProcessing_Elec_min">VARIABLES!$H$28</definedName>
    <definedName name="R_M">VARIABLES!$E$19</definedName>
    <definedName name="R_M_max">VARIABLES!$I$19</definedName>
    <definedName name="R_M_min">VARIABLES!$H$19</definedName>
    <definedName name="R_Q">VARIABLES!$E$18</definedName>
    <definedName name="R_Q_max">VARIABLES!$I$18</definedName>
    <definedName name="R_Q_min">VARIABLES!$H$18</definedName>
    <definedName name="R_Qo">VARIABLES!$E$21</definedName>
    <definedName name="R_Qo_max">VARIABLES!$I$21</definedName>
    <definedName name="R_Qo_min">VARIABLES!$H$21</definedName>
    <definedName name="R_T">VARIABLES!$E$17</definedName>
    <definedName name="R_T_max">VARIABLES!$I$17</definedName>
    <definedName name="R_T_min">VARIABLES!$H$17</definedName>
    <definedName name="R_To">VARIABLES!$E$20</definedName>
    <definedName name="R_To_max">VARIABLES!$I$20</definedName>
    <definedName name="R_To_min">VARIABLES!$H$20</definedName>
    <definedName name="Reactor_eff">VARIABLES!$E$27</definedName>
    <definedName name="Reactor_eff_max">VARIABLES!$I$27</definedName>
    <definedName name="Reactor_eff_min">VARIABLES!$H$27</definedName>
    <definedName name="RQ">VARIABLES!$E$37</definedName>
    <definedName name="RQ_max">VARIABLES!$I$37</definedName>
    <definedName name="RQ_min">VARIABLES!$H$37</definedName>
    <definedName name="RQo">VARIABLES!$E$38</definedName>
    <definedName name="RQo_max">VARIABLES!$I$38</definedName>
    <definedName name="RQo_min">VARIABLES!$H$38</definedName>
    <definedName name="Serpentine_mass">VARIABLES!$E$36</definedName>
    <definedName name="Serpentine_mass_max">VARIABLES!$I$36</definedName>
    <definedName name="Serpentine_mass_min">VARIABLES!$H$36</definedName>
    <definedName name="SiO2_Prd">VARIABLES!$E$24</definedName>
    <definedName name="SiO2_Prd_max">VARIABLES!$I$24</definedName>
    <definedName name="SiO2_Prd_min">VARIABLES!$H$24</definedName>
    <definedName name="Spec_Reactor_Cost">VARIABLES!$E$33</definedName>
    <definedName name="Spec_Reactor_Cost_max">VARIABLES!$I$33</definedName>
    <definedName name="Spec_Reactor_Cost_min">VARIABLES!$H$33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5" roundtripDataChecksum="bNxJkgama/kYeBi4o0J15qkHQT9g9UA3B49WFr4NTgI="/>
    </ext>
  </extLst>
</workbook>
</file>

<file path=xl/calcChain.xml><?xml version="1.0" encoding="utf-8"?>
<calcChain xmlns="http://schemas.openxmlformats.org/spreadsheetml/2006/main">
  <c r="A26" i="21" l="1"/>
  <c r="A25" i="21"/>
  <c r="A24" i="21"/>
  <c r="A23" i="21"/>
  <c r="A22" i="21"/>
  <c r="A21" i="21"/>
  <c r="A20" i="21"/>
  <c r="A19" i="21"/>
  <c r="A18" i="21"/>
  <c r="A17" i="21"/>
  <c r="A16" i="21"/>
  <c r="A15" i="21"/>
  <c r="A12" i="21"/>
  <c r="A11" i="21"/>
  <c r="A10" i="21"/>
  <c r="A7" i="21"/>
  <c r="A6" i="21"/>
  <c r="K28" i="20"/>
  <c r="B12" i="2"/>
  <c r="K30" i="20"/>
  <c r="K29" i="20"/>
  <c r="G30" i="20"/>
  <c r="G29" i="20"/>
  <c r="G28" i="20"/>
  <c r="M30" i="20"/>
  <c r="M29" i="20"/>
  <c r="M28" i="20"/>
  <c r="E30" i="20"/>
  <c r="E29" i="20"/>
  <c r="C30" i="20"/>
  <c r="C29" i="20"/>
  <c r="O30" i="20"/>
  <c r="O29" i="20"/>
  <c r="O28" i="20"/>
  <c r="E28" i="20"/>
  <c r="C28" i="20"/>
  <c r="D21" i="20"/>
  <c r="D20" i="20"/>
  <c r="D19" i="20"/>
  <c r="D18" i="20"/>
  <c r="D17" i="20"/>
  <c r="D16" i="20"/>
  <c r="B6" i="20"/>
  <c r="E39" i="4"/>
  <c r="E40" i="4" s="1"/>
  <c r="E38" i="4"/>
  <c r="E37" i="4"/>
  <c r="E36" i="4"/>
  <c r="D15"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tc={6E5DB67A-0FB8-43CF-91CF-92ADD2133E76}</author>
  </authors>
  <commentList>
    <comment ref="E5" authorId="0" shapeId="0" xr:uid="{6E5DB67A-0FB8-43CF-91CF-92ADD2133E76}">
      <text>
        <t>[Threaded comment]
Your version of Excel allows you to read this threaded comment; however, any edits to it will get removed if the file is opened in a newer version of Excel. Learn more: https://go.microsoft.com/fwlink/?linkid=870924
Comment:
    Arrives at 144°C from preT, but carbonation reaction at 155°C (negligeable?)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tc={5CEB14BC-B993-4B28-8179-CB0E2E79C316}</author>
    <author>tc={04FC6DE4-996B-4B60-B7FF-696B1370EBE5}</author>
    <author>tc={9D920FE0-C67B-411B-932B-FFD2917B55CD}</author>
  </authors>
  <commentList>
    <comment ref="D15" authorId="0" shapeId="0" xr:uid="{5CEB14BC-B993-4B28-8179-CB0E2E79C316}">
      <text>
        <t>[Threaded comment]
Your version of Excel allows you to read this threaded comment; however, any edits to it will get removed if the file is opened in a newer version of Excel. Learn more: https://go.microsoft.com/fwlink/?linkid=870924
Comment:
    Mass conservation ?</t>
      </text>
    </comment>
    <comment ref="G28" authorId="1" shapeId="0" xr:uid="{04FC6DE4-996B-4B60-B7FF-696B1370EBE5}">
      <text>
        <t>[Threaded comment]
Your version of Excel allows you to read this threaded comment; however, any edits to it will get removed if the file is opened in a newer version of Excel. Learn more: https://go.microsoft.com/fwlink/?linkid=870924
Comment:
    Previously values in kWh/t</t>
      </text>
    </comment>
    <comment ref="K28" authorId="2" shapeId="0" xr:uid="{9D920FE0-C67B-411B-932B-FFD2917B55CD}">
      <text>
        <t>[Threaded comment]
Your version of Excel allows you to read this threaded comment; however, any edits to it will get removed if the file is opened in a newer version of Excel. Learn more: https://go.microsoft.com/fwlink/?linkid=870924
Comment:
    Computed from Q = m*cp*dT, might be inappropriate for heat of reaction</t>
      </text>
    </comment>
  </commentList>
</comments>
</file>

<file path=xl/sharedStrings.xml><?xml version="1.0" encoding="utf-8"?>
<sst xmlns="http://schemas.openxmlformats.org/spreadsheetml/2006/main" count="667" uniqueCount="330">
  <si>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</si>
  <si>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</si>
  <si>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</si>
  <si>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</si>
  <si>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</si>
  <si>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</si>
  <si>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</si>
  <si>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</si>
  <si>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</si>
  <si>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</si>
  <si>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</si>
  <si>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</si>
  <si>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</si>
  <si>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</si>
  <si>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</si>
  <si>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</si>
  <si>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</si>
  <si>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</si>
  <si>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</si>
  <si>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</si>
  <si>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</si>
  <si>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</si>
  <si>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</si>
  <si>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</si>
  <si>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</si>
  <si>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</si>
  <si>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</si>
  <si>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</si>
  <si>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</si>
  <si>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</si>
  <si>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</si>
  <si>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</si>
  <si>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</si>
  <si>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</si>
  <si>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</si>
  <si>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</si>
  <si>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</si>
  <si>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</si>
  <si>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DIRECTION</t>
  </si>
  <si>
    <t>VALUE</t>
  </si>
  <si>
    <t>HEAT STREAMS</t>
  </si>
  <si>
    <t>EQUIPMENTS</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</si>
  <si>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</si>
  <si>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</si>
  <si>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</si>
  <si>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</si>
  <si>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</si>
  <si>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</si>
  <si>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</si>
  <si>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</si>
  <si>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</si>
  <si>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</si>
  <si>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</si>
  <si>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</si>
  <si>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</si>
  <si>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</si>
  <si>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</si>
  <si>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</si>
  <si>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</si>
  <si>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</si>
  <si>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</si>
  <si>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</si>
  <si>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</si>
  <si>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</si>
  <si>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</si>
  <si>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</si>
  <si>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</si>
  <si>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</si>
  <si>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</si>
  <si>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</si>
  <si>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</si>
  <si>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</si>
  <si>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</si>
  <si>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</si>
  <si>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</si>
  <si>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</si>
  <si>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</si>
  <si>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</si>
  <si>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</si>
  <si>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</si>
  <si>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</si>
  <si>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</si>
  <si>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</si>
  <si>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</si>
  <si>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</si>
  <si>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</si>
  <si>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</si>
  <si>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</si>
  <si>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</si>
  <si>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</si>
  <si>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</si>
  <si>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</si>
  <si>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</si>
  <si>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</si>
  <si>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</si>
  <si>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</si>
  <si>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</si>
  <si>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</si>
  <si>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</si>
  <si>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</si>
  <si>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</si>
  <si>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</si>
  <si>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</si>
  <si>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</si>
  <si>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</si>
  <si>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</si>
  <si>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</si>
  <si>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</si>
  <si>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</si>
  <si>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</si>
  <si>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</si>
  <si>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</si>
  <si>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</si>
  <si>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</si>
  <si>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</si>
  <si>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</si>
  <si>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</si>
  <si>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</si>
  <si>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</si>
  <si>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</si>
  <si>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</si>
  <si>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</si>
  <si>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</si>
  <si>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</si>
  <si>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</si>
  <si>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</si>
  <si>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</si>
  <si>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</si>
  <si>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</si>
  <si>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</si>
  <si>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</si>
  <si>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</si>
  <si>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</si>
  <si>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</si>
  <si>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</si>
  <si>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</si>
  <si>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</si>
  <si>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</si>
  <si>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</si>
  <si>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</si>
  <si>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</si>
  <si>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</si>
  <si>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</si>
  <si>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</si>
  <si>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</si>
  <si>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</si>
  <si>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</si>
  <si>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</si>
  <si>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</si>
  <si>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</si>
  <si>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</si>
  <si>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</si>
  <si>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</si>
  <si>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None</t>
  </si>
  <si>
    <t>Drawio</t>
  </si>
  <si>
    <t>.svg</t>
  </si>
  <si>
    <t>50 kB</t>
  </si>
  <si>
    <t>Mineralization using serpantine in direct carbonation reactor</t>
  </si>
  <si>
    <t>Mouhannad Abou Daher; Dareen Dardor</t>
  </si>
  <si>
    <t>Carbone Capture Storage, CO2, Serpentine, mineralization</t>
  </si>
  <si>
    <t>Figures/Mineralization.svg</t>
  </si>
  <si>
    <t>$C_{inv2,Reactor}$</t>
  </si>
  <si>
    <t>Eur/y</t>
  </si>
  <si>
    <t>MANDATORY</t>
  </si>
  <si>
    <t>Annualized variable investment cost of direct carbonation reactor</t>
  </si>
  <si>
    <t>CONTEXT</t>
  </si>
  <si>
    <t>Cinv2_Reactor</t>
  </si>
  <si>
    <t>$Annuity$</t>
  </si>
  <si>
    <t>Annualization factor</t>
  </si>
  <si>
    <t>Annuity</t>
  </si>
  <si>
    <t>$R_{Qo}$</t>
  </si>
  <si>
    <t>kWh/t</t>
  </si>
  <si>
    <t>Normalized cooling duty for minerals leaving reactor per unit mass of mineralized CO2</t>
  </si>
  <si>
    <t>RQo</t>
  </si>
  <si>
    <t>$R_Q$</t>
  </si>
  <si>
    <t>Normalized exothermic heat of carbonation reaction per unit mass of mineralized CO2</t>
  </si>
  <si>
    <t>RQ</t>
  </si>
  <si>
    <t>$Serpentine_{mass}$</t>
  </si>
  <si>
    <t>t/h</t>
  </si>
  <si>
    <t>Serpantine mass requirements for carbonation reaction based on stoichiometric ratio corrected by efficiency</t>
  </si>
  <si>
    <t>Serpentine_mass</t>
  </si>
  <si>
    <t>$CEPCI_{2007}$</t>
  </si>
  <si>
    <t>Old CEPCI</t>
  </si>
  <si>
    <t>CEPCI_2007</t>
  </si>
  <si>
    <t>$CEPCI_{2020}$</t>
  </si>
  <si>
    <t>Actual CEPCI</t>
  </si>
  <si>
    <t>CEPCI_2020</t>
  </si>
  <si>
    <t>$Spec_{Reactor,Cost}$</t>
  </si>
  <si>
    <t>Eur/tpd</t>
  </si>
  <si>
    <t>Specific reactor cost per ton per day of CO2 sequestered</t>
  </si>
  <si>
    <t>Spec_Reactor_Cost</t>
  </si>
  <si>
    <t>$n$</t>
  </si>
  <si>
    <t>Lifetime</t>
  </si>
  <si>
    <t>n</t>
  </si>
  <si>
    <t>$i$</t>
  </si>
  <si>
    <t>Interest rate</t>
  </si>
  <si>
    <t>i</t>
  </si>
  <si>
    <t>$F_{min,Reactor}$</t>
  </si>
  <si>
    <t>Minimum reactor size factor</t>
  </si>
  <si>
    <t>FminReactor</t>
  </si>
  <si>
    <t>$F_{max,Reactor}$</t>
  </si>
  <si>
    <t>Maximum reactor size factor</t>
  </si>
  <si>
    <t>FmaxReactor</t>
  </si>
  <si>
    <t>$PostProcessing_{Elec}$</t>
  </si>
  <si>
    <t>kW</t>
  </si>
  <si>
    <t>Solid liquid separation power consumption</t>
  </si>
  <si>
    <t>PostProcessing_Elec</t>
  </si>
  <si>
    <t>$Reactor_{eff}$</t>
  </si>
  <si>
    <t>%</t>
  </si>
  <si>
    <t>Direct carbonation reactor efficiency</t>
  </si>
  <si>
    <t>Reactor_eff</t>
  </si>
  <si>
    <t>$CO_{2,Min,ref,LOAD}$</t>
  </si>
  <si>
    <t>Reference CO2 mineralization load</t>
  </si>
  <si>
    <t>CO2Min_ref_LOAD</t>
  </si>
  <si>
    <t>Cooling duty for minerals leaving reactor</t>
  </si>
  <si>
    <t>R_Qo</t>
  </si>
  <si>
    <t>$R_{To}$</t>
  </si>
  <si>
    <t>C</t>
  </si>
  <si>
    <t>Target outlet temperature of minerals from reactor MgCO3 and SiO2</t>
  </si>
  <si>
    <t>R_To</t>
  </si>
  <si>
    <t>$R_M$</t>
  </si>
  <si>
    <t>ton/h</t>
  </si>
  <si>
    <t>Mass flow rate of CO2 to mineralization reactor</t>
  </si>
  <si>
    <t>R_M</t>
  </si>
  <si>
    <t>Exothermic heat of carbonation reaction</t>
  </si>
  <si>
    <t>R_Q</t>
  </si>
  <si>
    <t>$R_T$</t>
  </si>
  <si>
    <t>Direct carbonation reactor temperature</t>
  </si>
  <si>
    <t>R_T</t>
  </si>
  <si>
    <t>$ΔT_{min}$</t>
  </si>
  <si>
    <t>Minimum temperature difference contribution of the reacting streams</t>
  </si>
  <si>
    <t>dtmin</t>
  </si>
  <si>
    <t>Elec</t>
  </si>
  <si>
    <t>Electricity</t>
  </si>
  <si>
    <t>NaHCO3</t>
  </si>
  <si>
    <t>NaCl</t>
  </si>
  <si>
    <t>SiO2_Prd</t>
  </si>
  <si>
    <t>MgCO3_Prd</t>
  </si>
  <si>
    <t>SiO2</t>
  </si>
  <si>
    <t>MgCO3</t>
  </si>
  <si>
    <t>PreT_Serp</t>
  </si>
  <si>
    <t>CO2_Min</t>
  </si>
  <si>
    <t>Hot</t>
  </si>
  <si>
    <t>qt_carbonation</t>
  </si>
  <si>
    <t>in</t>
  </si>
  <si>
    <t>ELECTRICITY</t>
  </si>
  <si>
    <t>out</t>
  </si>
  <si>
    <t>(L)</t>
  </si>
  <si>
    <t>carbonation</t>
  </si>
  <si>
    <t>qt_MgCO3_cooling</t>
  </si>
  <si>
    <t>MASS</t>
  </si>
  <si>
    <t>qt_SiO2_cooling</t>
  </si>
  <si>
    <t>°C</t>
  </si>
  <si>
    <t>bar</t>
  </si>
  <si>
    <t>(V)</t>
  </si>
  <si>
    <t>CO2[1.0]</t>
  </si>
  <si>
    <t>Compressed/heated CO2 for mineralization conditions</t>
  </si>
  <si>
    <t>(S)</t>
  </si>
  <si>
    <t>Serpentine[1.0]</t>
  </si>
  <si>
    <t>Activated/Preheated ore</t>
  </si>
  <si>
    <t>MgCO3[1.0]</t>
  </si>
  <si>
    <t>Produced magnesite</t>
  </si>
  <si>
    <t>SiO2[1.0]</t>
  </si>
  <si>
    <t>Produced silica</t>
  </si>
  <si>
    <t>NaCl[1.0]</t>
  </si>
  <si>
    <t>NaHCO3[1.0]</t>
  </si>
  <si>
    <t>NaCl for solvent</t>
  </si>
  <si>
    <t>NaHCO3 for solvent</t>
  </si>
  <si>
    <t>2.1/Reactor_eff</t>
  </si>
  <si>
    <t>R_Q/R_M</t>
  </si>
  <si>
    <t>R_Qo/R_M</t>
  </si>
  <si>
    <t>(i*(1+i)^n)/((1+i)^n-1)</t>
  </si>
  <si>
    <t>Spec_Reactor_Cost*CO2Min_ref_LOAD*24*(CEPCI_2020/CEPCI_2007)*Annuity</t>
  </si>
  <si>
    <t xml:space="preserve"> </t>
  </si>
  <si>
    <t>Direct aqueous carbonation stage where CO2 is chemically sequestered into activated serpentine within a high-pressure slurry reactor.</t>
  </si>
  <si>
    <t>Interface for CO2 and mineral feeds, chemical solvents (NaCl/NaHCO3), electrical power for processing, and final solid mineral products.</t>
  </si>
  <si>
    <t>Thermal energy released by the exothermic carbonation reaction and the sensible heat recovered from cooling the mineral products.</t>
  </si>
  <si>
    <t>Primary capital assets including the high-pressure stirred-tank reactor, hydrocyclones for separation, and product discharge coolers.</t>
  </si>
  <si>
    <t>Carbonation_Reactor</t>
  </si>
  <si>
    <t>Asset</t>
  </si>
  <si>
    <t>Pressure Vessel (Stirred)</t>
  </si>
  <si>
    <t>@Huijgen et al. [3]</t>
  </si>
  <si>
    <t>Specific investment cost</t>
  </si>
  <si>
    <t>eur/tpd</t>
  </si>
  <si>
    <t>Reference CO2 Load</t>
  </si>
  <si>
    <t>Post_Processor</t>
  </si>
  <si>
    <t>Hydrocyclone / Filter</t>
  </si>
  <si>
    <t>@Internal</t>
  </si>
  <si>
    <t>eur/kW</t>
  </si>
  <si>
    <t>Power consumption</t>
  </si>
  <si>
    <t>Product_Coolers</t>
  </si>
  <si>
    <t>Slurry Heat Exchanger</t>
  </si>
  <si>
    <t>@Peters &amp; Timmerhaus</t>
  </si>
  <si>
    <t>eur/unit</t>
  </si>
  <si>
    <t>Cooling Duty (Qo)</t>
  </si>
  <si>
    <t>1. System Overview</t>
  </si>
  <si>
    <t>3. Technical Summary</t>
  </si>
  <si>
    <t>2020 CEPCI</t>
  </si>
  <si>
    <t>2007 CEPCI</t>
  </si>
  <si>
    <t>NaHCO3_cons</t>
  </si>
  <si>
    <t>NaCl_cons</t>
  </si>
  <si>
    <t>MgCO3 produced</t>
  </si>
  <si>
    <t>SiO2 produced</t>
  </si>
  <si>
    <t>NaCl consumed</t>
  </si>
  <si>
    <t>NaHCO3 consumed</t>
  </si>
  <si>
    <t>$MgCO3_{Prd}$</t>
  </si>
  <si>
    <t>$SiO2_{Prd}$</t>
  </si>
  <si>
    <t>$NaCl_ {cons}$</t>
  </si>
  <si>
    <t>$NaHCO3_{cons}$</t>
  </si>
  <si>
    <t>No</t>
  </si>
  <si>
    <t>Yes</t>
  </si>
  <si>
    <t>Exothermic heat of reaction</t>
  </si>
  <si>
    <t>kJ/kgK</t>
  </si>
  <si>
    <t>K</t>
  </si>
  <si>
    <t>kW/m2K</t>
  </si>
  <si>
    <t>DEFAULT</t>
  </si>
  <si>
    <t>Solid liquid separation power consumption, e.g. hydrocyclone</t>
  </si>
  <si>
    <t>Cooling of MgCO3 from reactor temperature to 25°C</t>
  </si>
  <si>
    <t>Cooling of SiO2 from reactor temperature to 25°C</t>
  </si>
  <si>
    <t>kJ/kg</t>
  </si>
  <si>
    <t>Mineralization</t>
  </si>
  <si>
    <t>EPFL IPESE research group</t>
  </si>
  <si>
    <t>[1] R. Castro-Amoedo, J. Granacher, M. Abou Daher and F. Marechal, Energy Environ. Sci., 2023, DOI:10.1039/D3EE01803B ; 
[2] Ostovari et al. (Bardow) - Rock ‘n’ use of CO2: carbon footprint of carbon capture and utilization by mineralization, Sustainable Energy and Fuels, Issue 9, 2020; Sipila, S. Teir, and R. Zevenhoven, “Carbon dioxide sequestration by mineral carbonationliterature review update 2007 ; 
[3]  W.J.J. Huijgen et al. / Energy Conversion and Management 48 (2007) 1923–1935
[3] W.J.J. Huijgen et al. / Energy Conversion and Management 48 (2007) 1923–1935</t>
  </si>
  <si>
    <t>[3]</t>
  </si>
  <si>
    <t>CEPCI</t>
  </si>
  <si>
    <t>The CCS_Serp_Reaction model simulates a direct aqueous carbonation process. It receives pressurized $CO_2$ and thermally activated Serpentine to produce stable magnesium carbonates and silica.</t>
  </si>
  <si>
    <t>The process operates in a slurry phase using a sodium chloride ($NaCl$) and sodium bicarbonate ($NaHCO_3$) buffer to enhance mineral dissolution and carbonation rates.</t>
  </si>
  <si>
    <t>4. Key Model Parameters</t>
  </si>
  <si>
    <t>5. References</t>
  </si>
  <si>
    <t>2. Carbonation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</si>
</sst>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
      <sz val="11"/>
      <color theme="1"/>
      <name val="Calibri"/>
      <family val="2"/>
      <scheme val="minor"/>
    </font>
  </fonts>
  <fills count="13">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rgb="FFDDEBF7"/>
        <bgColor indexed="64"/>
      </patternFill>
    </fill>
  </fills>
  <borders count="90">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right/>
      <top style="medium">
        <color indexed="64"/>
      </top>
      <bottom/>
      <diagonal/>
    </border>
    <border>
      <left/>
      <right/>
      <top/>
      <bottom style="medium">
        <color indexed="64"/>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style="thin">
        <color theme="0" tint="-0.14999847407452621"/>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style="medium">
        <color rgb="FF000000"/>
      </left>
      <right style="thin">
        <color theme="2" tint="-0.14996795556505021"/>
      </right>
      <top style="medium">
        <color rgb="FF000000"/>
      </top>
      <bottom style="thin">
        <color theme="2" tint="-0.14996795556505021"/>
      </bottom>
      <diagonal/>
    </border>
    <border>
      <left style="thin">
        <color theme="2" tint="-0.14996795556505021"/>
      </left>
      <right style="thin">
        <color theme="2" tint="-0.14996795556505021"/>
      </right>
      <top style="medium">
        <color rgb="FF000000"/>
      </top>
      <bottom style="thin">
        <color theme="2" tint="-0.14996795556505021"/>
      </bottom>
      <diagonal/>
    </border>
    <border>
      <left style="thin">
        <color theme="2" tint="-0.14996795556505021"/>
      </left>
      <right style="medium">
        <color rgb="FF000000"/>
      </right>
      <top style="medium">
        <color rgb="FF000000"/>
      </top>
      <bottom style="thin">
        <color theme="2" tint="-0.14996795556505021"/>
      </bottom>
      <diagonal/>
    </border>
    <border>
      <left style="medium">
        <color rgb="FF000000"/>
      </left>
      <right style="thin">
        <color theme="2" tint="-0.14996795556505021"/>
      </right>
      <top style="thin">
        <color theme="2" tint="-0.14996795556505021"/>
      </top>
      <bottom style="thin">
        <color theme="2" tint="-0.14996795556505021"/>
      </bottom>
      <diagonal/>
    </border>
    <border>
      <left style="thin">
        <color theme="2" tint="-0.14996795556505021"/>
      </left>
      <right style="thin">
        <color theme="2" tint="-0.14996795556505021"/>
      </right>
      <top style="thin">
        <color theme="2" tint="-0.14996795556505021"/>
      </top>
      <bottom style="thin">
        <color theme="2" tint="-0.14996795556505021"/>
      </bottom>
      <diagonal/>
    </border>
    <border>
      <left style="thin">
        <color theme="2" tint="-0.14996795556505021"/>
      </left>
      <right style="medium">
        <color rgb="FF000000"/>
      </right>
      <top style="thin">
        <color theme="2" tint="-0.14996795556505021"/>
      </top>
      <bottom style="thin">
        <color theme="2" tint="-0.14996795556505021"/>
      </bottom>
      <diagonal/>
    </border>
    <border>
      <left style="medium">
        <color rgb="FF000000"/>
      </left>
      <right style="thin">
        <color theme="2" tint="-0.14996795556505021"/>
      </right>
      <top style="thin">
        <color theme="2" tint="-0.14996795556505021"/>
      </top>
      <bottom style="medium">
        <color rgb="FF000000"/>
      </bottom>
      <diagonal/>
    </border>
    <border>
      <left style="thin">
        <color theme="2" tint="-0.14996795556505021"/>
      </left>
      <right style="thin">
        <color theme="2" tint="-0.14996795556505021"/>
      </right>
      <top style="thin">
        <color theme="2" tint="-0.14996795556505021"/>
      </top>
      <bottom style="medium">
        <color rgb="FF000000"/>
      </bottom>
      <diagonal/>
    </border>
    <border>
      <left style="thin">
        <color theme="2" tint="-0.14996795556505021"/>
      </left>
      <right style="medium">
        <color rgb="FF000000"/>
      </right>
      <top style="thin">
        <color theme="2" tint="-0.14996795556505021"/>
      </top>
      <bottom style="medium">
        <color rgb="FF000000"/>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17" fillId="0" borderId="46"/>
    <xf numFmtId="0" fontId="18" fillId="0" borderId="46"/>
  </cellStyleXfs>
  <cellXfs count="284">
    <xf numFmtId="0" fontId="0" fillId="0" borderId="0" xfId="0"/>
    <xf numFmtId="0" fontId="13" fillId="3" borderId="4" xfId="0" applyFont="1" applyFill="1" applyBorder="1" applyAlignment="1">
      <alignment horizontal="center" vertical="center"/>
    </xf>
    <xf numFmtId="0" fontId="13" fillId="3" borderId="5" xfId="0" applyFont="1" applyFill="1" applyBorder="1" applyAlignment="1">
      <alignment horizontal="left" vertical="center"/>
    </xf>
    <xf numFmtId="0" fontId="13" fillId="3" borderId="7" xfId="0" applyFont="1" applyFill="1" applyBorder="1"/>
    <xf numFmtId="0" fontId="13" fillId="3" borderId="3" xfId="0" applyFont="1" applyFill="1" applyBorder="1"/>
    <xf numFmtId="0" fontId="10" fillId="0" borderId="8" xfId="0" applyFont="1" applyBorder="1"/>
    <xf numFmtId="0" fontId="10" fillId="4" borderId="8" xfId="0" applyFont="1" applyFill="1" applyBorder="1"/>
    <xf numFmtId="0" fontId="12" fillId="4" borderId="8" xfId="0" applyFont="1" applyFill="1" applyBorder="1" applyAlignment="1">
      <alignment horizontal="center"/>
    </xf>
    <xf numFmtId="0" fontId="10" fillId="0" borderId="13" xfId="0" applyFont="1" applyBorder="1"/>
    <xf numFmtId="0" fontId="13" fillId="3" borderId="14" xfId="0" applyFont="1" applyFill="1" applyBorder="1"/>
    <xf numFmtId="0" fontId="13" fillId="3" borderId="15" xfId="0" applyFont="1" applyFill="1" applyBorder="1"/>
    <xf numFmtId="0" fontId="11" fillId="0" borderId="17" xfId="0" applyFont="1" applyBorder="1"/>
    <xf numFmtId="0" fontId="10" fillId="0" borderId="17" xfId="0" applyFont="1" applyBorder="1"/>
    <xf numFmtId="0" fontId="13" fillId="3" borderId="18" xfId="0" applyFont="1" applyFill="1" applyBorder="1"/>
    <xf numFmtId="0" fontId="13" fillId="4" borderId="19" xfId="0" applyFont="1" applyFill="1" applyBorder="1"/>
    <xf numFmtId="0" fontId="10" fillId="4" borderId="20" xfId="0" applyFont="1" applyFill="1" applyBorder="1"/>
    <xf numFmtId="0" fontId="13" fillId="3" borderId="13" xfId="0" applyFont="1" applyFill="1" applyBorder="1"/>
    <xf numFmtId="0" fontId="13" fillId="3" borderId="21" xfId="0" applyFont="1" applyFill="1" applyBorder="1"/>
    <xf numFmtId="0" fontId="13" fillId="3" borderId="17" xfId="0" applyFont="1" applyFill="1" applyBorder="1"/>
    <xf numFmtId="0" fontId="13" fillId="3" borderId="25" xfId="0" applyFont="1" applyFill="1" applyBorder="1"/>
    <xf numFmtId="0" fontId="13" fillId="3" borderId="19" xfId="0" applyFont="1" applyFill="1" applyBorder="1"/>
    <xf numFmtId="0" fontId="10" fillId="0" borderId="19" xfId="0" applyFont="1" applyBorder="1"/>
    <xf numFmtId="0" fontId="10" fillId="4" borderId="19" xfId="0" applyFont="1" applyFill="1" applyBorder="1"/>
    <xf numFmtId="0" fontId="15" fillId="4" borderId="1" xfId="0" applyFont="1" applyFill="1" applyBorder="1" applyAlignment="1">
      <alignment horizontal="left"/>
    </xf>
    <xf numFmtId="0" fontId="13" fillId="4" borderId="1" xfId="0" applyFont="1" applyFill="1" applyBorder="1"/>
    <xf numFmtId="0" fontId="13" fillId="4" borderId="1" xfId="0" applyFont="1" applyFill="1" applyBorder="1" applyAlignment="1">
      <alignment horizontal="left"/>
    </xf>
    <xf numFmtId="0" fontId="10" fillId="4" borderId="1" xfId="0" applyFont="1" applyFill="1" applyBorder="1" applyAlignment="1">
      <alignment horizontal="left"/>
    </xf>
    <xf numFmtId="0" fontId="10" fillId="4" borderId="1" xfId="0" applyFont="1" applyFill="1" applyBorder="1"/>
    <xf numFmtId="0" fontId="11" fillId="4" borderId="1" xfId="0" applyFont="1" applyFill="1" applyBorder="1"/>
    <xf numFmtId="0" fontId="9" fillId="4" borderId="17" xfId="0" applyFont="1" applyFill="1" applyBorder="1"/>
    <xf numFmtId="0" fontId="10" fillId="4" borderId="17" xfId="0" applyFont="1" applyFill="1" applyBorder="1"/>
    <xf numFmtId="0" fontId="13" fillId="4" borderId="17" xfId="0" applyFont="1" applyFill="1" applyBorder="1"/>
    <xf numFmtId="0" fontId="9" fillId="4" borderId="1" xfId="0" applyFont="1" applyFill="1" applyBorder="1"/>
    <xf numFmtId="0" fontId="13" fillId="4" borderId="30" xfId="0" applyFont="1" applyFill="1" applyBorder="1" applyAlignment="1">
      <alignment horizontal="center"/>
    </xf>
    <xf numFmtId="0" fontId="13" fillId="4" borderId="24" xfId="0" applyFont="1" applyFill="1" applyBorder="1" applyAlignment="1">
      <alignment horizontal="center"/>
    </xf>
    <xf numFmtId="0" fontId="13" fillId="4" borderId="31" xfId="0" applyFont="1" applyFill="1" applyBorder="1" applyAlignment="1">
      <alignment horizontal="center"/>
    </xf>
    <xf numFmtId="0" fontId="13" fillId="4" borderId="19" xfId="0" applyFont="1" applyFill="1" applyBorder="1" applyAlignment="1">
      <alignment horizontal="center"/>
    </xf>
    <xf numFmtId="0" fontId="15" fillId="4" borderId="20" xfId="0" applyFont="1" applyFill="1" applyBorder="1" applyAlignment="1">
      <alignment horizontal="left"/>
    </xf>
    <xf numFmtId="0" fontId="13" fillId="4" borderId="8" xfId="0" applyFont="1" applyFill="1" applyBorder="1" applyAlignment="1">
      <alignment horizontal="center"/>
    </xf>
    <xf numFmtId="0" fontId="12" fillId="4" borderId="19" xfId="0" applyFont="1" applyFill="1" applyBorder="1" applyAlignment="1">
      <alignment horizontal="center" vertical="center" wrapText="1"/>
    </xf>
    <xf numFmtId="0" fontId="13" fillId="3" borderId="8" xfId="0" applyFont="1" applyFill="1" applyBorder="1" applyAlignment="1">
      <alignment horizontal="center"/>
    </xf>
    <xf numFmtId="0" fontId="15" fillId="3" borderId="8" xfId="0" applyFont="1" applyFill="1" applyBorder="1" applyAlignment="1">
      <alignment horizontal="left"/>
    </xf>
    <xf numFmtId="0" fontId="12" fillId="4" borderId="0" xfId="0" applyFont="1" applyFill="1" applyAlignment="1">
      <alignment horizontal="center"/>
    </xf>
    <xf numFmtId="0" fontId="13" fillId="3" borderId="6" xfId="0" applyFont="1" applyFill="1" applyBorder="1" applyAlignment="1">
      <alignment horizontal="center"/>
    </xf>
    <xf numFmtId="0" fontId="15" fillId="3" borderId="6" xfId="0" applyFont="1" applyFill="1" applyBorder="1" applyAlignment="1">
      <alignment horizontal="left"/>
    </xf>
    <xf numFmtId="0" fontId="13" fillId="3" borderId="4" xfId="0" applyFont="1" applyFill="1" applyBorder="1" applyAlignment="1">
      <alignment horizontal="center"/>
    </xf>
    <xf numFmtId="0" fontId="15" fillId="3" borderId="35" xfId="0" quotePrefix="1" applyFont="1" applyFill="1" applyBorder="1" applyAlignment="1">
      <alignment horizontal="left"/>
    </xf>
    <xf numFmtId="0" fontId="13" fillId="3" borderId="35" xfId="0" applyFont="1" applyFill="1" applyBorder="1" applyAlignment="1">
      <alignment horizontal="center"/>
    </xf>
    <xf numFmtId="0" fontId="13" fillId="3" borderId="3" xfId="0" applyFont="1" applyFill="1" applyBorder="1" applyAlignment="1">
      <alignment horizontal="center"/>
    </xf>
    <xf numFmtId="0" fontId="15" fillId="3" borderId="3" xfId="0" applyFont="1" applyFill="1" applyBorder="1" applyAlignment="1">
      <alignment horizontal="left"/>
    </xf>
    <xf numFmtId="0" fontId="15" fillId="3" borderId="24" xfId="0" applyFont="1" applyFill="1" applyBorder="1" applyAlignment="1">
      <alignment horizontal="left" vertical="center"/>
    </xf>
    <xf numFmtId="0" fontId="13" fillId="3" borderId="24" xfId="0" applyFont="1" applyFill="1" applyBorder="1" applyAlignment="1">
      <alignment horizontal="center"/>
    </xf>
    <xf numFmtId="0" fontId="15" fillId="3" borderId="8" xfId="0" quotePrefix="1" applyFont="1" applyFill="1" applyBorder="1" applyAlignment="1">
      <alignment horizontal="left"/>
    </xf>
    <xf numFmtId="0" fontId="15" fillId="3" borderId="8" xfId="0" applyFont="1" applyFill="1" applyBorder="1" applyAlignment="1">
      <alignment horizontal="left" vertical="center"/>
    </xf>
    <xf numFmtId="0" fontId="15" fillId="3" borderId="14" xfId="0" applyFont="1" applyFill="1" applyBorder="1" applyAlignment="1">
      <alignment horizontal="left" vertical="center"/>
    </xf>
    <xf numFmtId="0" fontId="15" fillId="3" borderId="15" xfId="0" applyFont="1" applyFill="1" applyBorder="1" applyAlignment="1">
      <alignment horizontal="left"/>
    </xf>
    <xf numFmtId="0" fontId="13" fillId="3" borderId="15" xfId="0" applyFont="1" applyFill="1" applyBorder="1" applyAlignment="1">
      <alignment horizontal="center"/>
    </xf>
    <xf numFmtId="0" fontId="13" fillId="3" borderId="15" xfId="0" applyFont="1" applyFill="1" applyBorder="1" applyAlignment="1">
      <alignment horizontal="left"/>
    </xf>
    <xf numFmtId="0" fontId="13" fillId="3" borderId="8" xfId="0" applyFont="1" applyFill="1" applyBorder="1" applyAlignment="1">
      <alignment horizontal="center" vertical="center"/>
    </xf>
    <xf numFmtId="0" fontId="13" fillId="3" borderId="16" xfId="0" applyFont="1" applyFill="1" applyBorder="1" applyAlignment="1">
      <alignment horizontal="center" vertical="center"/>
    </xf>
    <xf numFmtId="0" fontId="10" fillId="0" borderId="24" xfId="0" applyFont="1" applyBorder="1"/>
    <xf numFmtId="0" fontId="13" fillId="3" borderId="24" xfId="0" applyFont="1" applyFill="1" applyBorder="1" applyAlignment="1">
      <alignment horizontal="center" vertical="center"/>
    </xf>
    <xf numFmtId="0" fontId="15" fillId="3" borderId="24" xfId="0" applyFont="1" applyFill="1" applyBorder="1" applyAlignment="1">
      <alignment horizontal="left"/>
    </xf>
    <xf numFmtId="0" fontId="13" fillId="3" borderId="36" xfId="0" applyFont="1" applyFill="1" applyBorder="1" applyAlignment="1">
      <alignment horizontal="center"/>
    </xf>
    <xf numFmtId="0" fontId="13" fillId="3" borderId="20" xfId="0" applyFont="1" applyFill="1" applyBorder="1" applyAlignment="1">
      <alignment horizontal="center" vertical="center"/>
    </xf>
    <xf numFmtId="0" fontId="15" fillId="3" borderId="5" xfId="0" quotePrefix="1" applyFont="1" applyFill="1" applyBorder="1" applyAlignment="1">
      <alignment horizontal="left"/>
    </xf>
    <xf numFmtId="0" fontId="13" fillId="3" borderId="22" xfId="0" applyFont="1" applyFill="1" applyBorder="1" applyAlignment="1">
      <alignment horizontal="center"/>
    </xf>
    <xf numFmtId="0" fontId="13" fillId="3" borderId="23" xfId="0" applyFont="1" applyFill="1" applyBorder="1" applyAlignment="1">
      <alignment horizontal="center"/>
    </xf>
    <xf numFmtId="0" fontId="15" fillId="3" borderId="14" xfId="0" quotePrefix="1" applyFont="1" applyFill="1" applyBorder="1" applyAlignment="1">
      <alignment horizontal="left"/>
    </xf>
    <xf numFmtId="0" fontId="13" fillId="4" borderId="4" xfId="0" applyFont="1" applyFill="1" applyBorder="1" applyAlignment="1">
      <alignment horizontal="center"/>
    </xf>
    <xf numFmtId="0" fontId="13" fillId="4" borderId="5" xfId="0" applyFont="1" applyFill="1" applyBorder="1" applyAlignment="1">
      <alignment horizontal="center"/>
    </xf>
    <xf numFmtId="0" fontId="13" fillId="4" borderId="3" xfId="0" applyFont="1" applyFill="1" applyBorder="1" applyAlignment="1">
      <alignment horizontal="center"/>
    </xf>
    <xf numFmtId="0" fontId="13" fillId="4" borderId="39" xfId="0" applyFont="1" applyFill="1" applyBorder="1" applyAlignment="1">
      <alignment horizontal="center"/>
    </xf>
    <xf numFmtId="0" fontId="13" fillId="4" borderId="13" xfId="0" applyFont="1" applyFill="1" applyBorder="1" applyAlignment="1">
      <alignment horizontal="center" vertical="center"/>
    </xf>
    <xf numFmtId="0" fontId="13" fillId="4" borderId="16" xfId="0" applyFont="1" applyFill="1" applyBorder="1" applyAlignment="1">
      <alignment horizontal="center" vertical="center"/>
    </xf>
    <xf numFmtId="0" fontId="13" fillId="4" borderId="24" xfId="0" applyFont="1" applyFill="1" applyBorder="1" applyAlignment="1">
      <alignment horizontal="center" vertical="center"/>
    </xf>
    <xf numFmtId="0" fontId="15" fillId="4" borderId="0" xfId="0" applyFont="1" applyFill="1" applyAlignment="1">
      <alignment horizontal="left"/>
    </xf>
    <xf numFmtId="0" fontId="13" fillId="4" borderId="0" xfId="0" applyFont="1" applyFill="1" applyAlignment="1">
      <alignment horizontal="center"/>
    </xf>
    <xf numFmtId="0" fontId="13" fillId="4" borderId="6" xfId="0" applyFont="1" applyFill="1" applyBorder="1" applyAlignment="1">
      <alignment horizontal="center"/>
    </xf>
    <xf numFmtId="0" fontId="13" fillId="4" borderId="36" xfId="0" applyFont="1" applyFill="1" applyBorder="1" applyAlignment="1">
      <alignment horizontal="center"/>
    </xf>
    <xf numFmtId="0" fontId="13" fillId="4" borderId="47" xfId="0" applyFont="1" applyFill="1" applyBorder="1" applyAlignment="1">
      <alignment horizontal="center"/>
    </xf>
    <xf numFmtId="0" fontId="0" fillId="6" borderId="0" xfId="0" applyFill="1"/>
    <xf numFmtId="0" fontId="9" fillId="0" borderId="1" xfId="0" applyFont="1" applyBorder="1" applyAlignment="1">
      <alignment horizontal="left" vertical="top"/>
    </xf>
    <xf numFmtId="0" fontId="13" fillId="3" borderId="46" xfId="0" applyFont="1" applyFill="1" applyBorder="1" applyAlignment="1">
      <alignment horizontal="left" vertical="center"/>
    </xf>
    <xf numFmtId="0" fontId="0" fillId="7" borderId="0" xfId="0" applyFill="1"/>
    <xf numFmtId="0" fontId="12" fillId="4" borderId="19" xfId="0" applyFont="1" applyFill="1" applyBorder="1" applyAlignment="1">
      <alignment horizontal="center" vertical="center"/>
    </xf>
    <xf numFmtId="2" fontId="10" fillId="4" borderId="8" xfId="0" applyNumberFormat="1" applyFont="1" applyFill="1" applyBorder="1"/>
    <xf numFmtId="0" fontId="12" fillId="2" borderId="27" xfId="0" applyFont="1" applyFill="1" applyBorder="1" applyAlignment="1">
      <alignment horizontal="left" vertical="top"/>
    </xf>
    <xf numFmtId="0" fontId="12" fillId="2" borderId="32" xfId="0" applyFont="1" applyFill="1" applyBorder="1" applyAlignment="1">
      <alignment horizontal="left" vertical="top"/>
    </xf>
    <xf numFmtId="0" fontId="12" fillId="2" borderId="33" xfId="0" applyFont="1" applyFill="1" applyBorder="1" applyAlignment="1">
      <alignment horizontal="left" vertical="top" wrapText="1"/>
    </xf>
    <xf numFmtId="0" fontId="12" fillId="2" borderId="34" xfId="0" applyFont="1" applyFill="1" applyBorder="1" applyAlignment="1">
      <alignment horizontal="left" vertical="top" wrapText="1"/>
    </xf>
    <xf numFmtId="0" fontId="12" fillId="2" borderId="28" xfId="0" applyFont="1" applyFill="1" applyBorder="1" applyAlignment="1">
      <alignment horizontal="left" vertical="top"/>
    </xf>
    <xf numFmtId="0" fontId="12" fillId="2" borderId="37" xfId="0" applyFont="1" applyFill="1" applyBorder="1" applyAlignment="1">
      <alignment horizontal="left" vertical="top"/>
    </xf>
    <xf numFmtId="0" fontId="12" fillId="2" borderId="38" xfId="0" applyFont="1" applyFill="1" applyBorder="1" applyAlignment="1">
      <alignment horizontal="left" vertical="top"/>
    </xf>
    <xf numFmtId="0" fontId="12" fillId="2" borderId="41" xfId="0" applyFont="1" applyFill="1" applyBorder="1" applyAlignment="1">
      <alignment horizontal="left" vertical="top"/>
    </xf>
    <xf numFmtId="0" fontId="12" fillId="2" borderId="40" xfId="0" applyFont="1" applyFill="1" applyBorder="1" applyAlignment="1">
      <alignment horizontal="left" vertical="top"/>
    </xf>
    <xf numFmtId="0" fontId="13" fillId="2" borderId="41" xfId="0" applyFont="1" applyFill="1" applyBorder="1" applyAlignment="1">
      <alignment horizontal="left" vertical="top"/>
    </xf>
    <xf numFmtId="0" fontId="12" fillId="2" borderId="9" xfId="0" applyFont="1" applyFill="1" applyBorder="1" applyAlignment="1">
      <alignment horizontal="left" vertical="top"/>
    </xf>
    <xf numFmtId="0" fontId="12" fillId="2" borderId="10" xfId="0" applyFont="1" applyFill="1" applyBorder="1" applyAlignment="1">
      <alignment horizontal="left" vertical="top"/>
    </xf>
    <xf numFmtId="0" fontId="10" fillId="8" borderId="20" xfId="0" applyFont="1" applyFill="1" applyBorder="1"/>
    <xf numFmtId="0" fontId="10" fillId="8" borderId="26" xfId="0" applyFont="1" applyFill="1" applyBorder="1"/>
    <xf numFmtId="0" fontId="12" fillId="2" borderId="42" xfId="0" applyFont="1" applyFill="1" applyBorder="1" applyAlignment="1">
      <alignment horizontal="left" vertical="top"/>
    </xf>
    <xf numFmtId="0" fontId="12" fillId="2" borderId="48" xfId="0" applyFont="1" applyFill="1" applyBorder="1" applyAlignment="1">
      <alignment horizontal="left" vertical="top"/>
    </xf>
    <xf numFmtId="0" fontId="12" fillId="2" borderId="50" xfId="0" applyFont="1" applyFill="1" applyBorder="1" applyAlignment="1">
      <alignment horizontal="left" vertical="top"/>
    </xf>
    <xf numFmtId="0" fontId="13" fillId="8" borderId="49" xfId="0" applyFont="1" applyFill="1" applyBorder="1" applyAlignment="1">
      <alignment horizontal="left" vertical="top" wrapText="1"/>
    </xf>
    <xf numFmtId="0" fontId="12" fillId="2" borderId="49" xfId="0" applyFont="1" applyFill="1" applyBorder="1" applyAlignment="1">
      <alignment horizontal="left" vertical="top"/>
    </xf>
    <xf numFmtId="0" fontId="13" fillId="4" borderId="21" xfId="0" applyFont="1" applyFill="1" applyBorder="1" applyAlignment="1">
      <alignment horizontal="center" vertical="center"/>
    </xf>
    <xf numFmtId="0" fontId="13" fillId="2" borderId="28" xfId="0" applyFont="1" applyFill="1" applyBorder="1" applyAlignment="1">
      <alignment horizontal="left" vertical="top"/>
    </xf>
    <xf numFmtId="0" fontId="13" fillId="2" borderId="29" xfId="0" applyFont="1" applyFill="1" applyBorder="1" applyAlignment="1">
      <alignment horizontal="left" vertical="top"/>
    </xf>
    <xf numFmtId="0" fontId="13" fillId="2" borderId="11" xfId="0" applyFont="1" applyFill="1" applyBorder="1" applyAlignment="1">
      <alignment horizontal="left" vertical="top"/>
    </xf>
    <xf numFmtId="0" fontId="13" fillId="2" borderId="46" xfId="0" applyFont="1" applyFill="1" applyBorder="1" applyAlignment="1">
      <alignment horizontal="left" vertical="top"/>
    </xf>
    <xf numFmtId="0" fontId="8" fillId="2" borderId="46" xfId="0" applyFont="1" applyFill="1" applyBorder="1" applyAlignment="1">
      <alignment horizontal="left" vertical="top"/>
    </xf>
    <xf numFmtId="0" fontId="13" fillId="2" borderId="12" xfId="0" applyFont="1" applyFill="1" applyBorder="1" applyAlignment="1">
      <alignment horizontal="left" vertical="top"/>
    </xf>
    <xf numFmtId="0" fontId="12" fillId="2" borderId="54" xfId="0" applyFont="1" applyFill="1" applyBorder="1" applyAlignment="1">
      <alignment horizontal="left" vertical="top"/>
    </xf>
    <xf numFmtId="0" fontId="12" fillId="2" borderId="55" xfId="0" applyFont="1" applyFill="1" applyBorder="1" applyAlignment="1">
      <alignment horizontal="left" vertical="top"/>
    </xf>
    <xf numFmtId="0" fontId="12" fillId="2" borderId="56" xfId="0" applyFont="1" applyFill="1" applyBorder="1" applyAlignment="1">
      <alignment horizontal="left" vertical="top"/>
    </xf>
    <xf numFmtId="0" fontId="0" fillId="6" borderId="52" xfId="0" applyFill="1" applyBorder="1"/>
    <xf numFmtId="0" fontId="12" fillId="2" borderId="57" xfId="0" applyFont="1" applyFill="1" applyBorder="1" applyAlignment="1">
      <alignment horizontal="left" vertical="center"/>
    </xf>
    <xf numFmtId="0" fontId="12" fillId="2" borderId="51" xfId="0" applyFont="1" applyFill="1" applyBorder="1" applyAlignment="1">
      <alignment horizontal="left" vertical="center"/>
    </xf>
    <xf numFmtId="0" fontId="13" fillId="3" borderId="52" xfId="0" applyFont="1" applyFill="1" applyBorder="1" applyAlignment="1">
      <alignment horizontal="right"/>
    </xf>
    <xf numFmtId="164" fontId="13" fillId="3" borderId="52" xfId="0" applyNumberFormat="1" applyFont="1" applyFill="1" applyBorder="1" applyAlignment="1">
      <alignment horizontal="right"/>
    </xf>
    <xf numFmtId="0" fontId="12" fillId="2" borderId="51" xfId="0" applyFont="1" applyFill="1" applyBorder="1" applyAlignment="1">
      <alignment horizontal="left" vertical="center" wrapText="1"/>
    </xf>
    <xf numFmtId="0" fontId="13" fillId="3" borderId="52" xfId="0" applyFont="1" applyFill="1" applyBorder="1" applyAlignment="1">
      <alignment horizontal="right" wrapText="1"/>
    </xf>
    <xf numFmtId="0" fontId="12" fillId="2" borderId="59" xfId="0" applyFont="1" applyFill="1" applyBorder="1" applyAlignment="1">
      <alignment horizontal="left" vertical="center" wrapText="1"/>
    </xf>
    <xf numFmtId="0" fontId="13" fillId="3" borderId="60" xfId="0" applyFont="1" applyFill="1" applyBorder="1" applyAlignment="1">
      <alignment horizontal="right"/>
    </xf>
    <xf numFmtId="0" fontId="12" fillId="2" borderId="54" xfId="0" applyFont="1" applyFill="1" applyBorder="1" applyAlignment="1">
      <alignment vertical="top"/>
    </xf>
    <xf numFmtId="0" fontId="12" fillId="2" borderId="55" xfId="0" applyFont="1" applyFill="1" applyBorder="1" applyAlignment="1">
      <alignment vertical="top"/>
    </xf>
    <xf numFmtId="0" fontId="12" fillId="2" borderId="56" xfId="0" applyFont="1" applyFill="1" applyBorder="1" applyAlignment="1">
      <alignment vertical="top"/>
    </xf>
    <xf numFmtId="0" fontId="12" fillId="2" borderId="53" xfId="0" applyFont="1" applyFill="1" applyBorder="1" applyAlignment="1">
      <alignment horizontal="left" vertical="top"/>
    </xf>
    <xf numFmtId="0" fontId="12" fillId="2" borderId="61" xfId="0" applyFont="1" applyFill="1" applyBorder="1" applyAlignment="1">
      <alignment horizontal="left" vertical="top"/>
    </xf>
    <xf numFmtId="0" fontId="13" fillId="2" borderId="45" xfId="0" applyFont="1" applyFill="1" applyBorder="1" applyAlignment="1">
      <alignment horizontal="left" vertical="top"/>
    </xf>
    <xf numFmtId="0" fontId="10" fillId="2" borderId="2" xfId="0" applyFont="1" applyFill="1" applyBorder="1" applyAlignment="1">
      <alignment vertical="top"/>
    </xf>
    <xf numFmtId="0" fontId="10" fillId="2" borderId="2" xfId="0" applyFont="1" applyFill="1" applyBorder="1" applyAlignment="1" applyProtection="1">
      <alignment vertical="top"/>
      <protection locked="0"/>
    </xf>
    <xf numFmtId="0" fontId="0" fillId="0" borderId="0" xfId="0" applyProtection="1">
      <protection locked="0"/>
    </xf>
    <xf numFmtId="0" fontId="8" fillId="0" borderId="1" xfId="0" applyFont="1" applyBorder="1" applyAlignment="1" applyProtection="1">
      <alignment horizontal="left" vertical="top" wrapText="1"/>
      <protection locked="0"/>
    </xf>
    <xf numFmtId="0" fontId="7" fillId="0" borderId="1" xfId="0" applyFont="1" applyBorder="1" applyAlignment="1" applyProtection="1">
      <alignment horizontal="left" vertical="top" wrapText="1"/>
      <protection locked="0"/>
    </xf>
    <xf numFmtId="0" fontId="8" fillId="6" borderId="0" xfId="0" applyFont="1" applyFill="1" applyAlignment="1">
      <alignment horizontal="left" vertical="center"/>
    </xf>
    <xf numFmtId="0" fontId="6" fillId="6" borderId="0" xfId="0" applyFont="1" applyFill="1" applyAlignment="1">
      <alignment horizontal="left" vertical="center"/>
    </xf>
    <xf numFmtId="0" fontId="6" fillId="4" borderId="1" xfId="0" applyFont="1" applyFill="1" applyBorder="1"/>
    <xf numFmtId="0" fontId="13" fillId="3" borderId="54" xfId="0" applyFont="1" applyFill="1" applyBorder="1" applyAlignment="1">
      <alignment horizontal="right"/>
    </xf>
    <xf numFmtId="0" fontId="13" fillId="2" borderId="44" xfId="0" applyFont="1" applyFill="1" applyBorder="1" applyAlignment="1">
      <alignment horizontal="left" vertical="top"/>
    </xf>
    <xf numFmtId="0" fontId="13" fillId="2" borderId="62" xfId="0" applyFont="1" applyFill="1" applyBorder="1" applyAlignment="1">
      <alignment horizontal="left" vertical="top"/>
    </xf>
    <xf numFmtId="0" fontId="13" fillId="2" borderId="63" xfId="0" applyFont="1" applyFill="1" applyBorder="1" applyAlignment="1">
      <alignment horizontal="left" vertical="top"/>
    </xf>
    <xf numFmtId="0" fontId="13" fillId="2" borderId="64" xfId="0" applyFont="1" applyFill="1" applyBorder="1" applyAlignment="1">
      <alignment horizontal="left" vertical="top"/>
    </xf>
    <xf numFmtId="0" fontId="13" fillId="2" borderId="65" xfId="0" applyFont="1" applyFill="1" applyBorder="1" applyAlignment="1">
      <alignment horizontal="left" vertical="top"/>
    </xf>
    <xf numFmtId="0" fontId="12" fillId="5" borderId="57" xfId="0" applyFont="1" applyFill="1" applyBorder="1" applyAlignment="1">
      <alignment horizontal="left" vertical="top"/>
    </xf>
    <xf numFmtId="0" fontId="12" fillId="5" borderId="58" xfId="0" applyFont="1" applyFill="1" applyBorder="1" applyAlignment="1">
      <alignment horizontal="left" vertical="top"/>
    </xf>
    <xf numFmtId="0" fontId="13" fillId="3" borderId="56" xfId="0" applyFont="1" applyFill="1" applyBorder="1" applyAlignment="1">
      <alignment horizontal="right"/>
    </xf>
    <xf numFmtId="0" fontId="13" fillId="3" borderId="55" xfId="0" applyFont="1" applyFill="1" applyBorder="1" applyAlignment="1">
      <alignment horizontal="right"/>
    </xf>
    <xf numFmtId="0" fontId="13" fillId="3" borderId="46" xfId="0" applyFont="1" applyFill="1" applyBorder="1" applyAlignment="1">
      <alignment horizontal="center"/>
    </xf>
    <xf numFmtId="0" fontId="0" fillId="7" borderId="46" xfId="0" applyFill="1" applyBorder="1"/>
    <xf numFmtId="0" fontId="0" fillId="0" borderId="46" xfId="0" applyBorder="1"/>
    <xf numFmtId="2" fontId="14" fillId="6" borderId="55" xfId="0" applyNumberFormat="1" applyFont="1" applyFill="1" applyBorder="1" applyAlignment="1">
      <alignment horizontal="right"/>
    </xf>
    <xf numFmtId="0" fontId="14" fillId="6" borderId="54" xfId="0" applyFont="1" applyFill="1" applyBorder="1" applyAlignment="1">
      <alignment horizontal="right"/>
    </xf>
    <xf numFmtId="0" fontId="14" fillId="6" borderId="56" xfId="0" applyFont="1" applyFill="1" applyBorder="1" applyAlignment="1">
      <alignment horizontal="right"/>
    </xf>
    <xf numFmtId="0" fontId="13" fillId="2" borderId="43" xfId="0" applyFont="1" applyFill="1" applyBorder="1" applyAlignment="1">
      <alignment horizontal="left" vertical="top"/>
    </xf>
    <xf numFmtId="0" fontId="0" fillId="7" borderId="54" xfId="0" applyFill="1" applyBorder="1" applyAlignment="1">
      <alignment horizontal="right"/>
    </xf>
    <xf numFmtId="0" fontId="8" fillId="7" borderId="55" xfId="0" applyFont="1" applyFill="1" applyBorder="1" applyAlignment="1">
      <alignment horizontal="right"/>
    </xf>
    <xf numFmtId="14" fontId="0" fillId="7" borderId="56" xfId="0" applyNumberFormat="1" applyFill="1" applyBorder="1" applyAlignment="1">
      <alignment horizontal="right"/>
    </xf>
    <xf numFmtId="164" fontId="8" fillId="7" borderId="54" xfId="0" applyNumberFormat="1" applyFont="1" applyFill="1" applyBorder="1" applyAlignment="1">
      <alignment horizontal="right"/>
    </xf>
    <xf numFmtId="14" fontId="0" fillId="7" borderId="55" xfId="0" applyNumberFormat="1" applyFill="1" applyBorder="1" applyAlignment="1">
      <alignment horizontal="right"/>
    </xf>
    <xf numFmtId="0" fontId="8" fillId="7" borderId="56" xfId="0" applyFont="1" applyFill="1" applyBorder="1" applyAlignment="1">
      <alignment horizontal="right"/>
    </xf>
    <xf numFmtId="14" fontId="13" fillId="3" borderId="52" xfId="0" applyNumberFormat="1" applyFont="1" applyFill="1" applyBorder="1" applyAlignment="1">
      <alignment horizontal="right"/>
    </xf>
    <xf numFmtId="0" fontId="13" fillId="4" borderId="46" xfId="0" applyFont="1" applyFill="1" applyBorder="1" applyAlignment="1">
      <alignment horizontal="center"/>
    </xf>
    <xf numFmtId="0" fontId="10" fillId="0" borderId="46" xfId="0" applyFont="1" applyBorder="1"/>
    <xf numFmtId="0" fontId="13" fillId="9" borderId="58" xfId="0" applyFont="1" applyFill="1" applyBorder="1" applyAlignment="1">
      <alignment horizontal="right"/>
    </xf>
    <xf numFmtId="0" fontId="0" fillId="10" borderId="52" xfId="0" applyFill="1" applyBorder="1" applyAlignment="1">
      <alignment horizontal="right"/>
    </xf>
    <xf numFmtId="0" fontId="13" fillId="9" borderId="52" xfId="0" applyFont="1" applyFill="1" applyBorder="1" applyAlignment="1">
      <alignment horizontal="right" wrapText="1"/>
    </xf>
    <xf numFmtId="0" fontId="13" fillId="0" borderId="46" xfId="0" applyFont="1" applyBorder="1" applyAlignment="1">
      <alignment horizontal="right"/>
    </xf>
    <xf numFmtId="0" fontId="14" fillId="0" borderId="46" xfId="0" applyFont="1" applyBorder="1" applyAlignment="1">
      <alignment horizontal="right"/>
    </xf>
    <xf numFmtId="0" fontId="5" fillId="0" borderId="46" xfId="0" applyFont="1" applyBorder="1" applyAlignment="1">
      <alignment horizontal="right"/>
    </xf>
    <xf numFmtId="0" fontId="13" fillId="0" borderId="46" xfId="0" quotePrefix="1" applyFont="1" applyBorder="1" applyAlignment="1">
      <alignment horizontal="right"/>
    </xf>
    <xf numFmtId="0" fontId="13" fillId="2" borderId="57" xfId="0" applyFont="1" applyFill="1" applyBorder="1" applyAlignment="1">
      <alignment horizontal="left" vertical="top"/>
    </xf>
    <xf numFmtId="0" fontId="13" fillId="2" borderId="66" xfId="0" applyFont="1" applyFill="1" applyBorder="1" applyAlignment="1">
      <alignment horizontal="left" vertical="top"/>
    </xf>
    <xf numFmtId="0" fontId="8" fillId="2" borderId="66" xfId="0" applyFont="1" applyFill="1" applyBorder="1" applyAlignment="1">
      <alignment horizontal="left" vertical="top"/>
    </xf>
    <xf numFmtId="0" fontId="13" fillId="2" borderId="58" xfId="0" applyFont="1" applyFill="1" applyBorder="1" applyAlignment="1">
      <alignment horizontal="left" vertical="top"/>
    </xf>
    <xf numFmtId="0" fontId="13" fillId="0" borderId="68" xfId="0" applyFont="1" applyBorder="1" applyAlignment="1">
      <alignment horizontal="right"/>
    </xf>
    <xf numFmtId="0" fontId="14" fillId="0" borderId="69" xfId="0" applyFont="1" applyBorder="1" applyAlignment="1">
      <alignment horizontal="right"/>
    </xf>
    <xf numFmtId="0" fontId="13" fillId="0" borderId="69" xfId="0" applyFont="1" applyBorder="1" applyAlignment="1">
      <alignment horizontal="right"/>
    </xf>
    <xf numFmtId="0" fontId="5" fillId="0" borderId="69" xfId="0" applyFont="1" applyBorder="1" applyAlignment="1">
      <alignment horizontal="right"/>
    </xf>
    <xf numFmtId="0" fontId="13" fillId="0" borderId="71" xfId="0" applyFont="1" applyBorder="1" applyAlignment="1">
      <alignment horizontal="right"/>
    </xf>
    <xf numFmtId="0" fontId="14" fillId="0" borderId="72" xfId="0" applyFont="1" applyBorder="1" applyAlignment="1">
      <alignment horizontal="right"/>
    </xf>
    <xf numFmtId="0" fontId="13" fillId="0" borderId="72" xfId="0" applyFont="1" applyBorder="1" applyAlignment="1">
      <alignment horizontal="right"/>
    </xf>
    <xf numFmtId="0" fontId="13" fillId="0" borderId="74" xfId="0" applyFont="1" applyBorder="1" applyAlignment="1">
      <alignment horizontal="right"/>
    </xf>
    <xf numFmtId="0" fontId="14" fillId="0" borderId="75" xfId="0" applyFont="1" applyBorder="1" applyAlignment="1">
      <alignment horizontal="right"/>
    </xf>
    <xf numFmtId="0" fontId="13" fillId="0" borderId="75" xfId="0" applyFont="1" applyBorder="1" applyAlignment="1">
      <alignment horizontal="right"/>
    </xf>
    <xf numFmtId="0" fontId="5" fillId="0" borderId="75" xfId="0" applyFont="1" applyBorder="1" applyAlignment="1">
      <alignment horizontal="right"/>
    </xf>
    <xf numFmtId="0" fontId="13" fillId="3" borderId="46" xfId="0" applyFont="1" applyFill="1" applyBorder="1"/>
    <xf numFmtId="0" fontId="13" fillId="4" borderId="36" xfId="0" applyFont="1" applyFill="1" applyBorder="1"/>
    <xf numFmtId="0" fontId="10" fillId="4" borderId="36" xfId="0" applyFont="1" applyFill="1" applyBorder="1"/>
    <xf numFmtId="0" fontId="10" fillId="0" borderId="77" xfId="0" applyFont="1" applyBorder="1" applyAlignment="1">
      <alignment horizontal="right"/>
    </xf>
    <xf numFmtId="0" fontId="10" fillId="0" borderId="78" xfId="0" applyFont="1" applyBorder="1" applyAlignment="1">
      <alignment horizontal="right" vertical="center"/>
    </xf>
    <xf numFmtId="0" fontId="13" fillId="0" borderId="78" xfId="0" applyFont="1" applyBorder="1" applyAlignment="1">
      <alignment horizontal="right" vertical="center"/>
    </xf>
    <xf numFmtId="0" fontId="8" fillId="0" borderId="78" xfId="0" applyFont="1" applyBorder="1" applyAlignment="1">
      <alignment horizontal="right" vertical="center"/>
    </xf>
    <xf numFmtId="0" fontId="10" fillId="0" borderId="78" xfId="0" applyFont="1" applyBorder="1" applyAlignment="1">
      <alignment horizontal="right"/>
    </xf>
    <xf numFmtId="0" fontId="13" fillId="0" borderId="79" xfId="0" applyFont="1" applyBorder="1" applyAlignment="1">
      <alignment horizontal="right"/>
    </xf>
    <xf numFmtId="0" fontId="4" fillId="0" borderId="72" xfId="0" applyFont="1" applyBorder="1" applyAlignment="1">
      <alignment horizontal="right"/>
    </xf>
    <xf numFmtId="0" fontId="13" fillId="10" borderId="76" xfId="0" quotePrefix="1" applyFont="1" applyFill="1" applyBorder="1" applyAlignment="1">
      <alignment horizontal="right"/>
    </xf>
    <xf numFmtId="0" fontId="13" fillId="10" borderId="70" xfId="0" quotePrefix="1" applyFont="1" applyFill="1" applyBorder="1" applyAlignment="1">
      <alignment horizontal="right"/>
    </xf>
    <xf numFmtId="0" fontId="13" fillId="10" borderId="73" xfId="0" quotePrefix="1" applyFont="1" applyFill="1" applyBorder="1" applyAlignment="1">
      <alignment horizontal="right"/>
    </xf>
    <xf numFmtId="0" fontId="13" fillId="10" borderId="75" xfId="0" applyFont="1" applyFill="1" applyBorder="1" applyAlignment="1">
      <alignment horizontal="right"/>
    </xf>
    <xf numFmtId="0" fontId="13" fillId="10" borderId="69" xfId="0" applyFont="1" applyFill="1" applyBorder="1" applyAlignment="1">
      <alignment horizontal="right"/>
    </xf>
    <xf numFmtId="0" fontId="8" fillId="0" borderId="68" xfId="0" applyFont="1" applyBorder="1" applyAlignment="1">
      <alignment horizontal="right"/>
    </xf>
    <xf numFmtId="2" fontId="13" fillId="0" borderId="69" xfId="0" applyNumberFormat="1" applyFont="1" applyBorder="1" applyAlignment="1">
      <alignment horizontal="right"/>
    </xf>
    <xf numFmtId="0" fontId="16" fillId="0" borderId="69" xfId="0" applyFont="1" applyBorder="1" applyAlignment="1">
      <alignment horizontal="right"/>
    </xf>
    <xf numFmtId="2" fontId="13" fillId="0" borderId="75" xfId="0" applyNumberFormat="1" applyFont="1" applyBorder="1" applyAlignment="1">
      <alignment horizontal="right"/>
    </xf>
    <xf numFmtId="0" fontId="16" fillId="0" borderId="75" xfId="0" applyFont="1" applyBorder="1" applyAlignment="1">
      <alignment horizontal="right"/>
    </xf>
    <xf numFmtId="0" fontId="8" fillId="0" borderId="71" xfId="0" applyFont="1" applyBorder="1" applyAlignment="1">
      <alignment horizontal="right"/>
    </xf>
    <xf numFmtId="2" fontId="13" fillId="0" borderId="72" xfId="0" applyNumberFormat="1" applyFont="1" applyBorder="1" applyAlignment="1">
      <alignment horizontal="right"/>
    </xf>
    <xf numFmtId="0" fontId="16" fillId="0" borderId="72" xfId="0" applyFont="1" applyBorder="1" applyAlignment="1">
      <alignment horizontal="right"/>
    </xf>
    <xf numFmtId="0" fontId="13" fillId="0" borderId="76" xfId="0" applyFont="1" applyBorder="1" applyAlignment="1">
      <alignment horizontal="right"/>
    </xf>
    <xf numFmtId="0" fontId="13" fillId="0" borderId="70" xfId="0" applyFont="1" applyBorder="1" applyAlignment="1">
      <alignment horizontal="right"/>
    </xf>
    <xf numFmtId="0" fontId="13" fillId="10" borderId="72" xfId="0" applyFont="1" applyFill="1" applyBorder="1" applyAlignment="1">
      <alignment horizontal="right"/>
    </xf>
    <xf numFmtId="0" fontId="13" fillId="10" borderId="76" xfId="0" applyFont="1" applyFill="1" applyBorder="1" applyAlignment="1">
      <alignment horizontal="right"/>
    </xf>
    <xf numFmtId="0" fontId="13" fillId="10" borderId="70" xfId="0" applyFont="1" applyFill="1" applyBorder="1" applyAlignment="1">
      <alignment horizontal="right"/>
    </xf>
    <xf numFmtId="0" fontId="13" fillId="10" borderId="73" xfId="0" applyFont="1" applyFill="1" applyBorder="1" applyAlignment="1">
      <alignment horizontal="right"/>
    </xf>
    <xf numFmtId="0" fontId="4" fillId="0" borderId="74" xfId="0" applyFont="1" applyBorder="1" applyAlignment="1">
      <alignment horizontal="right"/>
    </xf>
    <xf numFmtId="0" fontId="13" fillId="11" borderId="49" xfId="0" applyFont="1" applyFill="1" applyBorder="1" applyAlignment="1">
      <alignment vertical="top" wrapText="1"/>
    </xf>
    <xf numFmtId="0" fontId="13" fillId="11" borderId="57" xfId="0" applyFont="1" applyFill="1" applyBorder="1" applyAlignment="1">
      <alignment horizontal="right"/>
    </xf>
    <xf numFmtId="0" fontId="13" fillId="11" borderId="66" xfId="0" applyFont="1" applyFill="1" applyBorder="1" applyAlignment="1">
      <alignment horizontal="right"/>
    </xf>
    <xf numFmtId="0" fontId="10" fillId="11" borderId="66" xfId="0" applyFont="1" applyFill="1" applyBorder="1" applyAlignment="1">
      <alignment horizontal="right"/>
    </xf>
    <xf numFmtId="0" fontId="13" fillId="11" borderId="58" xfId="0" applyFont="1" applyFill="1" applyBorder="1" applyAlignment="1">
      <alignment horizontal="right"/>
    </xf>
    <xf numFmtId="0" fontId="13" fillId="11" borderId="51" xfId="0" applyFont="1" applyFill="1" applyBorder="1" applyAlignment="1">
      <alignment horizontal="right"/>
    </xf>
    <xf numFmtId="0" fontId="13" fillId="11" borderId="46" xfId="0" applyFont="1" applyFill="1" applyBorder="1" applyAlignment="1">
      <alignment horizontal="right"/>
    </xf>
    <xf numFmtId="0" fontId="10" fillId="11" borderId="46" xfId="0" applyFont="1" applyFill="1" applyBorder="1" applyAlignment="1">
      <alignment horizontal="right"/>
    </xf>
    <xf numFmtId="0" fontId="13" fillId="11" borderId="52" xfId="0" applyFont="1" applyFill="1" applyBorder="1" applyAlignment="1">
      <alignment horizontal="right"/>
    </xf>
    <xf numFmtId="0" fontId="13" fillId="11" borderId="59" xfId="0" applyFont="1" applyFill="1" applyBorder="1" applyAlignment="1">
      <alignment horizontal="right"/>
    </xf>
    <xf numFmtId="0" fontId="13" fillId="11" borderId="67" xfId="0" applyFont="1" applyFill="1" applyBorder="1" applyAlignment="1">
      <alignment horizontal="right"/>
    </xf>
    <xf numFmtId="0" fontId="10" fillId="11" borderId="67" xfId="0" applyFont="1" applyFill="1" applyBorder="1" applyAlignment="1">
      <alignment horizontal="right"/>
    </xf>
    <xf numFmtId="0" fontId="13" fillId="11" borderId="60" xfId="0" applyFont="1" applyFill="1" applyBorder="1" applyAlignment="1">
      <alignment horizontal="right"/>
    </xf>
    <xf numFmtId="0" fontId="13" fillId="11" borderId="49" xfId="0" applyFont="1" applyFill="1" applyBorder="1" applyAlignment="1">
      <alignment horizontal="left" vertical="top" wrapText="1"/>
    </xf>
    <xf numFmtId="0" fontId="4" fillId="0" borderId="68" xfId="0" applyFont="1" applyBorder="1" applyAlignment="1">
      <alignment horizontal="right"/>
    </xf>
    <xf numFmtId="0" fontId="13" fillId="3" borderId="46" xfId="0" applyFont="1" applyFill="1" applyBorder="1" applyAlignment="1">
      <alignment horizontal="center" vertical="center"/>
    </xf>
    <xf numFmtId="0" fontId="13" fillId="3" borderId="16" xfId="0" applyFont="1" applyFill="1" applyBorder="1" applyAlignment="1">
      <alignment horizontal="center"/>
    </xf>
    <xf numFmtId="0" fontId="13" fillId="4" borderId="20" xfId="0" applyFont="1" applyFill="1" applyBorder="1" applyAlignment="1">
      <alignment horizontal="center"/>
    </xf>
    <xf numFmtId="0" fontId="13" fillId="3" borderId="20" xfId="0" applyFont="1" applyFill="1" applyBorder="1" applyAlignment="1">
      <alignment horizontal="center"/>
    </xf>
    <xf numFmtId="11" fontId="0" fillId="6" borderId="0" xfId="0" applyNumberFormat="1" applyFill="1"/>
    <xf numFmtId="0" fontId="13" fillId="0" borderId="69" xfId="0" applyFont="1" applyBorder="1" applyAlignment="1">
      <alignment horizontal="right" vertical="top"/>
    </xf>
    <xf numFmtId="0" fontId="13" fillId="0" borderId="68" xfId="0" applyFont="1" applyBorder="1" applyAlignment="1">
      <alignment horizontal="right" vertical="top"/>
    </xf>
    <xf numFmtId="0" fontId="13" fillId="0" borderId="72" xfId="0" applyFont="1" applyBorder="1" applyAlignment="1">
      <alignment horizontal="right" vertical="top"/>
    </xf>
    <xf numFmtId="0" fontId="13" fillId="0" borderId="73" xfId="0" applyFont="1" applyBorder="1" applyAlignment="1">
      <alignment horizontal="right" vertical="top"/>
    </xf>
    <xf numFmtId="0" fontId="4" fillId="0" borderId="75" xfId="0" applyFont="1" applyBorder="1" applyAlignment="1">
      <alignment horizontal="right"/>
    </xf>
    <xf numFmtId="0" fontId="4" fillId="0" borderId="69" xfId="0" applyFont="1" applyBorder="1" applyAlignment="1">
      <alignment horizontal="right" vertical="top"/>
    </xf>
    <xf numFmtId="0" fontId="13" fillId="0" borderId="70" xfId="0" applyFont="1" applyBorder="1" applyAlignment="1">
      <alignment horizontal="right" vertical="top"/>
    </xf>
    <xf numFmtId="0" fontId="13" fillId="0" borderId="80" xfId="0" applyFont="1" applyBorder="1" applyAlignment="1">
      <alignment horizontal="right" vertical="top"/>
    </xf>
    <xf numFmtId="0" fontId="13" fillId="0" borderId="81" xfId="0" applyFont="1" applyBorder="1" applyAlignment="1">
      <alignment horizontal="right"/>
    </xf>
    <xf numFmtId="164" fontId="13" fillId="0" borderId="81" xfId="0" applyNumberFormat="1" applyFont="1" applyBorder="1" applyAlignment="1">
      <alignment horizontal="right"/>
    </xf>
    <xf numFmtId="0" fontId="7" fillId="0" borderId="81" xfId="0" applyFont="1" applyBorder="1" applyAlignment="1">
      <alignment horizontal="right"/>
    </xf>
    <xf numFmtId="2" fontId="13" fillId="0" borderId="81" xfId="0" applyNumberFormat="1" applyFont="1" applyBorder="1" applyAlignment="1">
      <alignment horizontal="right"/>
    </xf>
    <xf numFmtId="0" fontId="0" fillId="0" borderId="81" xfId="0" applyBorder="1" applyAlignment="1">
      <alignment horizontal="right"/>
    </xf>
    <xf numFmtId="0" fontId="13" fillId="0" borderId="83" xfId="0" applyFont="1" applyBorder="1" applyAlignment="1">
      <alignment horizontal="right" vertical="top"/>
    </xf>
    <xf numFmtId="0" fontId="13" fillId="0" borderId="84" xfId="0" applyFont="1" applyBorder="1" applyAlignment="1">
      <alignment horizontal="right"/>
    </xf>
    <xf numFmtId="164" fontId="13" fillId="0" borderId="84" xfId="0" applyNumberFormat="1" applyFont="1" applyBorder="1" applyAlignment="1">
      <alignment horizontal="right"/>
    </xf>
    <xf numFmtId="0" fontId="7" fillId="0" borderId="84" xfId="0" applyFont="1" applyBorder="1" applyAlignment="1">
      <alignment horizontal="right"/>
    </xf>
    <xf numFmtId="2" fontId="13" fillId="0" borderId="84" xfId="0" applyNumberFormat="1" applyFont="1" applyBorder="1" applyAlignment="1">
      <alignment horizontal="right"/>
    </xf>
    <xf numFmtId="0" fontId="0" fillId="0" borderId="84" xfId="0" applyBorder="1" applyAlignment="1">
      <alignment horizontal="right"/>
    </xf>
    <xf numFmtId="0" fontId="0" fillId="0" borderId="85" xfId="0" applyBorder="1" applyAlignment="1">
      <alignment horizontal="right"/>
    </xf>
    <xf numFmtId="0" fontId="13" fillId="0" borderId="86" xfId="0" applyFont="1" applyBorder="1" applyAlignment="1">
      <alignment horizontal="right" vertical="top"/>
    </xf>
    <xf numFmtId="0" fontId="13" fillId="0" borderId="87" xfId="0" applyFont="1" applyBorder="1" applyAlignment="1">
      <alignment horizontal="right"/>
    </xf>
    <xf numFmtId="164" fontId="13" fillId="0" borderId="87" xfId="0" applyNumberFormat="1" applyFont="1" applyBorder="1" applyAlignment="1">
      <alignment horizontal="right"/>
    </xf>
    <xf numFmtId="0" fontId="7" fillId="0" borderId="87" xfId="0" applyFont="1" applyBorder="1" applyAlignment="1">
      <alignment horizontal="right"/>
    </xf>
    <xf numFmtId="2" fontId="13" fillId="0" borderId="87" xfId="0" applyNumberFormat="1" applyFont="1" applyBorder="1" applyAlignment="1">
      <alignment horizontal="right"/>
    </xf>
    <xf numFmtId="0" fontId="0" fillId="0" borderId="87" xfId="0" applyBorder="1" applyAlignment="1">
      <alignment horizontal="right"/>
    </xf>
    <xf numFmtId="0" fontId="3" fillId="0" borderId="68" xfId="0" applyFont="1" applyBorder="1" applyAlignment="1">
      <alignment horizontal="right"/>
    </xf>
    <xf numFmtId="0" fontId="3" fillId="0" borderId="71" xfId="0" applyFont="1" applyBorder="1" applyAlignment="1">
      <alignment horizontal="right"/>
    </xf>
    <xf numFmtId="0" fontId="3" fillId="0" borderId="75" xfId="0" applyFont="1" applyBorder="1" applyAlignment="1">
      <alignment horizontal="right"/>
    </xf>
    <xf numFmtId="0" fontId="3" fillId="0" borderId="82" xfId="0" applyFont="1" applyBorder="1" applyAlignment="1">
      <alignment horizontal="right"/>
    </xf>
    <xf numFmtId="2" fontId="13" fillId="10" borderId="81" xfId="0" applyNumberFormat="1" applyFont="1" applyFill="1" applyBorder="1" applyAlignment="1">
      <alignment horizontal="right"/>
    </xf>
    <xf numFmtId="0" fontId="0" fillId="10" borderId="81" xfId="0" applyFill="1" applyBorder="1" applyAlignment="1">
      <alignment horizontal="right"/>
    </xf>
    <xf numFmtId="2" fontId="13" fillId="10" borderId="84" xfId="0" applyNumberFormat="1" applyFont="1" applyFill="1" applyBorder="1" applyAlignment="1">
      <alignment horizontal="right"/>
    </xf>
    <xf numFmtId="0" fontId="0" fillId="10" borderId="84" xfId="0" applyFill="1" applyBorder="1" applyAlignment="1">
      <alignment horizontal="right"/>
    </xf>
    <xf numFmtId="2" fontId="13" fillId="10" borderId="87" xfId="0" applyNumberFormat="1" applyFont="1" applyFill="1" applyBorder="1" applyAlignment="1">
      <alignment horizontal="right"/>
    </xf>
    <xf numFmtId="0" fontId="0" fillId="10" borderId="87" xfId="0" applyFill="1" applyBorder="1" applyAlignment="1">
      <alignment horizontal="right"/>
    </xf>
    <xf numFmtId="0" fontId="3" fillId="0" borderId="81" xfId="0" applyFont="1" applyBorder="1" applyAlignment="1">
      <alignment horizontal="right"/>
    </xf>
    <xf numFmtId="0" fontId="3" fillId="0" borderId="84" xfId="0" applyFont="1" applyBorder="1" applyAlignment="1">
      <alignment horizontal="right"/>
    </xf>
    <xf numFmtId="0" fontId="3" fillId="0" borderId="87" xfId="0" applyFont="1" applyBorder="1" applyAlignment="1">
      <alignment horizontal="right"/>
    </xf>
    <xf numFmtId="0" fontId="3" fillId="0" borderId="88" xfId="0" applyFont="1" applyBorder="1" applyAlignment="1">
      <alignment horizontal="right"/>
    </xf>
    <xf numFmtId="2" fontId="4" fillId="10" borderId="75" xfId="0" applyNumberFormat="1" applyFont="1" applyFill="1" applyBorder="1" applyAlignment="1">
      <alignment horizontal="right"/>
    </xf>
    <xf numFmtId="0" fontId="13" fillId="10" borderId="69" xfId="0" applyFont="1" applyFill="1" applyBorder="1" applyAlignment="1">
      <alignment horizontal="right" vertical="top"/>
    </xf>
    <xf numFmtId="0" fontId="3" fillId="7" borderId="55" xfId="0" applyFont="1" applyFill="1" applyBorder="1" applyAlignment="1">
      <alignment horizontal="right"/>
    </xf>
    <xf numFmtId="0" fontId="13" fillId="0" borderId="52" xfId="0" applyFont="1" applyBorder="1" applyAlignment="1">
      <alignment horizontal="right" vertical="center"/>
    </xf>
    <xf numFmtId="0" fontId="2" fillId="0" borderId="0" xfId="0" applyFont="1" applyAlignment="1">
      <alignment wrapText="1"/>
    </xf>
    <xf numFmtId="0" fontId="9" fillId="12" borderId="89" xfId="0" applyFont="1" applyFill="1" applyBorder="1" applyAlignment="1">
      <alignment wrapText="1"/>
    </xf>
    <xf numFmtId="0" fontId="13" fillId="9" borderId="52" xfId="0" applyFont="1" applyFill="1" applyBorder="1" applyAlignment="1">
      <alignment horizontal="right"/>
    </xf>
  </cellXfs>
  <cellStyles count="3">
    <cellStyle name="Normal" xfId="0" builtinId="0"/>
    <cellStyle name="Normal 2" xfId="1" xr:uid="{15B5984B-4EE4-4A35-88CA-1D33B63AE2B6}"/>
    <cellStyle name="Normal 3" xfId="2" xr:uid="{909CAAE9-BB5D-4220-B609-440BB0B2267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customschemas.google.com/relationships/workbookmetadata" Target="metadata"/><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1524000</xdr:colOff>
      <xdr:row>32</xdr:row>
      <xdr:rowOff>110836</xdr:rowOff>
    </xdr:from>
    <xdr:to>
      <xdr:col>12</xdr:col>
      <xdr:colOff>2317173</xdr:colOff>
      <xdr:row>51</xdr:row>
      <xdr:rowOff>91786</xdr:rowOff>
    </xdr:to>
    <xdr:pic>
      <xdr:nvPicPr>
        <xdr:cNvPr id="3" name="Picture 2">
          <a:extLst>
            <a:ext uri="{FF2B5EF4-FFF2-40B4-BE49-F238E27FC236}">
              <a16:creationId xmlns:a16="http://schemas.microsoft.com/office/drawing/2014/main" id="{494938F5-54D6-43BF-7693-9C505A670E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383018" y="7730836"/>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7493488</xdr:colOff>
      <xdr:row>14</xdr:row>
      <xdr:rowOff>7620</xdr:rowOff>
    </xdr:from>
    <xdr:to>
      <xdr:col>0</xdr:col>
      <xdr:colOff>9641205</xdr:colOff>
      <xdr:row>26</xdr:row>
      <xdr:rowOff>160019</xdr:rowOff>
    </xdr:to>
    <xdr:pic>
      <xdr:nvPicPr>
        <xdr:cNvPr id="3" name="Graphic 2">
          <a:extLst>
            <a:ext uri="{FF2B5EF4-FFF2-40B4-BE49-F238E27FC236}">
              <a16:creationId xmlns:a16="http://schemas.microsoft.com/office/drawing/2014/main" id="{AB9E6DD1-F63A-7A83-626D-A5B8AA6F5CA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493488" y="3040380"/>
          <a:ext cx="2147717" cy="235457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EB57E93C-0FA1-43CF-8EEC-2B82AE6A1533}"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5" dT="2026-05-05T14:56:39.33" personId="{EB57E93C-0FA1-43CF-8EEC-2B82AE6A1533}" id="{6E5DB67A-0FB8-43CF-91CF-92ADD2133E76}">
    <text>Arrives at 144°C from preT, but carbonation reaction at 155°C (negligeable?)</text>
  </threadedComment>
</ThreadedComments>
</file>

<file path=xl/threadedComments/threadedComment2.xml><?xml version="1.0" encoding="utf-8"?>
<ThreadedComments xmlns="http://schemas.microsoft.com/office/spreadsheetml/2018/threadedcomments" xmlns:x="http://schemas.openxmlformats.org/spreadsheetml/2006/main">
  <threadedComment ref="D15" dT="2026-04-29T08:57:54.69" personId="{EB57E93C-0FA1-43CF-8EEC-2B82AE6A1533}" id="{5CEB14BC-B993-4B28-8179-CB0E2E79C316}">
    <text>Mass conservation ?</text>
  </threadedComment>
  <threadedComment ref="G28" dT="2026-04-29T09:07:14.98" personId="{EB57E93C-0FA1-43CF-8EEC-2B82AE6A1533}" id="{04FC6DE4-996B-4B60-B7FF-696B1370EBE5}">
    <text>Previously values in kWh/t</text>
  </threadedComment>
  <threadedComment ref="K28" dT="2026-05-05T15:46:45.19" personId="{EB57E93C-0FA1-43CF-8EEC-2B82AE6A1533}" id="{9D920FE0-C67B-411B-932B-FFD2917B55CD}">
    <text>Computed from Q = m*cp*dT, might be inappropriate for heat of reaction</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6" sqref="B16"/>
    </sheetView>
  </sheetViews>
  <sheetFormatPr defaultColWidth="14.44140625" defaultRowHeight="15" customHeight="1" x14ac:dyDescent="0.3"/>
  <cols>
    <col min="1" max="1" width="18.109375" bestFit="1" customWidth="1"/>
    <col min="2" max="2" width="255.77734375" style="133" customWidth="1"/>
    <col min="3" max="3" width="29.44140625" customWidth="1"/>
  </cols>
  <sheetData>
    <row r="2" spans="1:2" ht="37.799999999999997" customHeight="1" x14ac:dyDescent="0.3">
      <c r="A2" s="82" t="s">
        <v>0</v>
      </c>
      <c r="B2" s="134" t="s">
        <v>1</v>
      </c>
    </row>
    <row r="3" spans="1:2" ht="15" customHeight="1" x14ac:dyDescent="0.3">
      <c r="A3" s="131"/>
      <c r="B3" s="132"/>
    </row>
    <row r="4" spans="1:2" ht="23.55" customHeight="1" x14ac:dyDescent="0.3">
      <c r="A4" s="82" t="s">
        <v>123</v>
      </c>
      <c r="B4" s="135" t="s">
        <v>124</v>
      </c>
    </row>
    <row r="5" spans="1:2" ht="14.4" x14ac:dyDescent="0.3">
      <c r="A5" s="131"/>
      <c r="B5" s="132"/>
    </row>
    <row r="6" spans="1:2" ht="72.45" customHeight="1" x14ac:dyDescent="0.3">
      <c r="A6" s="82" t="s">
        <v>2</v>
      </c>
      <c r="B6" s="135" t="s">
        <v>125</v>
      </c>
    </row>
    <row r="7" spans="1:2" ht="14.4" x14ac:dyDescent="0.3">
      <c r="A7" s="131"/>
      <c r="B7" s="132"/>
    </row>
    <row r="8" spans="1:2" ht="39.450000000000003" customHeight="1" x14ac:dyDescent="0.3">
      <c r="A8" s="82" t="s">
        <v>3</v>
      </c>
      <c r="B8" s="134" t="s">
        <v>4</v>
      </c>
    </row>
    <row r="9" spans="1:2" ht="14.4" x14ac:dyDescent="0.3">
      <c r="A9" s="131"/>
      <c r="B9" s="132"/>
    </row>
    <row r="10" spans="1:2" ht="55.8" customHeight="1" x14ac:dyDescent="0.3">
      <c r="A10" s="82" t="s">
        <v>5</v>
      </c>
      <c r="B10" s="135"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zoomScale="55" zoomScaleNormal="55" workbookViewId="0">
      <selection activeCell="B18" sqref="B18"/>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84"/>
  </cols>
  <sheetData>
    <row r="1" spans="1:4" ht="14.4" x14ac:dyDescent="0.3">
      <c r="A1" s="117" t="s">
        <v>66</v>
      </c>
      <c r="B1" s="165"/>
      <c r="C1" s="2"/>
      <c r="D1" s="11" t="s">
        <v>101</v>
      </c>
    </row>
    <row r="2" spans="1:4" ht="14.4" x14ac:dyDescent="0.3">
      <c r="A2" s="118" t="s">
        <v>67</v>
      </c>
      <c r="B2" s="119" t="s">
        <v>157</v>
      </c>
      <c r="D2" s="136" t="s">
        <v>6</v>
      </c>
    </row>
    <row r="3" spans="1:4" ht="14.4" x14ac:dyDescent="0.3">
      <c r="A3" s="118" t="s">
        <v>68</v>
      </c>
      <c r="B3" s="119" t="s">
        <v>158</v>
      </c>
      <c r="C3" s="84"/>
      <c r="D3" s="137" t="s">
        <v>132</v>
      </c>
    </row>
    <row r="4" spans="1:4" ht="14.4" x14ac:dyDescent="0.3">
      <c r="A4" s="118" t="s">
        <v>80</v>
      </c>
      <c r="B4" s="119" t="s">
        <v>81</v>
      </c>
      <c r="C4" s="84"/>
      <c r="D4" s="137" t="s">
        <v>133</v>
      </c>
    </row>
    <row r="5" spans="1:4" ht="14.4" x14ac:dyDescent="0.3">
      <c r="A5" s="118" t="s">
        <v>71</v>
      </c>
      <c r="B5" s="162">
        <v>46133</v>
      </c>
      <c r="C5" s="84"/>
      <c r="D5" s="136" t="s">
        <v>9</v>
      </c>
    </row>
    <row r="6" spans="1:4" ht="14.4" x14ac:dyDescent="0.3">
      <c r="A6" s="118" t="s">
        <v>75</v>
      </c>
      <c r="B6" s="162">
        <v>46133</v>
      </c>
      <c r="C6" s="84"/>
      <c r="D6" s="136" t="s">
        <v>13</v>
      </c>
    </row>
    <row r="7" spans="1:4" ht="14.4" x14ac:dyDescent="0.3">
      <c r="A7" s="118" t="s">
        <v>83</v>
      </c>
      <c r="B7" s="119" t="s">
        <v>84</v>
      </c>
      <c r="D7" s="137" t="s">
        <v>134</v>
      </c>
    </row>
    <row r="8" spans="1:4" ht="14.4" x14ac:dyDescent="0.3">
      <c r="A8" s="118" t="s">
        <v>69</v>
      </c>
      <c r="B8" s="120">
        <v>2</v>
      </c>
      <c r="C8" s="84"/>
      <c r="D8" s="137" t="s">
        <v>130</v>
      </c>
    </row>
    <row r="9" spans="1:4" ht="14.4" x14ac:dyDescent="0.3">
      <c r="A9" s="118" t="s">
        <v>70</v>
      </c>
      <c r="B9" s="119" t="s">
        <v>8</v>
      </c>
      <c r="C9" s="84"/>
      <c r="D9" s="137" t="s">
        <v>131</v>
      </c>
    </row>
    <row r="10" spans="1:4" ht="14.4" x14ac:dyDescent="0.3">
      <c r="A10" s="118" t="s">
        <v>102</v>
      </c>
      <c r="B10" s="116">
        <v>1</v>
      </c>
      <c r="D10" s="137" t="s">
        <v>135</v>
      </c>
    </row>
    <row r="11" spans="1:4" ht="14.4" x14ac:dyDescent="0.3">
      <c r="A11" s="118" t="s">
        <v>73</v>
      </c>
      <c r="B11" s="119" t="s">
        <v>10</v>
      </c>
      <c r="C11" s="84"/>
      <c r="D11" s="137" t="s">
        <v>136</v>
      </c>
    </row>
    <row r="12" spans="1:4" ht="28.8" x14ac:dyDescent="0.3">
      <c r="A12" s="121" t="s">
        <v>77</v>
      </c>
      <c r="B12" s="280" t="str">
        <f>TEXT(CO2Min_ref_LOAD,0)&amp;"t/h of mineralized CO2"</f>
        <v>1t/h of mineralized CO2</v>
      </c>
      <c r="C12" s="1"/>
      <c r="D12" s="137" t="s">
        <v>137</v>
      </c>
    </row>
    <row r="13" spans="1:4" ht="21.45" customHeight="1" x14ac:dyDescent="0.3">
      <c r="A13" s="121" t="s">
        <v>43</v>
      </c>
      <c r="B13" s="119">
        <v>9</v>
      </c>
      <c r="C13" s="1"/>
      <c r="D13" s="137" t="s">
        <v>138</v>
      </c>
    </row>
    <row r="14" spans="1:4" ht="14.4" x14ac:dyDescent="0.3">
      <c r="A14" s="118" t="s">
        <v>76</v>
      </c>
      <c r="B14" s="283" t="s">
        <v>159</v>
      </c>
      <c r="C14" s="83"/>
      <c r="D14" s="136" t="s">
        <v>14</v>
      </c>
    </row>
    <row r="15" spans="1:4" ht="14.4" x14ac:dyDescent="0.3">
      <c r="A15" s="121" t="s">
        <v>15</v>
      </c>
      <c r="B15" s="122" t="s">
        <v>157</v>
      </c>
      <c r="C15" s="1"/>
      <c r="D15" s="136" t="s">
        <v>128</v>
      </c>
    </row>
    <row r="16" spans="1:4" ht="14.4" x14ac:dyDescent="0.3">
      <c r="A16" s="121" t="s">
        <v>78</v>
      </c>
      <c r="B16" s="166"/>
      <c r="C16" s="1"/>
      <c r="D16" s="136" t="s">
        <v>127</v>
      </c>
    </row>
    <row r="17" spans="1:4" ht="14.4" x14ac:dyDescent="0.3">
      <c r="A17" s="121" t="s">
        <v>82</v>
      </c>
      <c r="B17" s="166"/>
      <c r="C17" s="1"/>
      <c r="D17" s="137" t="s">
        <v>139</v>
      </c>
    </row>
    <row r="18" spans="1:4" ht="20.55" customHeight="1" x14ac:dyDescent="0.3">
      <c r="A18" s="118" t="s">
        <v>72</v>
      </c>
      <c r="B18" s="167" t="s">
        <v>322</v>
      </c>
      <c r="C18" s="84"/>
      <c r="D18" s="137" t="s">
        <v>140</v>
      </c>
    </row>
    <row r="19" spans="1:4" ht="14.4" x14ac:dyDescent="0.3">
      <c r="A19" s="118" t="s">
        <v>74</v>
      </c>
      <c r="B19" s="119" t="s">
        <v>153</v>
      </c>
      <c r="C19" s="84"/>
      <c r="D19" s="136" t="s">
        <v>11</v>
      </c>
    </row>
    <row r="20" spans="1:4" ht="14.4" x14ac:dyDescent="0.3">
      <c r="A20" s="118" t="s">
        <v>99</v>
      </c>
      <c r="B20" s="119" t="s">
        <v>153</v>
      </c>
      <c r="C20" s="84"/>
      <c r="D20" s="137" t="s">
        <v>141</v>
      </c>
    </row>
    <row r="21" spans="1:4" ht="15.75" customHeight="1" x14ac:dyDescent="0.3">
      <c r="A21" s="121" t="s">
        <v>79</v>
      </c>
      <c r="B21" s="119" t="s">
        <v>160</v>
      </c>
      <c r="C21" s="1"/>
      <c r="D21" s="137" t="s">
        <v>142</v>
      </c>
    </row>
    <row r="22" spans="1:4" ht="14.4" x14ac:dyDescent="0.3">
      <c r="A22" s="118" t="s">
        <v>12</v>
      </c>
      <c r="B22" s="166"/>
      <c r="C22" s="84"/>
      <c r="D22" s="137" t="s">
        <v>143</v>
      </c>
    </row>
    <row r="23" spans="1:4" ht="15.75" customHeight="1" thickBot="1" x14ac:dyDescent="0.35">
      <c r="A23" s="123" t="s">
        <v>85</v>
      </c>
      <c r="B23" s="124" t="s">
        <v>97</v>
      </c>
      <c r="C23" s="1"/>
      <c r="D23" s="137" t="s">
        <v>129</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60"/>
  <sheetViews>
    <sheetView showGridLines="0" zoomScale="55" zoomScaleNormal="55" workbookViewId="0">
      <selection activeCell="I20" sqref="I20"/>
    </sheetView>
  </sheetViews>
  <sheetFormatPr defaultColWidth="14.44140625" defaultRowHeight="15" customHeight="1" x14ac:dyDescent="0.3"/>
  <cols>
    <col min="1" max="1" width="42.6640625" style="81" customWidth="1"/>
    <col min="2" max="2" width="19.44140625" style="81" bestFit="1" customWidth="1"/>
    <col min="3" max="3" width="17.33203125" style="81" customWidth="1"/>
    <col min="4" max="4" width="20.109375" style="81" bestFit="1" customWidth="1"/>
    <col min="5" max="5" width="19.44140625" style="81" bestFit="1" customWidth="1"/>
    <col min="6" max="6" width="23.44140625" style="81" customWidth="1"/>
    <col min="7" max="7" width="27" style="81" customWidth="1"/>
    <col min="8" max="8" width="23.44140625" style="81" customWidth="1"/>
    <col min="9" max="9" width="33.109375" style="81" bestFit="1" customWidth="1"/>
    <col min="10" max="10" width="27" style="81"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1" spans="1:16" ht="15" customHeight="1" thickBot="1" x14ac:dyDescent="0.35"/>
    <row r="2" spans="1:16" thickBot="1" x14ac:dyDescent="0.35">
      <c r="A2" s="11" t="s">
        <v>65</v>
      </c>
      <c r="B2" s="4"/>
      <c r="C2" s="4"/>
      <c r="D2" s="4"/>
      <c r="E2" s="4"/>
      <c r="F2" s="4"/>
      <c r="G2" s="4"/>
      <c r="H2" s="4"/>
      <c r="I2" s="4"/>
      <c r="J2" s="4"/>
      <c r="K2" s="3"/>
      <c r="L2" s="5"/>
      <c r="M2" s="6"/>
      <c r="N2" s="6"/>
      <c r="O2" s="6"/>
      <c r="P2" s="6"/>
    </row>
    <row r="3" spans="1:16" thickBot="1" x14ac:dyDescent="0.35">
      <c r="A3" s="97" t="s">
        <v>16</v>
      </c>
      <c r="B3" s="98"/>
      <c r="C3" s="98"/>
      <c r="D3" s="98"/>
      <c r="E3" s="98"/>
      <c r="F3" s="98"/>
      <c r="G3" s="98"/>
      <c r="H3" s="98"/>
      <c r="I3" s="98"/>
      <c r="J3" s="98"/>
      <c r="K3" s="128"/>
      <c r="L3" s="129"/>
      <c r="M3" s="6"/>
      <c r="N3" s="6"/>
      <c r="O3" s="6"/>
      <c r="P3" s="6"/>
    </row>
    <row r="4" spans="1:16" thickBot="1" x14ac:dyDescent="0.35">
      <c r="A4" s="172" t="s">
        <v>100</v>
      </c>
      <c r="B4" s="173" t="s">
        <v>17</v>
      </c>
      <c r="C4" s="173" t="s">
        <v>18</v>
      </c>
      <c r="D4" s="173" t="s">
        <v>148</v>
      </c>
      <c r="E4" s="173" t="s">
        <v>20</v>
      </c>
      <c r="F4" s="174" t="s">
        <v>21</v>
      </c>
      <c r="G4" s="173" t="s">
        <v>22</v>
      </c>
      <c r="H4" s="173" t="s">
        <v>23</v>
      </c>
      <c r="I4" s="173" t="s">
        <v>24</v>
      </c>
      <c r="J4" s="173" t="s">
        <v>25</v>
      </c>
      <c r="K4" s="173" t="s">
        <v>26</v>
      </c>
      <c r="L4" s="175" t="s">
        <v>15</v>
      </c>
      <c r="M4" s="5"/>
      <c r="N4" s="6"/>
      <c r="O4" s="6"/>
      <c r="P4" s="6"/>
    </row>
    <row r="5" spans="1:16" thickBot="1" x14ac:dyDescent="0.35">
      <c r="A5" s="183" t="s">
        <v>241</v>
      </c>
      <c r="B5" s="184" t="s">
        <v>241</v>
      </c>
      <c r="C5" s="184" t="s">
        <v>250</v>
      </c>
      <c r="D5" s="184" t="s">
        <v>178</v>
      </c>
      <c r="E5" s="200">
        <v>144</v>
      </c>
      <c r="F5" s="186" t="s">
        <v>252</v>
      </c>
      <c r="G5" s="185">
        <v>140</v>
      </c>
      <c r="H5" s="185" t="s">
        <v>253</v>
      </c>
      <c r="I5" s="185">
        <v>1</v>
      </c>
      <c r="J5" s="185" t="s">
        <v>254</v>
      </c>
      <c r="K5" s="185" t="s">
        <v>255</v>
      </c>
      <c r="L5" s="197" t="s">
        <v>256</v>
      </c>
      <c r="M5" s="81"/>
      <c r="N5" s="6"/>
      <c r="O5" s="6"/>
      <c r="P5" s="6"/>
    </row>
    <row r="6" spans="1:16" thickBot="1" x14ac:dyDescent="0.35">
      <c r="A6" s="176" t="s">
        <v>240</v>
      </c>
      <c r="B6" s="177" t="s">
        <v>240</v>
      </c>
      <c r="C6" s="177" t="s">
        <v>250</v>
      </c>
      <c r="D6" s="177" t="s">
        <v>178</v>
      </c>
      <c r="E6" s="178">
        <v>155</v>
      </c>
      <c r="F6" s="179" t="s">
        <v>252</v>
      </c>
      <c r="G6" s="178">
        <v>1</v>
      </c>
      <c r="H6" s="178" t="s">
        <v>253</v>
      </c>
      <c r="I6" s="178">
        <v>-1</v>
      </c>
      <c r="J6" s="178" t="s">
        <v>257</v>
      </c>
      <c r="K6" s="178" t="s">
        <v>258</v>
      </c>
      <c r="L6" s="198" t="s">
        <v>259</v>
      </c>
      <c r="M6" s="81"/>
      <c r="N6" s="6"/>
      <c r="O6" s="6"/>
      <c r="P6" s="6"/>
    </row>
    <row r="7" spans="1:16" thickBot="1" x14ac:dyDescent="0.35">
      <c r="A7" s="176" t="s">
        <v>239</v>
      </c>
      <c r="B7" s="177" t="s">
        <v>239</v>
      </c>
      <c r="C7" s="177" t="s">
        <v>250</v>
      </c>
      <c r="D7" s="177" t="s">
        <v>178</v>
      </c>
      <c r="E7" s="178">
        <v>25</v>
      </c>
      <c r="F7" s="179" t="s">
        <v>252</v>
      </c>
      <c r="G7" s="178">
        <v>1</v>
      </c>
      <c r="H7" s="178" t="s">
        <v>253</v>
      </c>
      <c r="I7" s="178">
        <v>-1</v>
      </c>
      <c r="J7" s="178" t="s">
        <v>257</v>
      </c>
      <c r="K7" s="178" t="s">
        <v>260</v>
      </c>
      <c r="L7" s="198" t="s">
        <v>261</v>
      </c>
      <c r="M7" s="81"/>
      <c r="N7" s="6"/>
      <c r="O7" s="6"/>
      <c r="P7" s="6"/>
    </row>
    <row r="8" spans="1:16" thickBot="1" x14ac:dyDescent="0.35">
      <c r="A8" s="176" t="s">
        <v>238</v>
      </c>
      <c r="B8" s="177" t="s">
        <v>238</v>
      </c>
      <c r="C8" s="177" t="s">
        <v>250</v>
      </c>
      <c r="D8" s="177" t="s">
        <v>178</v>
      </c>
      <c r="E8" s="178">
        <v>25</v>
      </c>
      <c r="F8" s="179" t="s">
        <v>252</v>
      </c>
      <c r="G8" s="178">
        <v>1</v>
      </c>
      <c r="H8" s="178" t="s">
        <v>253</v>
      </c>
      <c r="I8" s="178">
        <v>-1</v>
      </c>
      <c r="J8" s="178" t="s">
        <v>257</v>
      </c>
      <c r="K8" s="178" t="s">
        <v>262</v>
      </c>
      <c r="L8" s="198" t="s">
        <v>263</v>
      </c>
      <c r="M8" s="81"/>
      <c r="N8" s="6"/>
      <c r="O8" s="6"/>
      <c r="P8" s="6"/>
    </row>
    <row r="9" spans="1:16" thickBot="1" x14ac:dyDescent="0.35">
      <c r="A9" s="176" t="s">
        <v>235</v>
      </c>
      <c r="B9" s="177" t="s">
        <v>235</v>
      </c>
      <c r="C9" s="177" t="s">
        <v>250</v>
      </c>
      <c r="D9" s="177" t="s">
        <v>178</v>
      </c>
      <c r="E9" s="178">
        <v>25</v>
      </c>
      <c r="F9" s="179" t="s">
        <v>252</v>
      </c>
      <c r="G9" s="178">
        <v>1</v>
      </c>
      <c r="H9" s="178" t="s">
        <v>253</v>
      </c>
      <c r="I9" s="178">
        <v>-1</v>
      </c>
      <c r="J9" s="178" t="s">
        <v>247</v>
      </c>
      <c r="K9" s="178" t="s">
        <v>264</v>
      </c>
      <c r="L9" s="198" t="s">
        <v>266</v>
      </c>
      <c r="M9" s="81"/>
      <c r="N9" s="6"/>
      <c r="O9" s="6"/>
      <c r="P9" s="6"/>
    </row>
    <row r="10" spans="1:16" thickBot="1" x14ac:dyDescent="0.35">
      <c r="A10" s="176" t="s">
        <v>234</v>
      </c>
      <c r="B10" s="177" t="s">
        <v>234</v>
      </c>
      <c r="C10" s="177" t="s">
        <v>250</v>
      </c>
      <c r="D10" s="177" t="s">
        <v>178</v>
      </c>
      <c r="E10" s="178">
        <v>25</v>
      </c>
      <c r="F10" s="179" t="s">
        <v>252</v>
      </c>
      <c r="G10" s="178">
        <v>1</v>
      </c>
      <c r="H10" s="178" t="s">
        <v>253</v>
      </c>
      <c r="I10" s="178">
        <v>-1</v>
      </c>
      <c r="J10" s="178" t="s">
        <v>247</v>
      </c>
      <c r="K10" s="178" t="s">
        <v>265</v>
      </c>
      <c r="L10" s="198" t="s">
        <v>267</v>
      </c>
      <c r="M10" s="81"/>
      <c r="N10" s="6"/>
      <c r="O10" s="6"/>
      <c r="P10" s="6"/>
    </row>
    <row r="11" spans="1:16" thickBot="1" x14ac:dyDescent="0.35">
      <c r="A11" s="180" t="s">
        <v>233</v>
      </c>
      <c r="B11" s="181" t="s">
        <v>232</v>
      </c>
      <c r="C11" s="181" t="s">
        <v>245</v>
      </c>
      <c r="D11" s="181" t="s">
        <v>204</v>
      </c>
      <c r="E11" s="182" t="s">
        <v>27</v>
      </c>
      <c r="F11" s="196" t="s">
        <v>27</v>
      </c>
      <c r="G11" s="182" t="s">
        <v>27</v>
      </c>
      <c r="H11" s="182" t="s">
        <v>27</v>
      </c>
      <c r="I11" s="182" t="s">
        <v>27</v>
      </c>
      <c r="J11" s="182" t="s">
        <v>27</v>
      </c>
      <c r="K11" s="182" t="s">
        <v>27</v>
      </c>
      <c r="L11" s="199" t="s">
        <v>316</v>
      </c>
      <c r="M11" s="81"/>
      <c r="N11" s="6"/>
      <c r="O11" s="6"/>
      <c r="P11" s="6"/>
    </row>
    <row r="12" spans="1:16" thickBot="1" x14ac:dyDescent="0.35">
      <c r="A12" s="168"/>
      <c r="B12" s="169"/>
      <c r="C12" s="169"/>
      <c r="D12" s="169"/>
      <c r="E12" s="168"/>
      <c r="F12" s="170"/>
      <c r="G12" s="168"/>
      <c r="H12" s="168"/>
      <c r="I12" s="168"/>
      <c r="J12" s="168"/>
      <c r="K12" s="168"/>
      <c r="L12" s="171"/>
      <c r="M12" s="81"/>
      <c r="N12" s="6"/>
      <c r="O12" s="6"/>
      <c r="P12" s="6"/>
    </row>
    <row r="13" spans="1:16" thickBot="1" x14ac:dyDescent="0.35">
      <c r="A13" s="8"/>
      <c r="B13" s="8"/>
      <c r="C13" s="8"/>
      <c r="D13" s="8"/>
      <c r="E13" s="8"/>
      <c r="F13" s="8"/>
      <c r="G13" s="8"/>
      <c r="H13" s="8"/>
      <c r="I13" s="9"/>
      <c r="J13" s="10"/>
      <c r="K13" s="10"/>
      <c r="L13" s="10"/>
      <c r="N13" s="6"/>
      <c r="O13" s="6"/>
      <c r="P13" s="6"/>
    </row>
    <row r="14" spans="1:16" thickBot="1" x14ac:dyDescent="0.35">
      <c r="A14" s="11" t="s">
        <v>64</v>
      </c>
      <c r="B14" s="12"/>
      <c r="C14" s="12"/>
      <c r="D14" s="12"/>
      <c r="E14" s="12"/>
      <c r="F14" s="12"/>
      <c r="G14" s="12"/>
      <c r="H14" s="12"/>
      <c r="I14" s="13"/>
      <c r="J14" s="14"/>
      <c r="K14" s="14"/>
      <c r="L14" s="14"/>
      <c r="M14" s="6"/>
      <c r="N14" s="6"/>
      <c r="O14" s="6"/>
      <c r="P14" s="6"/>
    </row>
    <row r="15" spans="1:16" thickBot="1" x14ac:dyDescent="0.35">
      <c r="A15" s="97" t="s">
        <v>28</v>
      </c>
      <c r="B15" s="98"/>
      <c r="C15" s="98"/>
      <c r="D15" s="98"/>
      <c r="E15" s="98"/>
      <c r="F15" s="98"/>
      <c r="G15" s="98"/>
      <c r="H15" s="98"/>
      <c r="I15" s="98"/>
      <c r="J15" s="98"/>
      <c r="K15" s="128"/>
      <c r="L15" s="129"/>
      <c r="M15" s="5"/>
      <c r="N15" s="6"/>
      <c r="O15" s="6"/>
      <c r="P15" s="6"/>
    </row>
    <row r="16" spans="1:16" thickBot="1" x14ac:dyDescent="0.35">
      <c r="A16" s="172" t="s">
        <v>100</v>
      </c>
      <c r="B16" s="173" t="s">
        <v>17</v>
      </c>
      <c r="C16" s="173" t="s">
        <v>18</v>
      </c>
      <c r="D16" s="173" t="s">
        <v>148</v>
      </c>
      <c r="E16" s="173" t="s">
        <v>20</v>
      </c>
      <c r="F16" s="174" t="s">
        <v>21</v>
      </c>
      <c r="G16" s="173" t="s">
        <v>22</v>
      </c>
      <c r="H16" s="173" t="s">
        <v>23</v>
      </c>
      <c r="I16" s="173" t="s">
        <v>24</v>
      </c>
      <c r="J16" s="173" t="s">
        <v>25</v>
      </c>
      <c r="K16" s="173" t="s">
        <v>26</v>
      </c>
      <c r="L16" s="175" t="s">
        <v>15</v>
      </c>
      <c r="M16" s="5"/>
      <c r="N16" s="6"/>
      <c r="O16" s="6"/>
      <c r="P16" s="6"/>
    </row>
    <row r="17" spans="1:16" thickBot="1" x14ac:dyDescent="0.35">
      <c r="A17" s="190" t="s">
        <v>27</v>
      </c>
      <c r="B17" s="191" t="s">
        <v>27</v>
      </c>
      <c r="C17" s="192" t="s">
        <v>27</v>
      </c>
      <c r="D17" s="192" t="s">
        <v>27</v>
      </c>
      <c r="E17" s="191" t="s">
        <v>27</v>
      </c>
      <c r="F17" s="193" t="s">
        <v>27</v>
      </c>
      <c r="G17" s="191" t="s">
        <v>27</v>
      </c>
      <c r="H17" s="194" t="s">
        <v>27</v>
      </c>
      <c r="I17" s="191" t="s">
        <v>27</v>
      </c>
      <c r="J17" s="191" t="s">
        <v>27</v>
      </c>
      <c r="K17" s="192" t="s">
        <v>27</v>
      </c>
      <c r="L17" s="195" t="s">
        <v>27</v>
      </c>
      <c r="M17" s="15"/>
      <c r="N17" s="6"/>
      <c r="O17" s="6"/>
      <c r="P17" s="6"/>
    </row>
    <row r="18" spans="1:16" ht="15.75" customHeight="1" thickBot="1" x14ac:dyDescent="0.35">
      <c r="A18" s="16"/>
      <c r="B18" s="16"/>
      <c r="C18" s="16"/>
      <c r="D18" s="16"/>
      <c r="E18" s="16"/>
      <c r="F18" s="16"/>
      <c r="G18" s="17"/>
      <c r="H18" s="187"/>
      <c r="I18" s="187"/>
      <c r="J18" s="188"/>
      <c r="K18" s="189"/>
      <c r="L18" s="189"/>
      <c r="M18" s="6"/>
      <c r="N18" s="6"/>
      <c r="O18" s="6"/>
      <c r="P18" s="6"/>
    </row>
    <row r="19" spans="1:16" ht="15.75" customHeight="1" thickBot="1" x14ac:dyDescent="0.35">
      <c r="A19" s="18"/>
      <c r="B19" s="18"/>
      <c r="C19" s="18"/>
      <c r="D19" s="18"/>
      <c r="E19" s="18"/>
      <c r="F19" s="19"/>
      <c r="G19" s="20"/>
      <c r="H19" s="21"/>
      <c r="I19" s="20"/>
      <c r="J19" s="14"/>
      <c r="K19" s="22"/>
      <c r="L19" s="6"/>
      <c r="M19" s="6"/>
      <c r="N19" s="6"/>
      <c r="O19" s="6"/>
      <c r="P19" s="6"/>
    </row>
    <row r="20" spans="1:16" ht="15.75" customHeight="1" thickBot="1" x14ac:dyDescent="0.35">
      <c r="K20" s="15"/>
      <c r="L20" s="15"/>
      <c r="M20" s="6"/>
      <c r="N20" s="6"/>
      <c r="O20" s="6"/>
      <c r="P20" s="6"/>
    </row>
    <row r="21" spans="1:16" ht="15.75" customHeight="1" thickBot="1" x14ac:dyDescent="0.35">
      <c r="L21" s="15"/>
      <c r="M21" s="6"/>
      <c r="N21" s="6"/>
      <c r="O21" s="6"/>
      <c r="P21" s="6"/>
    </row>
    <row r="22" spans="1:16" ht="15.75" customHeight="1" thickBot="1" x14ac:dyDescent="0.35">
      <c r="J22" s="84"/>
      <c r="K22" s="84"/>
      <c r="L22" s="99"/>
      <c r="M22" s="6"/>
      <c r="N22" s="6"/>
      <c r="O22" s="6"/>
      <c r="P22" s="6"/>
    </row>
    <row r="23" spans="1:16" ht="15.75" customHeight="1" thickBot="1" x14ac:dyDescent="0.35">
      <c r="J23" s="84"/>
      <c r="K23" s="84"/>
      <c r="L23" s="100"/>
      <c r="M23" s="6"/>
      <c r="N23" s="6"/>
      <c r="O23" s="6"/>
      <c r="P23" s="6"/>
    </row>
    <row r="24" spans="1:16" ht="15.75" customHeight="1" thickBot="1" x14ac:dyDescent="0.35">
      <c r="J24" s="84"/>
      <c r="K24" s="84"/>
      <c r="L24" s="81"/>
      <c r="M24" s="6"/>
      <c r="N24" s="6"/>
      <c r="O24" s="6"/>
      <c r="P24" s="6"/>
    </row>
    <row r="25" spans="1:16" ht="15.75" customHeight="1" thickBot="1" x14ac:dyDescent="0.35">
      <c r="J25" s="84"/>
      <c r="K25" s="84"/>
      <c r="L25" s="81"/>
      <c r="M25" s="6"/>
      <c r="N25" s="6"/>
      <c r="O25" s="6"/>
      <c r="P25" s="6"/>
    </row>
    <row r="26" spans="1:16" ht="15.75" customHeight="1" thickBot="1" x14ac:dyDescent="0.35">
      <c r="J26" s="84"/>
      <c r="K26" s="84"/>
      <c r="L26" s="81"/>
      <c r="M26" s="6"/>
      <c r="N26" s="6"/>
      <c r="O26" s="6"/>
      <c r="P26" s="6"/>
    </row>
    <row r="27" spans="1:16" ht="15.75" customHeight="1" thickBot="1" x14ac:dyDescent="0.35">
      <c r="J27" s="84"/>
      <c r="K27" s="84"/>
      <c r="L27" s="81"/>
      <c r="M27" s="6"/>
      <c r="N27" s="6"/>
      <c r="O27" s="6"/>
      <c r="P27" s="6"/>
    </row>
    <row r="28" spans="1:16" ht="15.75" customHeight="1" thickBot="1" x14ac:dyDescent="0.35">
      <c r="J28" s="84"/>
      <c r="K28" s="84"/>
      <c r="L28" s="81"/>
      <c r="M28" s="6"/>
      <c r="N28" s="6"/>
      <c r="O28" s="6"/>
      <c r="P28" s="6"/>
    </row>
    <row r="29" spans="1:16" ht="15.75" customHeight="1" x14ac:dyDescent="0.3"/>
    <row r="30" spans="1:16" ht="15.75" customHeight="1" x14ac:dyDescent="0.3"/>
    <row r="31" spans="1:16" ht="15.75" customHeight="1" x14ac:dyDescent="0.3"/>
    <row r="32" spans="1:16"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sheetData>
  <dataValidations count="3">
    <dataValidation type="list" allowBlank="1" showErrorMessage="1" sqref="C17" xr:uid="{00000000-0002-0000-0200-000001000000}">
      <formula1>"MASS,ELECTRICITY,EMISSIONS,ENERGY"</formula1>
    </dataValidation>
    <dataValidation type="list" allowBlank="1" showErrorMessage="1" sqref="C5:C12" xr:uid="{00000000-0002-0000-0200-000000000000}">
      <formula1>"ELECTRICITY,EMISSIONS,MASS"</formula1>
    </dataValidation>
    <dataValidation type="list" errorStyle="information" allowBlank="1" showInputMessage="1" showErrorMessage="1" sqref="F17 D5:D11 F5:F11 H5:H11 D17 H17" xr:uid="{0A963ED8-0385-42A3-A220-F1D69F7B06E4}">
      <formula1>"-,kg,s,m,K,°C,W,bar,kg/h,t/h,kW,kW/m2K,W/m2K,kJ/kgK,kJ/kg,m3/h,Nm3/t,kWh/Nm3,Nm3/h,%,kg/kmol,eur,eur/year,eur/kW,kWel/kWth,year, days"</formula1>
    </dataValidation>
  </dataValidations>
  <pageMargins left="0.7" right="0.7" top="0.75" bottom="0.75" header="0" footer="0"/>
  <pageSetup orientation="landscape"/>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49"/>
  <sheetViews>
    <sheetView showGridLines="0" topLeftCell="A9" zoomScale="70" zoomScaleNormal="70" workbookViewId="0">
      <selection activeCell="A22" sqref="A22"/>
    </sheetView>
  </sheetViews>
  <sheetFormatPr defaultColWidth="14.44140625" defaultRowHeight="15" customHeight="1" x14ac:dyDescent="0.3"/>
  <cols>
    <col min="1" max="1" width="153.33203125" style="81" bestFit="1" customWidth="1"/>
    <col min="2" max="2" width="13.6640625" style="81" customWidth="1"/>
    <col min="3" max="3" width="36.44140625" style="81" bestFit="1" customWidth="1"/>
    <col min="4" max="4" width="14" style="81" customWidth="1"/>
    <col min="5" max="5" width="14.44140625" style="81" bestFit="1" customWidth="1"/>
    <col min="6" max="6" width="13.109375" style="81" bestFit="1" customWidth="1"/>
    <col min="7" max="7" width="97.44140625" style="81" bestFit="1" customWidth="1"/>
    <col min="8" max="8" width="10.33203125" style="81" bestFit="1" customWidth="1"/>
    <col min="9" max="9" width="10.6640625" style="81" bestFit="1" customWidth="1"/>
    <col min="10" max="10" width="24.33203125" style="81" bestFit="1" customWidth="1"/>
    <col min="11" max="11" width="20.109375" style="81" bestFit="1" customWidth="1"/>
    <col min="12" max="12" width="96" style="81" bestFit="1" customWidth="1"/>
    <col min="13" max="13" width="29.77734375" style="81" customWidth="1"/>
    <col min="14" max="39" width="10.6640625" style="81" customWidth="1"/>
    <col min="40" max="16384" width="14.44140625" style="81"/>
  </cols>
  <sheetData>
    <row r="1" spans="1:12" customFormat="1" ht="14.4" x14ac:dyDescent="0.3">
      <c r="A1" s="23" t="s">
        <v>29</v>
      </c>
      <c r="B1" s="24"/>
      <c r="C1" s="24"/>
      <c r="D1" s="24"/>
      <c r="E1" s="24"/>
      <c r="F1" s="24"/>
      <c r="G1" s="24"/>
      <c r="H1" s="24"/>
      <c r="I1" s="24"/>
      <c r="J1" s="24"/>
      <c r="K1" s="24"/>
      <c r="L1" s="24"/>
    </row>
    <row r="2" spans="1:12" ht="14.4" x14ac:dyDescent="0.3">
      <c r="A2" s="25" t="s">
        <v>30</v>
      </c>
      <c r="B2" s="24"/>
      <c r="C2" s="24"/>
      <c r="D2" s="24"/>
      <c r="E2" s="24"/>
      <c r="F2" s="24"/>
      <c r="G2" s="24"/>
      <c r="H2" s="24"/>
      <c r="I2" s="24"/>
      <c r="J2" s="24"/>
      <c r="K2" s="24"/>
      <c r="L2" s="24"/>
    </row>
    <row r="3" spans="1:12" ht="14.4" x14ac:dyDescent="0.3">
      <c r="A3" s="26" t="s">
        <v>31</v>
      </c>
      <c r="B3" s="27"/>
      <c r="C3" s="27"/>
      <c r="D3" s="27"/>
      <c r="E3" s="27"/>
      <c r="F3" s="27"/>
      <c r="G3" s="27"/>
      <c r="H3" s="27"/>
      <c r="I3" s="27"/>
      <c r="J3" s="27"/>
      <c r="K3" s="24"/>
      <c r="L3" s="24"/>
    </row>
    <row r="4" spans="1:12" ht="14.4" x14ac:dyDescent="0.3">
      <c r="A4" s="26" t="s">
        <v>32</v>
      </c>
      <c r="B4" s="27"/>
      <c r="C4" s="27"/>
      <c r="D4" s="27"/>
      <c r="E4" s="27"/>
      <c r="F4" s="27"/>
      <c r="G4" s="27"/>
      <c r="H4" s="27"/>
      <c r="I4" s="27"/>
      <c r="J4" s="27"/>
      <c r="K4" s="24"/>
      <c r="L4" s="24"/>
    </row>
    <row r="5" spans="1:12" ht="14.4" x14ac:dyDescent="0.3">
      <c r="A5" s="26" t="s">
        <v>33</v>
      </c>
      <c r="B5" s="27"/>
      <c r="C5" s="27"/>
      <c r="D5" s="27"/>
      <c r="E5" s="27"/>
      <c r="F5" s="27"/>
      <c r="G5" s="27"/>
      <c r="H5" s="27"/>
      <c r="I5" s="27"/>
      <c r="J5" s="27"/>
      <c r="K5" s="24"/>
      <c r="L5" s="24"/>
    </row>
    <row r="6" spans="1:12" ht="14.4" x14ac:dyDescent="0.3">
      <c r="A6" s="138" t="s">
        <v>144</v>
      </c>
      <c r="B6" s="27"/>
      <c r="C6" s="27"/>
      <c r="D6" s="27"/>
      <c r="E6" s="27"/>
      <c r="F6" s="27"/>
      <c r="G6" s="27"/>
      <c r="H6" s="27"/>
      <c r="I6" s="27"/>
      <c r="J6" s="27"/>
      <c r="K6" s="24"/>
      <c r="L6" s="24"/>
    </row>
    <row r="7" spans="1:12" ht="14.4" x14ac:dyDescent="0.3">
      <c r="A7" s="28" t="s">
        <v>34</v>
      </c>
      <c r="B7" s="27"/>
      <c r="C7" s="27"/>
      <c r="D7" s="27"/>
      <c r="E7" s="27"/>
      <c r="F7" s="27"/>
      <c r="G7" s="27"/>
      <c r="H7" s="27"/>
      <c r="I7" s="27"/>
      <c r="J7" s="27"/>
      <c r="K7" s="24"/>
      <c r="L7" s="24"/>
    </row>
    <row r="8" spans="1:12" ht="14.4" x14ac:dyDescent="0.3">
      <c r="A8" s="27" t="s">
        <v>35</v>
      </c>
      <c r="B8" s="27"/>
      <c r="C8" s="27"/>
      <c r="D8" s="27"/>
      <c r="E8" s="27"/>
      <c r="F8" s="27"/>
      <c r="G8" s="27"/>
      <c r="H8" s="27"/>
      <c r="I8" s="27"/>
      <c r="J8" s="27"/>
      <c r="K8" s="24"/>
      <c r="L8" s="24"/>
    </row>
    <row r="9" spans="1:12" ht="14.4" x14ac:dyDescent="0.3">
      <c r="A9" s="29" t="s">
        <v>36</v>
      </c>
      <c r="B9" s="30"/>
      <c r="C9" s="30"/>
      <c r="D9" s="30"/>
      <c r="E9" s="30"/>
      <c r="F9" s="30"/>
      <c r="G9" s="30"/>
      <c r="H9" s="30"/>
      <c r="I9" s="30"/>
      <c r="J9" s="30"/>
      <c r="K9" s="31"/>
      <c r="L9" s="31"/>
    </row>
    <row r="10" spans="1:12" ht="14.4" x14ac:dyDescent="0.3">
      <c r="A10" s="32" t="s">
        <v>37</v>
      </c>
      <c r="B10" s="30"/>
      <c r="C10" s="30"/>
      <c r="D10" s="30"/>
      <c r="E10" s="30"/>
      <c r="F10" s="30"/>
      <c r="G10" s="30"/>
      <c r="H10" s="30"/>
      <c r="I10" s="30"/>
      <c r="J10" s="30"/>
      <c r="K10" s="31"/>
      <c r="L10" s="31"/>
    </row>
    <row r="11" spans="1:12" ht="14.4" x14ac:dyDescent="0.3">
      <c r="A11" s="27"/>
      <c r="B11" s="30"/>
      <c r="C11" s="30"/>
      <c r="D11" s="30"/>
      <c r="E11" s="30"/>
      <c r="F11" s="30"/>
      <c r="G11" s="30"/>
      <c r="H11" s="30"/>
      <c r="I11" s="30"/>
      <c r="J11" s="30"/>
      <c r="K11" s="31"/>
      <c r="L11" s="31"/>
    </row>
    <row r="12" spans="1:12" ht="17.25" customHeight="1" thickBot="1" x14ac:dyDescent="0.35">
      <c r="A12" s="33"/>
      <c r="B12" s="34"/>
      <c r="C12" s="34"/>
      <c r="D12" s="34"/>
      <c r="E12" s="34"/>
      <c r="F12" s="34"/>
      <c r="G12" s="79"/>
      <c r="H12" s="34"/>
      <c r="I12" s="34"/>
      <c r="J12" s="34"/>
      <c r="K12" s="34"/>
      <c r="L12" s="34"/>
    </row>
    <row r="13" spans="1:12" ht="14.4" x14ac:dyDescent="0.3">
      <c r="A13" s="35"/>
      <c r="B13" s="36"/>
      <c r="C13" s="36"/>
      <c r="D13" s="36"/>
      <c r="E13" s="36"/>
      <c r="F13" s="36"/>
      <c r="G13" s="80"/>
      <c r="H13" s="36"/>
      <c r="I13" s="36"/>
      <c r="J13" s="36"/>
      <c r="K13" s="36"/>
      <c r="L13" s="36"/>
    </row>
    <row r="14" spans="1:12" thickBot="1" x14ac:dyDescent="0.35">
      <c r="A14" s="87" t="s">
        <v>3</v>
      </c>
      <c r="B14" s="107"/>
      <c r="C14" s="107"/>
      <c r="D14" s="107"/>
      <c r="E14" s="107"/>
      <c r="F14" s="107"/>
      <c r="G14" s="96"/>
      <c r="H14" s="107"/>
      <c r="I14" s="107"/>
      <c r="J14" s="107"/>
      <c r="K14" s="107"/>
      <c r="L14" s="108"/>
    </row>
    <row r="15" spans="1:12" thickBot="1" x14ac:dyDescent="0.35">
      <c r="A15" s="109" t="s">
        <v>98</v>
      </c>
      <c r="B15" s="110" t="s">
        <v>18</v>
      </c>
      <c r="C15" s="110" t="s">
        <v>60</v>
      </c>
      <c r="D15" s="110" t="s">
        <v>34</v>
      </c>
      <c r="E15" s="110" t="s">
        <v>152</v>
      </c>
      <c r="F15" s="110" t="s">
        <v>19</v>
      </c>
      <c r="G15" s="110" t="s">
        <v>151</v>
      </c>
      <c r="H15" s="111" t="s">
        <v>61</v>
      </c>
      <c r="I15" s="110" t="s">
        <v>62</v>
      </c>
      <c r="J15" s="110" t="s">
        <v>63</v>
      </c>
      <c r="K15" s="140" t="s">
        <v>104</v>
      </c>
      <c r="L15" s="112" t="s">
        <v>15</v>
      </c>
    </row>
    <row r="16" spans="1:12" ht="14.4" x14ac:dyDescent="0.3">
      <c r="A16" s="216" t="s">
        <v>231</v>
      </c>
      <c r="B16" s="200" t="s">
        <v>165</v>
      </c>
      <c r="C16" s="185" t="s">
        <v>230</v>
      </c>
      <c r="D16" s="185" t="s">
        <v>163</v>
      </c>
      <c r="E16" s="205">
        <v>5</v>
      </c>
      <c r="F16" s="185" t="s">
        <v>217</v>
      </c>
      <c r="G16" s="185" t="s">
        <v>27</v>
      </c>
      <c r="H16" s="200">
        <v>2</v>
      </c>
      <c r="I16" s="200">
        <v>20</v>
      </c>
      <c r="J16" s="206" t="s">
        <v>229</v>
      </c>
      <c r="K16" s="200" t="s">
        <v>321</v>
      </c>
      <c r="L16" s="213" t="s">
        <v>230</v>
      </c>
    </row>
    <row r="17" spans="1:12" ht="14.4" x14ac:dyDescent="0.3">
      <c r="A17" s="202" t="s">
        <v>228</v>
      </c>
      <c r="B17" s="201" t="s">
        <v>165</v>
      </c>
      <c r="C17" s="178" t="s">
        <v>227</v>
      </c>
      <c r="D17" s="178" t="s">
        <v>163</v>
      </c>
      <c r="E17" s="203">
        <v>155</v>
      </c>
      <c r="F17" s="178" t="s">
        <v>217</v>
      </c>
      <c r="G17" s="178" t="s">
        <v>27</v>
      </c>
      <c r="H17" s="201">
        <v>100</v>
      </c>
      <c r="I17" s="201">
        <v>200</v>
      </c>
      <c r="J17" s="204" t="s">
        <v>226</v>
      </c>
      <c r="K17" s="201" t="s">
        <v>321</v>
      </c>
      <c r="L17" s="214" t="s">
        <v>227</v>
      </c>
    </row>
    <row r="18" spans="1:12" ht="14.4" x14ac:dyDescent="0.3">
      <c r="A18" s="202" t="s">
        <v>225</v>
      </c>
      <c r="B18" s="201" t="s">
        <v>165</v>
      </c>
      <c r="C18" s="178" t="s">
        <v>224</v>
      </c>
      <c r="D18" s="178" t="s">
        <v>163</v>
      </c>
      <c r="E18" s="203">
        <v>1116.31</v>
      </c>
      <c r="F18" s="178" t="s">
        <v>204</v>
      </c>
      <c r="G18" s="178" t="s">
        <v>27</v>
      </c>
      <c r="H18" s="201">
        <v>500</v>
      </c>
      <c r="I18" s="201">
        <v>2000</v>
      </c>
      <c r="J18" s="204" t="s">
        <v>174</v>
      </c>
      <c r="K18" s="201" t="s">
        <v>321</v>
      </c>
      <c r="L18" s="214" t="s">
        <v>224</v>
      </c>
    </row>
    <row r="19" spans="1:12" ht="14.4" x14ac:dyDescent="0.3">
      <c r="A19" s="202" t="s">
        <v>223</v>
      </c>
      <c r="B19" s="201" t="s">
        <v>165</v>
      </c>
      <c r="C19" s="178" t="s">
        <v>222</v>
      </c>
      <c r="D19" s="178" t="s">
        <v>163</v>
      </c>
      <c r="E19" s="203">
        <v>0.85599999999999998</v>
      </c>
      <c r="F19" s="178" t="s">
        <v>221</v>
      </c>
      <c r="G19" s="178" t="s">
        <v>27</v>
      </c>
      <c r="H19" s="201">
        <v>0</v>
      </c>
      <c r="I19" s="201">
        <v>10</v>
      </c>
      <c r="J19" s="204" t="s">
        <v>220</v>
      </c>
      <c r="K19" s="201" t="s">
        <v>321</v>
      </c>
      <c r="L19" s="214" t="s">
        <v>222</v>
      </c>
    </row>
    <row r="20" spans="1:12" ht="14.4" x14ac:dyDescent="0.3">
      <c r="A20" s="202" t="s">
        <v>219</v>
      </c>
      <c r="B20" s="201" t="s">
        <v>165</v>
      </c>
      <c r="C20" s="178" t="s">
        <v>218</v>
      </c>
      <c r="D20" s="178" t="s">
        <v>163</v>
      </c>
      <c r="E20" s="203">
        <v>25</v>
      </c>
      <c r="F20" s="178" t="s">
        <v>217</v>
      </c>
      <c r="G20" s="178" t="s">
        <v>27</v>
      </c>
      <c r="H20" s="201">
        <v>10</v>
      </c>
      <c r="I20" s="201">
        <v>60</v>
      </c>
      <c r="J20" s="204" t="s">
        <v>216</v>
      </c>
      <c r="K20" s="201" t="s">
        <v>321</v>
      </c>
      <c r="L20" s="214" t="s">
        <v>218</v>
      </c>
    </row>
    <row r="21" spans="1:12" ht="14.4" x14ac:dyDescent="0.3">
      <c r="A21" s="202" t="s">
        <v>215</v>
      </c>
      <c r="B21" s="201" t="s">
        <v>165</v>
      </c>
      <c r="C21" s="178" t="s">
        <v>214</v>
      </c>
      <c r="D21" s="178" t="s">
        <v>163</v>
      </c>
      <c r="E21" s="203">
        <v>108.6</v>
      </c>
      <c r="F21" s="178" t="s">
        <v>204</v>
      </c>
      <c r="G21" s="178" t="s">
        <v>27</v>
      </c>
      <c r="H21" s="201">
        <v>0</v>
      </c>
      <c r="I21" s="201">
        <v>500</v>
      </c>
      <c r="J21" s="204" t="s">
        <v>170</v>
      </c>
      <c r="K21" s="201" t="s">
        <v>321</v>
      </c>
      <c r="L21" s="214" t="s">
        <v>214</v>
      </c>
    </row>
    <row r="22" spans="1:12" ht="14.4" x14ac:dyDescent="0.3">
      <c r="A22" s="202" t="s">
        <v>213</v>
      </c>
      <c r="B22" s="201" t="s">
        <v>165</v>
      </c>
      <c r="C22" s="178" t="s">
        <v>212</v>
      </c>
      <c r="D22" s="178" t="s">
        <v>163</v>
      </c>
      <c r="E22" s="203">
        <v>1</v>
      </c>
      <c r="F22" s="178" t="s">
        <v>178</v>
      </c>
      <c r="G22" s="178" t="s">
        <v>27</v>
      </c>
      <c r="H22" s="201">
        <v>1</v>
      </c>
      <c r="I22" s="201">
        <v>1</v>
      </c>
      <c r="J22" s="204" t="s">
        <v>211</v>
      </c>
      <c r="K22" s="201" t="s">
        <v>321</v>
      </c>
      <c r="L22" s="214" t="s">
        <v>212</v>
      </c>
    </row>
    <row r="23" spans="1:12" ht="14.4" x14ac:dyDescent="0.3">
      <c r="A23" s="231" t="s">
        <v>237</v>
      </c>
      <c r="B23" s="201" t="s">
        <v>165</v>
      </c>
      <c r="C23" s="178" t="s">
        <v>301</v>
      </c>
      <c r="D23" s="178" t="s">
        <v>163</v>
      </c>
      <c r="E23" s="203">
        <v>1.9159999999999999</v>
      </c>
      <c r="F23" s="178" t="s">
        <v>178</v>
      </c>
      <c r="G23" s="178" t="s">
        <v>27</v>
      </c>
      <c r="H23" s="201">
        <v>0</v>
      </c>
      <c r="I23" s="201">
        <v>10</v>
      </c>
      <c r="J23" s="204" t="s">
        <v>305</v>
      </c>
      <c r="K23" s="201" t="s">
        <v>321</v>
      </c>
      <c r="L23" s="214" t="s">
        <v>301</v>
      </c>
    </row>
    <row r="24" spans="1:12" ht="14.4" x14ac:dyDescent="0.3">
      <c r="A24" s="231" t="s">
        <v>236</v>
      </c>
      <c r="B24" s="201" t="s">
        <v>165</v>
      </c>
      <c r="C24" s="178" t="s">
        <v>302</v>
      </c>
      <c r="D24" s="178" t="s">
        <v>163</v>
      </c>
      <c r="E24" s="203">
        <v>0.91</v>
      </c>
      <c r="F24" s="178" t="s">
        <v>178</v>
      </c>
      <c r="G24" s="178" t="s">
        <v>27</v>
      </c>
      <c r="H24" s="201">
        <v>0</v>
      </c>
      <c r="I24" s="201">
        <v>10</v>
      </c>
      <c r="J24" s="204" t="s">
        <v>306</v>
      </c>
      <c r="K24" s="201" t="s">
        <v>321</v>
      </c>
      <c r="L24" s="214" t="s">
        <v>302</v>
      </c>
    </row>
    <row r="25" spans="1:12" ht="14.4" x14ac:dyDescent="0.3">
      <c r="A25" s="231" t="s">
        <v>300</v>
      </c>
      <c r="B25" s="201" t="s">
        <v>165</v>
      </c>
      <c r="C25" s="178" t="s">
        <v>303</v>
      </c>
      <c r="D25" s="178" t="s">
        <v>163</v>
      </c>
      <c r="E25" s="203">
        <v>0.40670000000000001</v>
      </c>
      <c r="F25" s="178" t="s">
        <v>178</v>
      </c>
      <c r="G25" s="178" t="s">
        <v>27</v>
      </c>
      <c r="H25" s="201">
        <v>0</v>
      </c>
      <c r="I25" s="201">
        <v>10</v>
      </c>
      <c r="J25" s="204" t="s">
        <v>307</v>
      </c>
      <c r="K25" s="201" t="s">
        <v>321</v>
      </c>
      <c r="L25" s="214" t="s">
        <v>303</v>
      </c>
    </row>
    <row r="26" spans="1:12" ht="14.4" x14ac:dyDescent="0.3">
      <c r="A26" s="231" t="s">
        <v>299</v>
      </c>
      <c r="B26" s="201" t="s">
        <v>165</v>
      </c>
      <c r="C26" s="178" t="s">
        <v>304</v>
      </c>
      <c r="D26" s="178" t="s">
        <v>163</v>
      </c>
      <c r="E26" s="203">
        <v>0.37380000000000002</v>
      </c>
      <c r="F26" s="178" t="s">
        <v>178</v>
      </c>
      <c r="G26" s="178" t="s">
        <v>27</v>
      </c>
      <c r="H26" s="201">
        <v>0</v>
      </c>
      <c r="I26" s="201">
        <v>10</v>
      </c>
      <c r="J26" s="204" t="s">
        <v>308</v>
      </c>
      <c r="K26" s="201" t="s">
        <v>321</v>
      </c>
      <c r="L26" s="214" t="s">
        <v>304</v>
      </c>
    </row>
    <row r="27" spans="1:12" ht="14.4" x14ac:dyDescent="0.3">
      <c r="A27" s="202" t="s">
        <v>210</v>
      </c>
      <c r="B27" s="201" t="s">
        <v>165</v>
      </c>
      <c r="C27" s="178" t="s">
        <v>209</v>
      </c>
      <c r="D27" s="178" t="s">
        <v>163</v>
      </c>
      <c r="E27" s="203">
        <v>0.73499999999999999</v>
      </c>
      <c r="F27" s="178" t="s">
        <v>208</v>
      </c>
      <c r="G27" s="178" t="s">
        <v>27</v>
      </c>
      <c r="H27" s="201">
        <v>0.5</v>
      </c>
      <c r="I27" s="201">
        <v>1</v>
      </c>
      <c r="J27" s="204" t="s">
        <v>207</v>
      </c>
      <c r="K27" s="201" t="s">
        <v>321</v>
      </c>
      <c r="L27" s="214" t="s">
        <v>209</v>
      </c>
    </row>
    <row r="28" spans="1:12" ht="14.4" x14ac:dyDescent="0.3">
      <c r="A28" s="202" t="s">
        <v>206</v>
      </c>
      <c r="B28" s="201" t="s">
        <v>165</v>
      </c>
      <c r="C28" s="178" t="s">
        <v>205</v>
      </c>
      <c r="D28" s="178" t="s">
        <v>163</v>
      </c>
      <c r="E28" s="203">
        <v>53</v>
      </c>
      <c r="F28" s="178" t="s">
        <v>204</v>
      </c>
      <c r="G28" s="178" t="s">
        <v>27</v>
      </c>
      <c r="H28" s="201">
        <v>10</v>
      </c>
      <c r="I28" s="201">
        <v>200</v>
      </c>
      <c r="J28" s="204" t="s">
        <v>203</v>
      </c>
      <c r="K28" s="201" t="s">
        <v>321</v>
      </c>
      <c r="L28" s="214" t="s">
        <v>205</v>
      </c>
    </row>
    <row r="29" spans="1:12" ht="14.4" x14ac:dyDescent="0.3">
      <c r="A29" s="202" t="s">
        <v>202</v>
      </c>
      <c r="B29" s="201" t="s">
        <v>165</v>
      </c>
      <c r="C29" s="178" t="s">
        <v>201</v>
      </c>
      <c r="D29" s="178" t="s">
        <v>163</v>
      </c>
      <c r="E29" s="203">
        <v>100</v>
      </c>
      <c r="F29" s="178" t="s">
        <v>27</v>
      </c>
      <c r="G29" s="178" t="s">
        <v>27</v>
      </c>
      <c r="H29" s="201">
        <v>1</v>
      </c>
      <c r="I29" s="201">
        <v>10000</v>
      </c>
      <c r="J29" s="204" t="s">
        <v>200</v>
      </c>
      <c r="K29" s="201" t="s">
        <v>321</v>
      </c>
      <c r="L29" s="214" t="s">
        <v>201</v>
      </c>
    </row>
    <row r="30" spans="1:12" ht="14.4" x14ac:dyDescent="0.3">
      <c r="A30" s="202" t="s">
        <v>199</v>
      </c>
      <c r="B30" s="201" t="s">
        <v>165</v>
      </c>
      <c r="C30" s="178" t="s">
        <v>198</v>
      </c>
      <c r="D30" s="178" t="s">
        <v>163</v>
      </c>
      <c r="E30" s="203">
        <v>0</v>
      </c>
      <c r="F30" s="178" t="s">
        <v>27</v>
      </c>
      <c r="G30" s="178" t="s">
        <v>27</v>
      </c>
      <c r="H30" s="201">
        <v>0</v>
      </c>
      <c r="I30" s="201">
        <v>0</v>
      </c>
      <c r="J30" s="204" t="s">
        <v>197</v>
      </c>
      <c r="K30" s="201" t="s">
        <v>321</v>
      </c>
      <c r="L30" s="214" t="s">
        <v>198</v>
      </c>
    </row>
    <row r="31" spans="1:12" ht="14.4" x14ac:dyDescent="0.3">
      <c r="A31" s="202" t="s">
        <v>196</v>
      </c>
      <c r="B31" s="201" t="s">
        <v>165</v>
      </c>
      <c r="C31" s="178" t="s">
        <v>195</v>
      </c>
      <c r="D31" s="178" t="s">
        <v>163</v>
      </c>
      <c r="E31" s="203">
        <v>0.06</v>
      </c>
      <c r="F31" s="178" t="s">
        <v>27</v>
      </c>
      <c r="G31" s="178" t="s">
        <v>27</v>
      </c>
      <c r="H31" s="201">
        <v>0.01</v>
      </c>
      <c r="I31" s="201">
        <v>0.15</v>
      </c>
      <c r="J31" s="204" t="s">
        <v>194</v>
      </c>
      <c r="K31" s="201" t="s">
        <v>321</v>
      </c>
      <c r="L31" s="214" t="s">
        <v>195</v>
      </c>
    </row>
    <row r="32" spans="1:12" ht="14.4" x14ac:dyDescent="0.3">
      <c r="A32" s="202" t="s">
        <v>193</v>
      </c>
      <c r="B32" s="201" t="s">
        <v>165</v>
      </c>
      <c r="C32" s="178" t="s">
        <v>192</v>
      </c>
      <c r="D32" s="178" t="s">
        <v>163</v>
      </c>
      <c r="E32" s="203">
        <v>40</v>
      </c>
      <c r="F32" s="178" t="s">
        <v>27</v>
      </c>
      <c r="G32" s="178" t="s">
        <v>27</v>
      </c>
      <c r="H32" s="201">
        <v>10</v>
      </c>
      <c r="I32" s="201">
        <v>50</v>
      </c>
      <c r="J32" s="204" t="s">
        <v>191</v>
      </c>
      <c r="K32" s="201" t="s">
        <v>321</v>
      </c>
      <c r="L32" s="214" t="s">
        <v>192</v>
      </c>
    </row>
    <row r="33" spans="1:15" ht="14.4" x14ac:dyDescent="0.3">
      <c r="A33" s="202" t="s">
        <v>190</v>
      </c>
      <c r="B33" s="201" t="s">
        <v>165</v>
      </c>
      <c r="C33" s="178" t="s">
        <v>189</v>
      </c>
      <c r="D33" s="178" t="s">
        <v>163</v>
      </c>
      <c r="E33" s="203">
        <v>58400</v>
      </c>
      <c r="F33" s="178" t="s">
        <v>188</v>
      </c>
      <c r="G33" s="178" t="s">
        <v>27</v>
      </c>
      <c r="H33" s="201">
        <v>10000</v>
      </c>
      <c r="I33" s="201">
        <v>100000</v>
      </c>
      <c r="J33" s="204" t="s">
        <v>187</v>
      </c>
      <c r="K33" s="201" t="s">
        <v>323</v>
      </c>
      <c r="L33" s="214" t="s">
        <v>189</v>
      </c>
    </row>
    <row r="34" spans="1:15" ht="14.4" x14ac:dyDescent="0.3">
      <c r="A34" s="202" t="s">
        <v>186</v>
      </c>
      <c r="B34" s="201" t="s">
        <v>165</v>
      </c>
      <c r="C34" s="178" t="s">
        <v>297</v>
      </c>
      <c r="D34" s="178" t="s">
        <v>163</v>
      </c>
      <c r="E34" s="203">
        <v>596.20000000000005</v>
      </c>
      <c r="F34" s="178" t="s">
        <v>27</v>
      </c>
      <c r="G34" s="178" t="s">
        <v>27</v>
      </c>
      <c r="H34" s="201">
        <v>500</v>
      </c>
      <c r="I34" s="201">
        <v>900</v>
      </c>
      <c r="J34" s="204" t="s">
        <v>184</v>
      </c>
      <c r="K34" s="201" t="s">
        <v>324</v>
      </c>
      <c r="L34" s="214" t="s">
        <v>185</v>
      </c>
    </row>
    <row r="35" spans="1:15" ht="14.4" x14ac:dyDescent="0.3">
      <c r="A35" s="202" t="s">
        <v>183</v>
      </c>
      <c r="B35" s="201" t="s">
        <v>165</v>
      </c>
      <c r="C35" s="178" t="s">
        <v>298</v>
      </c>
      <c r="D35" s="178" t="s">
        <v>163</v>
      </c>
      <c r="E35" s="203">
        <v>525.4</v>
      </c>
      <c r="F35" s="178" t="s">
        <v>27</v>
      </c>
      <c r="G35" s="178" t="s">
        <v>27</v>
      </c>
      <c r="H35" s="201">
        <v>525.4</v>
      </c>
      <c r="I35" s="201">
        <v>525.4</v>
      </c>
      <c r="J35" s="204" t="s">
        <v>181</v>
      </c>
      <c r="K35" s="201" t="s">
        <v>324</v>
      </c>
      <c r="L35" s="214" t="s">
        <v>182</v>
      </c>
    </row>
    <row r="36" spans="1:15" ht="14.4" x14ac:dyDescent="0.3">
      <c r="A36" s="202" t="s">
        <v>180</v>
      </c>
      <c r="B36" s="201" t="s">
        <v>165</v>
      </c>
      <c r="C36" s="178" t="s">
        <v>179</v>
      </c>
      <c r="D36" s="178" t="s">
        <v>163</v>
      </c>
      <c r="E36" s="203">
        <f>2.1/Reactor_eff</f>
        <v>2.8571428571428572</v>
      </c>
      <c r="F36" s="178" t="s">
        <v>178</v>
      </c>
      <c r="G36" s="178" t="s">
        <v>268</v>
      </c>
      <c r="H36" s="201">
        <v>2</v>
      </c>
      <c r="I36" s="201">
        <v>5</v>
      </c>
      <c r="J36" s="204" t="s">
        <v>177</v>
      </c>
      <c r="K36" s="201" t="s">
        <v>321</v>
      </c>
      <c r="L36" s="214" t="s">
        <v>179</v>
      </c>
    </row>
    <row r="37" spans="1:15" ht="14.4" x14ac:dyDescent="0.3">
      <c r="A37" s="202" t="s">
        <v>176</v>
      </c>
      <c r="B37" s="201" t="s">
        <v>165</v>
      </c>
      <c r="C37" s="178" t="s">
        <v>175</v>
      </c>
      <c r="D37" s="178" t="s">
        <v>163</v>
      </c>
      <c r="E37" s="203">
        <f>R_Q/R_M</f>
        <v>1304.1004672897195</v>
      </c>
      <c r="F37" s="178" t="s">
        <v>171</v>
      </c>
      <c r="G37" s="178" t="s">
        <v>269</v>
      </c>
      <c r="H37" s="201">
        <v>1000</v>
      </c>
      <c r="I37" s="201">
        <v>1800</v>
      </c>
      <c r="J37" s="204" t="s">
        <v>174</v>
      </c>
      <c r="K37" s="201" t="s">
        <v>321</v>
      </c>
      <c r="L37" s="214" t="s">
        <v>175</v>
      </c>
    </row>
    <row r="38" spans="1:15" ht="14.4" x14ac:dyDescent="0.3">
      <c r="A38" s="202" t="s">
        <v>173</v>
      </c>
      <c r="B38" s="201" t="s">
        <v>165</v>
      </c>
      <c r="C38" s="178" t="s">
        <v>172</v>
      </c>
      <c r="D38" s="178" t="s">
        <v>163</v>
      </c>
      <c r="E38" s="203">
        <f>R_Qo/R_M</f>
        <v>126.86915887850466</v>
      </c>
      <c r="F38" s="178" t="s">
        <v>171</v>
      </c>
      <c r="G38" s="178" t="s">
        <v>270</v>
      </c>
      <c r="H38" s="201">
        <v>50</v>
      </c>
      <c r="I38" s="201">
        <v>250</v>
      </c>
      <c r="J38" s="204" t="s">
        <v>170</v>
      </c>
      <c r="K38" s="201" t="s">
        <v>321</v>
      </c>
      <c r="L38" s="214" t="s">
        <v>172</v>
      </c>
    </row>
    <row r="39" spans="1:15" ht="14.4" x14ac:dyDescent="0.3">
      <c r="A39" s="202" t="s">
        <v>169</v>
      </c>
      <c r="B39" s="201" t="s">
        <v>165</v>
      </c>
      <c r="C39" s="178" t="s">
        <v>168</v>
      </c>
      <c r="D39" s="178" t="s">
        <v>163</v>
      </c>
      <c r="E39" s="203">
        <f>(i*(1+i)^n)/((1+i)^n-1)</f>
        <v>6.6461535920675496E-2</v>
      </c>
      <c r="F39" s="178" t="s">
        <v>27</v>
      </c>
      <c r="G39" s="178" t="s">
        <v>271</v>
      </c>
      <c r="H39" s="201">
        <v>0.05</v>
      </c>
      <c r="I39" s="201">
        <v>0.2</v>
      </c>
      <c r="J39" s="204" t="s">
        <v>167</v>
      </c>
      <c r="K39" s="201" t="s">
        <v>321</v>
      </c>
      <c r="L39" s="214" t="s">
        <v>168</v>
      </c>
    </row>
    <row r="40" spans="1:15" thickBot="1" x14ac:dyDescent="0.35">
      <c r="A40" s="207" t="s">
        <v>166</v>
      </c>
      <c r="B40" s="212" t="s">
        <v>165</v>
      </c>
      <c r="C40" s="182" t="s">
        <v>164</v>
      </c>
      <c r="D40" s="182" t="s">
        <v>163</v>
      </c>
      <c r="E40" s="208">
        <f>Spec_Reactor_Cost*CO2Min_ref_LOAD*24*(CEPCI_2020/CEPCI_2007)*Annuity</f>
        <v>105705.20325583343</v>
      </c>
      <c r="F40" s="182" t="s">
        <v>162</v>
      </c>
      <c r="G40" s="182" t="s">
        <v>272</v>
      </c>
      <c r="H40" s="212">
        <v>0</v>
      </c>
      <c r="I40" s="212">
        <v>10000000</v>
      </c>
      <c r="J40" s="209" t="s">
        <v>161</v>
      </c>
      <c r="K40" s="212" t="s">
        <v>321</v>
      </c>
      <c r="L40" s="215" t="s">
        <v>164</v>
      </c>
      <c r="O40" s="236"/>
    </row>
    <row r="49" spans="7:7" ht="15" customHeight="1" x14ac:dyDescent="0.3">
      <c r="G49" s="81" t="s">
        <v>273</v>
      </c>
    </row>
  </sheetData>
  <dataValidations count="3">
    <dataValidation type="list" allowBlank="1" showErrorMessage="1" sqref="B16:B40" xr:uid="{00000000-0002-0000-0300-000000000000}">
      <formula1>"CONTEXT,LITERATURE,MEASURED,DECISION"</formula1>
    </dataValidation>
    <dataValidation type="list" allowBlank="1" showErrorMessage="1" sqref="D16:D40" xr:uid="{00000000-0002-0000-0300-000001000000}">
      <formula1>"MANDATORY,OPTIONAL,PRIVATE"</formula1>
    </dataValidation>
    <dataValidation type="list" errorStyle="information" allowBlank="1" showInputMessage="1" showErrorMessage="1" sqref="F16:F40" xr:uid="{BC98C14A-79E9-4F4E-A303-9122A1ABC74B}">
      <formula1>"-,kg,s,m,K,°C,W,bar,kg/h,t/h,kW,kW/m2K,W/m2K,kJ/kgK,kJ/kg,m3/h,Nm3/t,kWh/Nm3,Nm3/h,%,kg/kmol,eur,eur/year,eur/kW,kWel/kWth,year, days"</formula1>
    </dataValidation>
  </dataValidations>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91825-85F3-4158-AA89-49330777C918}">
  <sheetPr codeName="Sheet16"/>
  <dimension ref="A1:U52"/>
  <sheetViews>
    <sheetView showGridLines="0" topLeftCell="A23" zoomScale="55" zoomScaleNormal="55" workbookViewId="0">
      <selection activeCell="O39" sqref="O39"/>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5" t="s">
        <v>46</v>
      </c>
      <c r="B1" s="84"/>
      <c r="C1" s="84"/>
      <c r="D1" s="37"/>
      <c r="E1" s="38"/>
      <c r="F1" s="38"/>
      <c r="G1" s="38"/>
      <c r="H1" s="38"/>
      <c r="I1" s="6"/>
      <c r="J1" s="6"/>
      <c r="K1" s="7"/>
      <c r="L1" s="7"/>
      <c r="M1" s="7"/>
      <c r="N1" s="7"/>
    </row>
    <row r="2" spans="1:21" ht="48" customHeight="1" thickBot="1" x14ac:dyDescent="0.35">
      <c r="A2" s="217" t="s">
        <v>274</v>
      </c>
      <c r="B2" s="84"/>
      <c r="C2" s="84"/>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5"/>
      <c r="B4" s="39"/>
      <c r="C4" s="39"/>
      <c r="D4" s="6"/>
      <c r="E4" s="40"/>
      <c r="F4" s="40"/>
      <c r="G4" s="40"/>
      <c r="H4" s="41"/>
      <c r="I4" s="42"/>
      <c r="J4" s="42"/>
      <c r="K4" s="42"/>
      <c r="L4" s="42"/>
      <c r="M4" s="42"/>
      <c r="N4" s="42"/>
    </row>
    <row r="5" spans="1:21" thickBot="1" x14ac:dyDescent="0.35">
      <c r="A5" s="88" t="s">
        <v>48</v>
      </c>
      <c r="B5" s="89" t="s">
        <v>50</v>
      </c>
      <c r="C5" s="90" t="s">
        <v>49</v>
      </c>
      <c r="D5" s="65" t="s">
        <v>150</v>
      </c>
      <c r="E5" s="45"/>
      <c r="F5" s="45"/>
      <c r="G5" s="45"/>
      <c r="H5" s="44"/>
      <c r="I5" s="7"/>
      <c r="J5" s="7"/>
      <c r="K5" s="7"/>
      <c r="L5" s="7"/>
      <c r="M5" s="7"/>
      <c r="N5" s="7"/>
    </row>
    <row r="6" spans="1:21" thickBot="1" x14ac:dyDescent="0.35">
      <c r="A6" s="139" t="s">
        <v>248</v>
      </c>
      <c r="B6" s="148">
        <f>FminReactor</f>
        <v>0</v>
      </c>
      <c r="C6" s="147" t="s">
        <v>27</v>
      </c>
      <c r="D6" s="46"/>
      <c r="E6" s="47"/>
      <c r="F6" s="48"/>
      <c r="G6" s="48"/>
      <c r="H6" s="49"/>
      <c r="I6" s="38"/>
      <c r="J6" s="38"/>
      <c r="K6" s="38"/>
      <c r="L6" s="38"/>
      <c r="M6" s="38"/>
      <c r="N6" s="38"/>
    </row>
    <row r="7" spans="1:21" thickBot="1" x14ac:dyDescent="0.35">
      <c r="A7" s="50"/>
      <c r="B7" s="51"/>
      <c r="C7" s="51"/>
      <c r="D7" s="52"/>
      <c r="E7" s="5"/>
      <c r="F7" s="40"/>
      <c r="G7" s="40"/>
      <c r="H7" s="41"/>
      <c r="I7" s="40"/>
      <c r="J7" s="40"/>
      <c r="K7" s="40"/>
      <c r="L7" s="40"/>
      <c r="M7" s="40"/>
      <c r="N7" s="40"/>
    </row>
    <row r="8" spans="1:21" ht="17.25" customHeight="1" thickBot="1" x14ac:dyDescent="0.35">
      <c r="A8" s="102" t="s">
        <v>47</v>
      </c>
      <c r="B8" s="84"/>
      <c r="C8" s="84"/>
      <c r="D8" s="41"/>
      <c r="E8" s="5"/>
      <c r="F8" s="40"/>
      <c r="G8" s="40"/>
      <c r="H8" s="41"/>
      <c r="I8" s="40"/>
      <c r="J8" s="40"/>
      <c r="K8" s="40"/>
      <c r="L8" s="40"/>
      <c r="M8" s="40"/>
      <c r="N8" s="40"/>
    </row>
    <row r="9" spans="1:21" ht="61.2" customHeight="1" thickBot="1" x14ac:dyDescent="0.35">
      <c r="A9" s="217" t="s">
        <v>275</v>
      </c>
      <c r="B9" s="84"/>
      <c r="C9" s="84"/>
      <c r="D9" s="5"/>
      <c r="E9" s="5"/>
      <c r="F9" s="40"/>
      <c r="G9" s="40"/>
      <c r="H9" s="41"/>
      <c r="I9" s="40"/>
      <c r="J9" s="40"/>
      <c r="K9" s="40"/>
      <c r="L9" s="40"/>
      <c r="M9" s="40"/>
      <c r="N9" s="40"/>
    </row>
    <row r="10" spans="1:21" thickBot="1" x14ac:dyDescent="0.35">
      <c r="A10" s="53"/>
      <c r="B10" s="40"/>
      <c r="C10" s="40"/>
      <c r="D10" s="5"/>
      <c r="E10" s="5"/>
      <c r="F10" s="40"/>
      <c r="G10" s="40"/>
      <c r="H10" s="41"/>
      <c r="I10" s="40"/>
      <c r="J10" s="40"/>
      <c r="K10" s="40"/>
      <c r="L10" s="40"/>
      <c r="M10" s="40"/>
      <c r="N10" s="40"/>
    </row>
    <row r="11" spans="1:21" thickBot="1" x14ac:dyDescent="0.35">
      <c r="A11" s="54" t="s">
        <v>59</v>
      </c>
      <c r="B11" s="40"/>
      <c r="C11" s="40"/>
      <c r="D11" s="5"/>
      <c r="E11" s="5"/>
      <c r="F11" s="40"/>
      <c r="G11" s="40"/>
      <c r="H11" s="41"/>
      <c r="I11" s="40"/>
      <c r="J11" s="40"/>
      <c r="K11" s="40"/>
      <c r="L11" s="40"/>
      <c r="M11" s="40"/>
      <c r="N11" s="40"/>
    </row>
    <row r="12" spans="1:21" thickBot="1" x14ac:dyDescent="0.35">
      <c r="A12" s="55" t="s">
        <v>58</v>
      </c>
      <c r="B12" s="56"/>
      <c r="D12" s="56"/>
      <c r="E12" s="56"/>
      <c r="F12" s="56"/>
      <c r="G12" s="56"/>
      <c r="H12" s="56"/>
      <c r="I12" s="57"/>
      <c r="J12" s="56"/>
      <c r="K12" s="56"/>
      <c r="L12" s="56"/>
      <c r="M12" s="43"/>
      <c r="N12" s="43"/>
    </row>
    <row r="13" spans="1:21" ht="19.5" customHeight="1" thickBot="1" x14ac:dyDescent="0.35">
      <c r="A13" s="87" t="s">
        <v>2</v>
      </c>
      <c r="B13" s="91"/>
      <c r="C13" s="91"/>
      <c r="D13" s="91"/>
      <c r="E13" s="91"/>
      <c r="F13" s="91"/>
      <c r="G13" s="91"/>
      <c r="H13" s="91"/>
      <c r="I13" s="91"/>
      <c r="J13" s="91"/>
      <c r="K13" s="91"/>
      <c r="L13" s="94"/>
      <c r="M13" s="94"/>
      <c r="N13" s="101"/>
    </row>
    <row r="14" spans="1:21" thickBot="1" x14ac:dyDescent="0.35">
      <c r="A14" s="109" t="s">
        <v>17</v>
      </c>
      <c r="B14" s="110" t="s">
        <v>18</v>
      </c>
      <c r="C14" s="110" t="s">
        <v>38</v>
      </c>
      <c r="D14" s="110" t="s">
        <v>147</v>
      </c>
      <c r="E14" s="110" t="s">
        <v>148</v>
      </c>
      <c r="F14" s="110" t="s">
        <v>145</v>
      </c>
      <c r="G14" s="111" t="s">
        <v>21</v>
      </c>
      <c r="H14" s="110" t="s">
        <v>146</v>
      </c>
      <c r="I14" s="110" t="s">
        <v>23</v>
      </c>
      <c r="J14" s="110" t="s">
        <v>24</v>
      </c>
      <c r="K14" s="110" t="s">
        <v>25</v>
      </c>
      <c r="L14" s="140" t="s">
        <v>26</v>
      </c>
      <c r="M14" s="140" t="s">
        <v>121</v>
      </c>
      <c r="N14" s="130" t="s">
        <v>15</v>
      </c>
    </row>
    <row r="15" spans="1:21" ht="14.4" x14ac:dyDescent="0.3">
      <c r="A15" s="216" t="s">
        <v>240</v>
      </c>
      <c r="B15" s="185" t="s">
        <v>250</v>
      </c>
      <c r="C15" s="185" t="s">
        <v>244</v>
      </c>
      <c r="D15" s="277">
        <f>Serpentine_mass</f>
        <v>2.8571428571428572</v>
      </c>
      <c r="E15" s="185" t="s">
        <v>178</v>
      </c>
      <c r="F15" s="241">
        <v>155</v>
      </c>
      <c r="G15" s="241" t="s">
        <v>252</v>
      </c>
      <c r="H15" s="241">
        <v>1</v>
      </c>
      <c r="I15" s="241" t="s">
        <v>253</v>
      </c>
      <c r="J15" s="241">
        <v>-1</v>
      </c>
      <c r="K15" s="241" t="s">
        <v>257</v>
      </c>
      <c r="L15" s="185" t="s">
        <v>258</v>
      </c>
      <c r="M15" s="265" t="s">
        <v>309</v>
      </c>
      <c r="N15" s="210" t="s">
        <v>259</v>
      </c>
      <c r="O15" s="232"/>
      <c r="P15" s="1"/>
      <c r="Q15" s="1"/>
      <c r="R15" s="1"/>
      <c r="S15" s="1"/>
      <c r="T15" s="1"/>
      <c r="U15" s="1"/>
    </row>
    <row r="16" spans="1:21" thickBot="1" x14ac:dyDescent="0.35">
      <c r="A16" s="238" t="s">
        <v>241</v>
      </c>
      <c r="B16" s="237" t="s">
        <v>250</v>
      </c>
      <c r="C16" s="237" t="s">
        <v>244</v>
      </c>
      <c r="D16" s="278">
        <f>CO2Min_ref_LOAD</f>
        <v>1</v>
      </c>
      <c r="E16" s="237" t="s">
        <v>178</v>
      </c>
      <c r="F16" s="237">
        <v>144</v>
      </c>
      <c r="G16" s="237" t="s">
        <v>252</v>
      </c>
      <c r="H16" s="237">
        <v>140</v>
      </c>
      <c r="I16" s="237" t="s">
        <v>253</v>
      </c>
      <c r="J16" s="237">
        <v>1</v>
      </c>
      <c r="K16" s="237" t="s">
        <v>254</v>
      </c>
      <c r="L16" s="237" t="s">
        <v>255</v>
      </c>
      <c r="M16" s="178" t="s">
        <v>310</v>
      </c>
      <c r="N16" s="211" t="s">
        <v>256</v>
      </c>
      <c r="O16" s="233"/>
      <c r="P16" s="63"/>
      <c r="Q16" s="63"/>
      <c r="R16" s="63"/>
      <c r="S16" s="63"/>
      <c r="T16" s="63"/>
      <c r="U16" s="63"/>
    </row>
    <row r="17" spans="1:21" ht="14.25" customHeight="1" thickBot="1" x14ac:dyDescent="0.35">
      <c r="A17" s="238" t="s">
        <v>239</v>
      </c>
      <c r="B17" s="237" t="s">
        <v>250</v>
      </c>
      <c r="C17" s="237" t="s">
        <v>246</v>
      </c>
      <c r="D17" s="278">
        <f>MgCO3_Prd</f>
        <v>1.9159999999999999</v>
      </c>
      <c r="E17" s="237" t="s">
        <v>178</v>
      </c>
      <c r="F17" s="237">
        <v>25</v>
      </c>
      <c r="G17" s="237" t="s">
        <v>252</v>
      </c>
      <c r="H17" s="242">
        <v>1</v>
      </c>
      <c r="I17" s="237" t="s">
        <v>253</v>
      </c>
      <c r="J17" s="237">
        <v>-1</v>
      </c>
      <c r="K17" s="237" t="s">
        <v>257</v>
      </c>
      <c r="L17" s="237" t="s">
        <v>260</v>
      </c>
      <c r="M17" s="178" t="s">
        <v>309</v>
      </c>
      <c r="N17" s="211" t="s">
        <v>261</v>
      </c>
      <c r="O17" s="234"/>
      <c r="P17" s="38"/>
      <c r="Q17" s="38"/>
      <c r="R17" s="38"/>
      <c r="S17" s="38"/>
      <c r="T17" s="38"/>
      <c r="U17" s="38"/>
    </row>
    <row r="18" spans="1:21" thickBot="1" x14ac:dyDescent="0.35">
      <c r="A18" s="263" t="s">
        <v>238</v>
      </c>
      <c r="B18" s="178" t="s">
        <v>250</v>
      </c>
      <c r="C18" s="178" t="s">
        <v>246</v>
      </c>
      <c r="D18" s="201">
        <f>SiO2_Prd</f>
        <v>0.91</v>
      </c>
      <c r="E18" s="203" t="s">
        <v>178</v>
      </c>
      <c r="F18" s="178">
        <v>25</v>
      </c>
      <c r="G18" s="178" t="s">
        <v>252</v>
      </c>
      <c r="H18" s="203">
        <v>1</v>
      </c>
      <c r="I18" s="203" t="s">
        <v>253</v>
      </c>
      <c r="J18" s="204">
        <v>-1</v>
      </c>
      <c r="K18" s="178" t="s">
        <v>257</v>
      </c>
      <c r="L18" s="178" t="s">
        <v>262</v>
      </c>
      <c r="M18" s="178" t="s">
        <v>309</v>
      </c>
      <c r="N18" s="211" t="s">
        <v>263</v>
      </c>
      <c r="O18" s="234"/>
      <c r="P18" s="38"/>
      <c r="Q18" s="38"/>
      <c r="R18" s="38"/>
      <c r="S18" s="38"/>
      <c r="T18" s="38"/>
      <c r="U18" s="38"/>
    </row>
    <row r="19" spans="1:21" thickBot="1" x14ac:dyDescent="0.35">
      <c r="A19" s="231" t="s">
        <v>235</v>
      </c>
      <c r="B19" s="178" t="s">
        <v>250</v>
      </c>
      <c r="C19" s="178" t="s">
        <v>244</v>
      </c>
      <c r="D19" s="201">
        <f>NaCl_cons</f>
        <v>0.40670000000000001</v>
      </c>
      <c r="E19" s="203" t="s">
        <v>178</v>
      </c>
      <c r="F19" s="178">
        <v>25</v>
      </c>
      <c r="G19" s="178" t="s">
        <v>252</v>
      </c>
      <c r="H19" s="203">
        <v>1</v>
      </c>
      <c r="I19" s="203" t="s">
        <v>253</v>
      </c>
      <c r="J19" s="204">
        <v>-1</v>
      </c>
      <c r="K19" s="178" t="s">
        <v>247</v>
      </c>
      <c r="L19" s="178" t="s">
        <v>264</v>
      </c>
      <c r="M19" s="178" t="s">
        <v>309</v>
      </c>
      <c r="N19" s="211" t="s">
        <v>266</v>
      </c>
      <c r="O19" s="235"/>
      <c r="P19" s="40"/>
      <c r="Q19" s="40"/>
      <c r="R19" s="40"/>
      <c r="S19" s="40"/>
      <c r="T19" s="40"/>
      <c r="U19" s="40"/>
    </row>
    <row r="20" spans="1:21" ht="14.4" x14ac:dyDescent="0.3">
      <c r="A20" s="231" t="s">
        <v>234</v>
      </c>
      <c r="B20" s="178" t="s">
        <v>250</v>
      </c>
      <c r="C20" s="178" t="s">
        <v>244</v>
      </c>
      <c r="D20" s="201">
        <f>NaHCO3_cons</f>
        <v>0.37380000000000002</v>
      </c>
      <c r="E20" s="203" t="s">
        <v>178</v>
      </c>
      <c r="F20" s="178">
        <v>25</v>
      </c>
      <c r="G20" s="178" t="s">
        <v>252</v>
      </c>
      <c r="H20" s="203">
        <v>1</v>
      </c>
      <c r="I20" s="203" t="s">
        <v>253</v>
      </c>
      <c r="J20" s="204">
        <v>-1</v>
      </c>
      <c r="K20" s="178" t="s">
        <v>247</v>
      </c>
      <c r="L20" s="178" t="s">
        <v>265</v>
      </c>
      <c r="M20" s="237" t="s">
        <v>309</v>
      </c>
      <c r="N20" s="243" t="s">
        <v>267</v>
      </c>
    </row>
    <row r="21" spans="1:21" thickBot="1" x14ac:dyDescent="0.35">
      <c r="A21" s="264" t="s">
        <v>232</v>
      </c>
      <c r="B21" s="182" t="s">
        <v>245</v>
      </c>
      <c r="C21" s="182" t="s">
        <v>244</v>
      </c>
      <c r="D21" s="182">
        <f>PostProcessing_Elec</f>
        <v>53</v>
      </c>
      <c r="E21" s="208" t="s">
        <v>27</v>
      </c>
      <c r="F21" s="182" t="s">
        <v>27</v>
      </c>
      <c r="G21" s="182" t="s">
        <v>27</v>
      </c>
      <c r="H21" s="208" t="s">
        <v>27</v>
      </c>
      <c r="I21" s="208" t="s">
        <v>27</v>
      </c>
      <c r="J21" s="209" t="s">
        <v>27</v>
      </c>
      <c r="K21" s="182" t="s">
        <v>27</v>
      </c>
      <c r="L21" s="182" t="s">
        <v>27</v>
      </c>
      <c r="M21" s="239" t="s">
        <v>309</v>
      </c>
      <c r="N21" s="240" t="s">
        <v>316</v>
      </c>
    </row>
    <row r="22" spans="1:21" ht="15.75" customHeight="1" thickBot="1" x14ac:dyDescent="0.35">
      <c r="A22" s="59"/>
      <c r="B22" s="51"/>
      <c r="C22" s="51"/>
      <c r="D22" s="51"/>
      <c r="E22" s="60"/>
      <c r="F22" s="61"/>
      <c r="G22" s="61"/>
      <c r="H22" s="61"/>
      <c r="I22" s="61"/>
      <c r="J22" s="60"/>
      <c r="K22" s="62"/>
      <c r="L22" s="51"/>
    </row>
    <row r="23" spans="1:21" thickBot="1" x14ac:dyDescent="0.35">
      <c r="A23" s="103" t="s">
        <v>56</v>
      </c>
      <c r="C23" s="84"/>
      <c r="D23" s="37"/>
      <c r="E23" s="38"/>
      <c r="F23" s="38"/>
      <c r="G23" s="38"/>
      <c r="H23" s="38"/>
      <c r="I23" s="6"/>
      <c r="J23" s="6"/>
      <c r="K23" s="7"/>
      <c r="L23" s="7"/>
    </row>
    <row r="24" spans="1:21" ht="48" customHeight="1" thickBot="1" x14ac:dyDescent="0.35">
      <c r="A24" s="217" t="s">
        <v>276</v>
      </c>
      <c r="C24" s="84"/>
      <c r="D24" s="37"/>
      <c r="E24" s="38"/>
      <c r="F24" s="38"/>
      <c r="G24" s="38"/>
      <c r="H24" s="38"/>
      <c r="I24" s="6"/>
      <c r="J24" s="6"/>
      <c r="K24" s="7"/>
      <c r="L24" s="7"/>
    </row>
    <row r="25" spans="1:21" ht="15.75" customHeight="1" thickBot="1" x14ac:dyDescent="0.35">
      <c r="A25" s="64"/>
      <c r="B25" s="40"/>
      <c r="C25" s="40"/>
      <c r="D25" s="40"/>
      <c r="E25" s="5"/>
      <c r="F25" s="58"/>
      <c r="G25" s="58"/>
      <c r="H25" s="58"/>
      <c r="I25" s="58"/>
      <c r="J25" s="5"/>
      <c r="K25" s="41"/>
      <c r="L25" s="40"/>
    </row>
    <row r="26" spans="1:21" ht="15.75" customHeight="1" thickBot="1" x14ac:dyDescent="0.35">
      <c r="A26" s="92" t="s">
        <v>40</v>
      </c>
      <c r="B26" s="93"/>
      <c r="C26" s="93"/>
      <c r="D26" s="93"/>
      <c r="E26" s="93"/>
      <c r="F26" s="93"/>
      <c r="G26" s="93"/>
      <c r="H26" s="93"/>
      <c r="I26" s="93"/>
      <c r="J26" s="93"/>
      <c r="K26" s="93"/>
      <c r="L26" s="93"/>
      <c r="M26" s="93"/>
      <c r="N26" s="93"/>
      <c r="O26" s="93"/>
      <c r="P26" s="93"/>
      <c r="Q26" s="93"/>
      <c r="R26" s="93"/>
      <c r="S26" s="93"/>
      <c r="T26" s="93"/>
      <c r="U26" s="101"/>
    </row>
    <row r="27" spans="1:21" ht="15.75" customHeight="1" thickBot="1" x14ac:dyDescent="0.35">
      <c r="A27" s="141" t="s">
        <v>52</v>
      </c>
      <c r="B27" s="142" t="s">
        <v>18</v>
      </c>
      <c r="C27" s="142" t="s">
        <v>109</v>
      </c>
      <c r="D27" s="143" t="s">
        <v>105</v>
      </c>
      <c r="E27" s="142" t="s">
        <v>110</v>
      </c>
      <c r="F27" s="142" t="s">
        <v>106</v>
      </c>
      <c r="G27" s="142" t="s">
        <v>111</v>
      </c>
      <c r="H27" s="142" t="s">
        <v>112</v>
      </c>
      <c r="I27" s="142" t="s">
        <v>113</v>
      </c>
      <c r="J27" s="142" t="s">
        <v>107</v>
      </c>
      <c r="K27" s="142" t="s">
        <v>114</v>
      </c>
      <c r="L27" s="142" t="s">
        <v>108</v>
      </c>
      <c r="M27" s="142" t="s">
        <v>115</v>
      </c>
      <c r="N27" s="142" t="s">
        <v>116</v>
      </c>
      <c r="O27" s="142" t="s">
        <v>117</v>
      </c>
      <c r="P27" s="142" t="s">
        <v>118</v>
      </c>
      <c r="Q27" s="142" t="s">
        <v>119</v>
      </c>
      <c r="R27" s="142" t="s">
        <v>120</v>
      </c>
      <c r="S27" s="144" t="s">
        <v>51</v>
      </c>
      <c r="T27" s="144" t="s">
        <v>121</v>
      </c>
      <c r="U27" s="130" t="s">
        <v>15</v>
      </c>
    </row>
    <row r="28" spans="1:21" ht="15" customHeight="1" x14ac:dyDescent="0.3">
      <c r="A28" s="244" t="s">
        <v>243</v>
      </c>
      <c r="B28" s="245" t="s">
        <v>242</v>
      </c>
      <c r="C28" s="246">
        <f>R_T</f>
        <v>155</v>
      </c>
      <c r="D28" s="247" t="s">
        <v>252</v>
      </c>
      <c r="E28" s="246">
        <f>R_T</f>
        <v>155</v>
      </c>
      <c r="F28" s="247" t="s">
        <v>252</v>
      </c>
      <c r="G28" s="267">
        <f>R_Q</f>
        <v>1116.31</v>
      </c>
      <c r="H28" s="247" t="s">
        <v>204</v>
      </c>
      <c r="I28" s="248">
        <v>0</v>
      </c>
      <c r="J28" s="247" t="s">
        <v>204</v>
      </c>
      <c r="K28" s="267">
        <f>G28/M28*3.6</f>
        <v>866.54279421504134</v>
      </c>
      <c r="L28" s="249" t="s">
        <v>319</v>
      </c>
      <c r="M28" s="268">
        <f>Serpentine_mass+CO2Min_ref_LOAD+NaCl_cons+NaHCO3_cons</f>
        <v>4.6376428571428576</v>
      </c>
      <c r="N28" s="249" t="s">
        <v>178</v>
      </c>
      <c r="O28" s="249">
        <f>dtmin</f>
        <v>5</v>
      </c>
      <c r="P28" s="249" t="s">
        <v>313</v>
      </c>
      <c r="Q28" s="249">
        <v>1</v>
      </c>
      <c r="R28" s="249" t="s">
        <v>314</v>
      </c>
      <c r="S28" s="273" t="s">
        <v>315</v>
      </c>
      <c r="T28" s="273" t="s">
        <v>309</v>
      </c>
      <c r="U28" s="266" t="s">
        <v>311</v>
      </c>
    </row>
    <row r="29" spans="1:21" ht="15" customHeight="1" x14ac:dyDescent="0.3">
      <c r="A29" s="250" t="s">
        <v>249</v>
      </c>
      <c r="B29" s="251" t="s">
        <v>242</v>
      </c>
      <c r="C29" s="252">
        <f>R_T</f>
        <v>155</v>
      </c>
      <c r="D29" s="253" t="s">
        <v>252</v>
      </c>
      <c r="E29" s="252">
        <f>R_To</f>
        <v>25</v>
      </c>
      <c r="F29" s="253" t="s">
        <v>252</v>
      </c>
      <c r="G29" s="269">
        <f>R_Qo</f>
        <v>108.6</v>
      </c>
      <c r="H29" s="253" t="s">
        <v>204</v>
      </c>
      <c r="I29" s="254">
        <v>0</v>
      </c>
      <c r="J29" s="253" t="s">
        <v>204</v>
      </c>
      <c r="K29" s="269">
        <f>G29/M29/(C29-E29)*3.6</f>
        <v>1.5696161875702586</v>
      </c>
      <c r="L29" s="255" t="s">
        <v>312</v>
      </c>
      <c r="M29" s="270">
        <f>MgCO3_Prd</f>
        <v>1.9159999999999999</v>
      </c>
      <c r="N29" s="255" t="s">
        <v>178</v>
      </c>
      <c r="O29" s="255">
        <f>dtmin</f>
        <v>5</v>
      </c>
      <c r="P29" s="255" t="s">
        <v>313</v>
      </c>
      <c r="Q29" s="255">
        <v>1</v>
      </c>
      <c r="R29" s="255" t="s">
        <v>314</v>
      </c>
      <c r="S29" s="255" t="s">
        <v>315</v>
      </c>
      <c r="T29" s="274" t="s">
        <v>309</v>
      </c>
      <c r="U29" s="256" t="s">
        <v>317</v>
      </c>
    </row>
    <row r="30" spans="1:21" ht="15" customHeight="1" thickBot="1" x14ac:dyDescent="0.35">
      <c r="A30" s="257" t="s">
        <v>251</v>
      </c>
      <c r="B30" s="258" t="s">
        <v>242</v>
      </c>
      <c r="C30" s="259">
        <f>R_T</f>
        <v>155</v>
      </c>
      <c r="D30" s="260" t="s">
        <v>252</v>
      </c>
      <c r="E30" s="259">
        <f>R_To</f>
        <v>25</v>
      </c>
      <c r="F30" s="260" t="s">
        <v>252</v>
      </c>
      <c r="G30" s="271">
        <f>R_Qo</f>
        <v>108.6</v>
      </c>
      <c r="H30" s="260" t="s">
        <v>204</v>
      </c>
      <c r="I30" s="261">
        <v>0</v>
      </c>
      <c r="J30" s="260" t="s">
        <v>204</v>
      </c>
      <c r="K30" s="271">
        <f>G30/M30/(C30-E30)*3.6</f>
        <v>3.3048182586644121</v>
      </c>
      <c r="L30" s="262" t="s">
        <v>312</v>
      </c>
      <c r="M30" s="272">
        <f>SiO2_Prd</f>
        <v>0.91</v>
      </c>
      <c r="N30" s="262" t="s">
        <v>178</v>
      </c>
      <c r="O30" s="262">
        <f>dtmin</f>
        <v>5</v>
      </c>
      <c r="P30" s="262" t="s">
        <v>313</v>
      </c>
      <c r="Q30" s="262">
        <v>1</v>
      </c>
      <c r="R30" s="262" t="s">
        <v>314</v>
      </c>
      <c r="S30" s="262" t="s">
        <v>315</v>
      </c>
      <c r="T30" s="275" t="s">
        <v>309</v>
      </c>
      <c r="U30" s="276" t="s">
        <v>318</v>
      </c>
    </row>
    <row r="31" spans="1:21" ht="15" customHeight="1" thickBot="1" x14ac:dyDescent="0.35">
      <c r="A31" s="149"/>
      <c r="B31" s="149"/>
      <c r="C31" s="149"/>
      <c r="D31" s="149"/>
      <c r="E31" s="149"/>
      <c r="F31" s="149"/>
      <c r="G31" s="149"/>
      <c r="H31" s="149"/>
      <c r="I31" s="149"/>
      <c r="J31" s="149"/>
      <c r="K31" s="149"/>
      <c r="L31" s="150"/>
    </row>
    <row r="32" spans="1:21" ht="15" customHeight="1" thickBot="1" x14ac:dyDescent="0.35">
      <c r="A32" s="105" t="s">
        <v>44</v>
      </c>
      <c r="B32" s="84"/>
      <c r="C32" s="84"/>
      <c r="D32" s="37"/>
      <c r="E32" s="38"/>
      <c r="F32" s="38"/>
      <c r="G32" s="38"/>
      <c r="H32" s="38"/>
      <c r="I32" s="86"/>
      <c r="J32" s="6"/>
      <c r="K32" s="7"/>
      <c r="L32" s="84"/>
    </row>
    <row r="33" spans="1:12" ht="48.6" customHeight="1" thickBot="1" x14ac:dyDescent="0.35">
      <c r="A33" s="230" t="s">
        <v>277</v>
      </c>
      <c r="B33" s="84"/>
      <c r="C33" s="84"/>
      <c r="D33" s="37"/>
      <c r="E33" s="38"/>
      <c r="F33" s="38"/>
      <c r="G33" s="38"/>
      <c r="H33" s="38"/>
      <c r="I33" s="6"/>
      <c r="J33" s="6"/>
      <c r="K33" s="7"/>
      <c r="L33" s="84"/>
    </row>
    <row r="34" spans="1:12" ht="15" customHeight="1" thickBot="1" x14ac:dyDescent="0.35">
      <c r="A34" s="66"/>
      <c r="B34" s="56"/>
      <c r="C34" s="56"/>
      <c r="D34" s="56"/>
      <c r="E34" s="67"/>
      <c r="F34" s="43"/>
      <c r="G34" s="43"/>
      <c r="H34" s="43"/>
      <c r="I34" s="43"/>
      <c r="J34" s="45"/>
      <c r="K34" s="45"/>
      <c r="L34" s="45"/>
    </row>
    <row r="35" spans="1:12" ht="15" customHeight="1" thickBot="1" x14ac:dyDescent="0.35">
      <c r="A35" s="125" t="s">
        <v>41</v>
      </c>
      <c r="B35" s="126"/>
      <c r="C35" s="126"/>
      <c r="D35" s="126"/>
      <c r="E35" s="126"/>
      <c r="F35" s="126"/>
      <c r="G35" s="127"/>
      <c r="H35" s="68" t="s">
        <v>122</v>
      </c>
      <c r="I35" s="45"/>
      <c r="J35" s="45"/>
      <c r="K35" s="45"/>
      <c r="L35" s="45"/>
    </row>
    <row r="36" spans="1:12" ht="15" customHeight="1" thickBot="1" x14ac:dyDescent="0.35">
      <c r="A36" s="109" t="s">
        <v>52</v>
      </c>
      <c r="B36" s="110" t="s">
        <v>18</v>
      </c>
      <c r="C36" s="110" t="s">
        <v>103</v>
      </c>
      <c r="D36" s="110" t="s">
        <v>104</v>
      </c>
      <c r="E36" s="110" t="s">
        <v>53</v>
      </c>
      <c r="F36" s="110" t="s">
        <v>39</v>
      </c>
      <c r="G36" s="112" t="s">
        <v>149</v>
      </c>
      <c r="H36" s="70"/>
      <c r="I36" s="69"/>
      <c r="J36" s="71"/>
      <c r="K36" s="48"/>
      <c r="L36" s="48"/>
    </row>
    <row r="37" spans="1:12" ht="15" customHeight="1" thickBot="1" x14ac:dyDescent="0.35">
      <c r="A37" s="218" t="s">
        <v>278</v>
      </c>
      <c r="B37" s="219" t="s">
        <v>279</v>
      </c>
      <c r="C37" s="219" t="s">
        <v>280</v>
      </c>
      <c r="D37" s="219" t="s">
        <v>281</v>
      </c>
      <c r="E37" s="220" t="s">
        <v>282</v>
      </c>
      <c r="F37" s="219">
        <v>58400</v>
      </c>
      <c r="G37" s="221" t="s">
        <v>283</v>
      </c>
      <c r="H37" s="70"/>
      <c r="I37" s="72"/>
      <c r="J37" s="38"/>
      <c r="K37" s="5"/>
      <c r="L37" s="5"/>
    </row>
    <row r="38" spans="1:12" ht="15" customHeight="1" x14ac:dyDescent="0.3">
      <c r="A38" s="222"/>
      <c r="B38" s="223"/>
      <c r="C38" s="223"/>
      <c r="D38" s="223"/>
      <c r="E38" s="224" t="s">
        <v>284</v>
      </c>
      <c r="F38" s="223">
        <v>1</v>
      </c>
      <c r="G38" s="225" t="s">
        <v>178</v>
      </c>
      <c r="H38" s="163"/>
      <c r="I38" s="163"/>
      <c r="J38" s="163"/>
      <c r="K38" s="164"/>
      <c r="L38" s="164"/>
    </row>
    <row r="39" spans="1:12" ht="15" customHeight="1" x14ac:dyDescent="0.3">
      <c r="A39" s="222"/>
      <c r="B39" s="223"/>
      <c r="C39" s="223"/>
      <c r="D39" s="223"/>
      <c r="E39" s="224" t="s">
        <v>168</v>
      </c>
      <c r="F39" s="223">
        <v>7.8E-2</v>
      </c>
      <c r="G39" s="225" t="s">
        <v>27</v>
      </c>
      <c r="H39" s="163"/>
      <c r="I39" s="163"/>
      <c r="J39" s="163"/>
      <c r="K39" s="164"/>
      <c r="L39" s="164"/>
    </row>
    <row r="40" spans="1:12" ht="15" customHeight="1" x14ac:dyDescent="0.3">
      <c r="A40" s="222" t="s">
        <v>285</v>
      </c>
      <c r="B40" s="223" t="s">
        <v>279</v>
      </c>
      <c r="C40" s="223" t="s">
        <v>286</v>
      </c>
      <c r="D40" s="223" t="s">
        <v>287</v>
      </c>
      <c r="E40" s="224" t="s">
        <v>282</v>
      </c>
      <c r="F40" s="223">
        <v>450</v>
      </c>
      <c r="G40" s="225" t="s">
        <v>288</v>
      </c>
      <c r="H40" s="163"/>
      <c r="I40" s="163"/>
      <c r="J40" s="163"/>
      <c r="K40" s="164"/>
      <c r="L40" s="164"/>
    </row>
    <row r="41" spans="1:12" ht="15" customHeight="1" x14ac:dyDescent="0.3">
      <c r="A41" s="222"/>
      <c r="B41" s="223"/>
      <c r="C41" s="223"/>
      <c r="D41" s="223"/>
      <c r="E41" s="224" t="s">
        <v>289</v>
      </c>
      <c r="F41" s="223">
        <v>53</v>
      </c>
      <c r="G41" s="225" t="s">
        <v>204</v>
      </c>
      <c r="H41" s="163"/>
      <c r="I41" s="163"/>
      <c r="J41" s="163"/>
      <c r="K41" s="164"/>
      <c r="L41" s="164"/>
    </row>
    <row r="42" spans="1:12" ht="15" customHeight="1" x14ac:dyDescent="0.3">
      <c r="A42" s="222"/>
      <c r="B42" s="223"/>
      <c r="C42" s="223"/>
      <c r="D42" s="223"/>
      <c r="E42" s="224" t="s">
        <v>168</v>
      </c>
      <c r="F42" s="223">
        <v>7.8E-2</v>
      </c>
      <c r="G42" s="225" t="s">
        <v>27</v>
      </c>
      <c r="H42" s="163"/>
      <c r="I42" s="163"/>
      <c r="J42" s="163"/>
      <c r="K42" s="164"/>
      <c r="L42" s="164"/>
    </row>
    <row r="43" spans="1:12" ht="15" customHeight="1" x14ac:dyDescent="0.3">
      <c r="A43" s="222" t="s">
        <v>290</v>
      </c>
      <c r="B43" s="223" t="s">
        <v>279</v>
      </c>
      <c r="C43" s="223" t="s">
        <v>291</v>
      </c>
      <c r="D43" s="223" t="s">
        <v>292</v>
      </c>
      <c r="E43" s="224" t="s">
        <v>282</v>
      </c>
      <c r="F43" s="223">
        <v>12000</v>
      </c>
      <c r="G43" s="225" t="s">
        <v>293</v>
      </c>
      <c r="H43" s="163"/>
      <c r="I43" s="163"/>
      <c r="J43" s="163"/>
      <c r="K43" s="164"/>
      <c r="L43" s="164"/>
    </row>
    <row r="44" spans="1:12" ht="15" customHeight="1" x14ac:dyDescent="0.3">
      <c r="A44" s="222"/>
      <c r="B44" s="223"/>
      <c r="C44" s="223"/>
      <c r="D44" s="223"/>
      <c r="E44" s="224" t="s">
        <v>294</v>
      </c>
      <c r="F44" s="223">
        <v>108.6</v>
      </c>
      <c r="G44" s="225" t="s">
        <v>204</v>
      </c>
      <c r="H44" s="163"/>
      <c r="I44" s="163"/>
      <c r="J44" s="163"/>
      <c r="K44" s="164"/>
      <c r="L44" s="164"/>
    </row>
    <row r="45" spans="1:12" ht="15" customHeight="1" thickBot="1" x14ac:dyDescent="0.35">
      <c r="A45" s="226"/>
      <c r="B45" s="227"/>
      <c r="C45" s="227"/>
      <c r="D45" s="227"/>
      <c r="E45" s="228" t="s">
        <v>168</v>
      </c>
      <c r="F45" s="227">
        <v>7.8E-2</v>
      </c>
      <c r="G45" s="229" t="s">
        <v>27</v>
      </c>
      <c r="H45" s="163"/>
      <c r="I45" s="163"/>
      <c r="J45" s="163"/>
      <c r="K45" s="164"/>
      <c r="L45" s="164"/>
    </row>
    <row r="46" spans="1:12" ht="15" customHeight="1" thickBot="1" x14ac:dyDescent="0.35">
      <c r="A46" s="106"/>
      <c r="B46" s="73"/>
      <c r="C46" s="151"/>
      <c r="D46" s="73"/>
      <c r="E46" s="73"/>
      <c r="F46" s="73"/>
      <c r="G46" s="73"/>
      <c r="H46" s="69"/>
    </row>
    <row r="47" spans="1:12" ht="15" customHeight="1" thickBot="1" x14ac:dyDescent="0.35">
      <c r="A47" s="105" t="s">
        <v>45</v>
      </c>
      <c r="B47" s="84"/>
      <c r="C47" s="84"/>
      <c r="D47" s="69"/>
      <c r="E47" s="69"/>
      <c r="F47" s="69"/>
      <c r="G47" s="69"/>
      <c r="H47" s="75"/>
    </row>
    <row r="48" spans="1:12" ht="15" customHeight="1" thickBot="1" x14ac:dyDescent="0.35">
      <c r="A48" s="104" t="s">
        <v>42</v>
      </c>
      <c r="B48" s="84"/>
      <c r="C48" s="84"/>
      <c r="D48" s="69"/>
      <c r="E48" s="69"/>
      <c r="F48" s="69"/>
      <c r="G48" s="69"/>
      <c r="H48" s="69"/>
    </row>
    <row r="49" spans="1:8" ht="15" customHeight="1" thickBot="1" x14ac:dyDescent="0.35">
      <c r="A49" s="74"/>
      <c r="B49" s="75"/>
      <c r="C49" s="60"/>
      <c r="D49" s="75"/>
      <c r="E49" s="75"/>
      <c r="F49" s="75"/>
      <c r="G49" s="75"/>
      <c r="H49" s="69"/>
    </row>
    <row r="50" spans="1:8" ht="15" customHeight="1" thickBot="1" x14ac:dyDescent="0.35">
      <c r="A50" s="76" t="s">
        <v>57</v>
      </c>
      <c r="B50" s="77"/>
      <c r="C50" s="78"/>
      <c r="D50" s="69"/>
      <c r="E50" s="69"/>
      <c r="F50" s="69"/>
      <c r="G50" s="69"/>
      <c r="H50" s="69"/>
    </row>
    <row r="51" spans="1:8" ht="15" customHeight="1" thickBot="1" x14ac:dyDescent="0.35">
      <c r="A51" s="145" t="s">
        <v>54</v>
      </c>
      <c r="B51" s="146" t="s">
        <v>55</v>
      </c>
      <c r="C51" s="69"/>
      <c r="D51" s="69"/>
      <c r="E51" s="69"/>
      <c r="F51" s="69"/>
      <c r="G51" s="69"/>
      <c r="H51" s="69"/>
    </row>
    <row r="52" spans="1:8" ht="15" customHeight="1" thickBot="1" x14ac:dyDescent="0.35">
      <c r="A52" s="139">
        <v>0</v>
      </c>
      <c r="B52" s="147">
        <v>0</v>
      </c>
      <c r="C52" s="69"/>
      <c r="D52" s="69"/>
      <c r="E52" s="69"/>
      <c r="F52" s="69"/>
      <c r="G52" s="69"/>
      <c r="H52" s="69"/>
    </row>
  </sheetData>
  <dataValidations count="5">
    <dataValidation type="list" allowBlank="1" showErrorMessage="1" sqref="B28:B30" xr:uid="{4EBFFD00-39B2-414C-A6CA-0809F3819E33}">
      <formula1>"Cold,Hot"</formula1>
    </dataValidation>
    <dataValidation type="list" allowBlank="1" showErrorMessage="1" sqref="C15" xr:uid="{0CDCA92F-56FF-40A0-AB3B-14C63425E3D5}">
      <formula1>"IN,OUT"</formula1>
    </dataValidation>
    <dataValidation type="list" allowBlank="1" showErrorMessage="1" sqref="B15" xr:uid="{1086D379-8715-40B5-BA4F-C6C0445C5BBC}">
      <formula1>"MASS,ELECTRICITY,EMISSIONS,ENERGY"</formula1>
    </dataValidation>
    <dataValidation type="list" errorStyle="information" allowBlank="1" showInputMessage="1" showErrorMessage="1" sqref="N22:N25 D28:D30 F28:F30 H28:H30 J28:J30 R28:R30 E15:E21 G15:G21 I15:I21 L28:L30 N28:N30 P28:P30 G37:G45" xr:uid="{038FA63E-D891-4B76-A969-6AC3C945BCA1}">
      <formula1>"-,kg,s,m,K,°C,W,bar,kg/h,t/h,kW,kW/m2K,W/m2K,kJ/kgK,kJ/kg,m3/h,Nm3/t,kWh/Nm3,Nm3/h,%,kg/kmol,eur,eur/year,eur/kW,kWel/kWth,year, days"</formula1>
    </dataValidation>
    <dataValidation type="list" allowBlank="1" showErrorMessage="1" sqref="B18:B21" xr:uid="{F1BF3B61-09F2-4873-A86C-1885512C69DA}">
      <formula1>"CONTEXT,LITERATURE,MEASURED,DECISION"</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F26" sqref="F26"/>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13" t="s">
        <v>96</v>
      </c>
      <c r="B1" s="114" t="s">
        <v>39</v>
      </c>
      <c r="C1" s="115" t="s">
        <v>19</v>
      </c>
    </row>
    <row r="2" spans="1:3" thickBot="1" x14ac:dyDescent="0.35">
      <c r="A2" s="153" t="s">
        <v>27</v>
      </c>
      <c r="B2" s="152" t="s">
        <v>27</v>
      </c>
      <c r="C2" s="154" t="s">
        <v>27</v>
      </c>
    </row>
  </sheetData>
  <dataValidations count="1">
    <dataValidation type="list" errorStyle="information" allowBlank="1" showInputMessage="1" showErrorMessage="1" sqref="C2" xr:uid="{CAC4E506-6FED-42E0-8CA2-4970F6DAB80F}">
      <formula1>"-,kg,s,m,K,°C,W,bar,kg/h,t/h,kW,kW/m2K,W/m2K,kJ/kgK,kJ/kg,m3/h,Nm3/t,kWh/Nm3,Nm3/h,%,kg/kmol,eur,eur/year,eur/kW,kWel/kWth,year, days"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C13" sqref="C13"/>
    </sheetView>
  </sheetViews>
  <sheetFormatPr defaultColWidth="14.44140625" defaultRowHeight="15" customHeight="1" x14ac:dyDescent="0.3"/>
  <cols>
    <col min="2" max="2" width="29.77734375" bestFit="1" customWidth="1"/>
  </cols>
  <sheetData>
    <row r="1" spans="1:4" thickBot="1" x14ac:dyDescent="0.35">
      <c r="A1" s="113" t="s">
        <v>69</v>
      </c>
      <c r="B1" s="114" t="s">
        <v>93</v>
      </c>
      <c r="C1" s="114" t="s">
        <v>91</v>
      </c>
      <c r="D1" s="115" t="s">
        <v>92</v>
      </c>
    </row>
    <row r="2" spans="1:4" ht="15" customHeight="1" thickBot="1" x14ac:dyDescent="0.35">
      <c r="A2" s="159" t="s">
        <v>94</v>
      </c>
      <c r="B2" s="157" t="s">
        <v>7</v>
      </c>
      <c r="C2" s="160">
        <v>46133</v>
      </c>
      <c r="D2" s="161" t="s">
        <v>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F11" sqref="F11"/>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95" t="s">
        <v>89</v>
      </c>
      <c r="B1" s="94"/>
      <c r="C1" s="94"/>
      <c r="D1" s="94"/>
      <c r="E1" s="94"/>
      <c r="F1" s="94"/>
      <c r="G1" s="101"/>
    </row>
    <row r="2" spans="1:7" ht="15" thickBot="1" x14ac:dyDescent="0.35">
      <c r="A2" s="155" t="s">
        <v>90</v>
      </c>
      <c r="B2" s="140" t="s">
        <v>52</v>
      </c>
      <c r="C2" s="140" t="s">
        <v>18</v>
      </c>
      <c r="D2" s="140" t="s">
        <v>88</v>
      </c>
      <c r="E2" s="140" t="s">
        <v>87</v>
      </c>
      <c r="F2" s="140" t="s">
        <v>86</v>
      </c>
      <c r="G2" s="130" t="s">
        <v>71</v>
      </c>
    </row>
    <row r="3" spans="1:7" ht="15" thickBot="1" x14ac:dyDescent="0.35">
      <c r="A3" s="156">
        <v>1</v>
      </c>
      <c r="B3" s="279" t="s">
        <v>320</v>
      </c>
      <c r="C3" s="157" t="s">
        <v>154</v>
      </c>
      <c r="D3" s="157" t="s">
        <v>155</v>
      </c>
      <c r="E3" s="157" t="s">
        <v>156</v>
      </c>
      <c r="F3" s="157" t="s">
        <v>158</v>
      </c>
      <c r="G3" s="158">
        <v>46133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881B0-1026-422C-B236-DA2525A2F33B}">
  <sheetPr codeName="Sheet5"/>
  <dimension ref="A1:A29"/>
  <sheetViews>
    <sheetView showGridLines="0" tabSelected="1" workbookViewId="0">
      <selection activeCell="D8" sqref="D8"/>
    </sheetView>
  </sheetViews>
  <sheetFormatPr defaultRowHeight="14.4" x14ac:dyDescent="0.3"/>
  <cols>
    <col min="1" max="1" width="140.77734375" style="281" customWidth="1"/>
    <col min="2" max="16384" width="8.88671875" style="281"/>
  </cols>
  <sheetData>
    <row r="1" spans="1:1" ht="15.6" thickTop="1" thickBot="1" x14ac:dyDescent="0.35">
      <c r="A1" s="282" t="s">
        <v>295</v>
      </c>
    </row>
    <row r="2" spans="1:1" ht="29.4" thickTop="1" x14ac:dyDescent="0.3">
      <c r="A2" s="281" t="s">
        <v>325</v>
      </c>
    </row>
    <row r="3" spans="1:1" ht="28.8" x14ac:dyDescent="0.3">
      <c r="A3" s="281" t="s">
        <v>326</v>
      </c>
    </row>
    <row r="4" spans="1:1" ht="15" thickBot="1" x14ac:dyDescent="0.35"/>
    <row r="5" spans="1:1" ht="15.6" thickTop="1" thickBot="1" x14ac:dyDescent="0.35">
      <c r="A5" s="282" t="s">
        <v>329</v>
      </c>
    </row>
    <row r="6" spans="1:1" ht="15" thickTop="1" x14ac:dyDescent="0.3">
      <c r="A6" s="281" t="str">
        <f>"The main unit where the exothermic reaction occurs at "&amp;TEXT(R_T,"0")&amp;"°C. Reaction efficiency is currently modeled at "&amp;TEXT(Reactor_eff*100,"0")&amp;"%."</f>
        <v>The main unit where the exothermic reaction occurs at 155°C. Reaction efficiency is currently modeled at 74%.</v>
      </c>
    </row>
    <row r="7" spans="1:1" x14ac:dyDescent="0.3">
      <c r="A7" s="281" t="str">
        <f>"Electricity for agitation and solid-liquid separation (post-processing) is estimated at "&amp;TEXT(PostProcessing_Elec,"#,##0")&amp;" kW."</f>
        <v>Electricity for agitation and solid-liquid separation (post-processing) is estimated at 53 kW.</v>
      </c>
    </row>
    <row r="8" spans="1:1" ht="15" thickBot="1" x14ac:dyDescent="0.35"/>
    <row r="9" spans="1:1" ht="15.6" thickTop="1" thickBot="1" x14ac:dyDescent="0.35">
      <c r="A9" s="282" t="s">
        <v>296</v>
      </c>
    </row>
    <row r="10" spans="1:1" ht="15" thickTop="1" x14ac:dyDescent="0.3">
      <c r="A10" s="281" t="str">
        <f>"Reaction Enthalpy: The process is strongly exothermic, releasing "&amp;TEXT(R_Q,"#,##0")&amp;" kW of thermal energy at high temperature ("&amp;TEXT(R_T,"0")&amp;"°C)."</f>
        <v>Reaction Enthalpy: The process is strongly exothermic, releasing 1,116 kW of thermal energy at high temperature (155°C).</v>
      </c>
    </row>
    <row r="11" spans="1:1" x14ac:dyDescent="0.3">
      <c r="A11" s="281" t="str">
        <f>"Mass Balance: For every 1 ton of CO2 mineralized, approximately "&amp;TEXT(Serpentine_mass,"0.00")&amp;" tons of activated serpentine are required."</f>
        <v>Mass Balance: For every 1 ton of CO2 mineralized, approximately 2.86 tons of activated serpentine are required.</v>
      </c>
    </row>
    <row r="12" spans="1:1" x14ac:dyDescent="0.3">
      <c r="A12" s="281" t="str">
        <f>"Byproducts: The system yields "&amp;TEXT(MgCO3_Prd,"0.00")&amp;" t/h of MgCO3 and "&amp;TEXT(SiO2_Prd,"0.00")&amp;" t/h of Silica ($SiO_2$)."</f>
        <v>Byproducts: The system yields 1.92 t/h of MgCO3 and 0.91 t/h of Silica ($SiO_2$).</v>
      </c>
    </row>
    <row r="13" spans="1:1" ht="15" thickBot="1" x14ac:dyDescent="0.35"/>
    <row r="14" spans="1:1" ht="15.6" thickTop="1" thickBot="1" x14ac:dyDescent="0.35">
      <c r="A14" s="282" t="s">
        <v>327</v>
      </c>
    </row>
    <row r="15" spans="1:1" ht="15" thickTop="1" x14ac:dyDescent="0.3">
      <c r="A15" s="281" t="str">
        <f>"Direct carbonation reactor temperature: "&amp;TEXT(R_T,"#,##0.00")&amp;" "&amp;"C"</f>
        <v>Direct carbonation reactor temperature: 155.00 C</v>
      </c>
    </row>
    <row r="16" spans="1:1" x14ac:dyDescent="0.3">
      <c r="A16" s="281" t="str">
        <f>"Mass flow rate of CO2 to mineralization reactor: "&amp;TEXT(R_M,"#,##0.00")&amp;" "&amp;"ton/h"</f>
        <v>Mass flow rate of CO2 to mineralization reactor: 0.86 ton/h</v>
      </c>
    </row>
    <row r="17" spans="1:1" x14ac:dyDescent="0.3">
      <c r="A17" s="281" t="str">
        <f>"Exothermic heat of carbonation reaction: "&amp;TEXT(R_Q,"#,##0.00")&amp;" "&amp;"kW"</f>
        <v>Exothermic heat of carbonation reaction: 1,116.31 kW</v>
      </c>
    </row>
    <row r="18" spans="1:1" x14ac:dyDescent="0.3">
      <c r="A18" s="281" t="str">
        <f>"Cooling duty for minerals leaving reactor: "&amp;TEXT(R_Qo,"#,##0.00")&amp;" "&amp;"kW"</f>
        <v>Cooling duty for minerals leaving reactor: 108.60 kW</v>
      </c>
    </row>
    <row r="19" spans="1:1" x14ac:dyDescent="0.3">
      <c r="A19" s="281" t="str">
        <f>"Direct carbonation reactor efficiency: "&amp;TEXT(Reactor_eff,"#,##0.00")&amp;" "&amp;"%"</f>
        <v>Direct carbonation reactor efficiency: 0.74 %</v>
      </c>
    </row>
    <row r="20" spans="1:1" x14ac:dyDescent="0.3">
      <c r="A20" s="281" t="str">
        <f>"Serpantine mass requirements for carbonation reaction based on stoichiometric ratio corrected by efficiency: "&amp;TEXT(Serpentine_mass,"#,##0.00")&amp;" "&amp;"t/h"</f>
        <v>Serpantine mass requirements for carbonation reaction based on stoichiometric ratio corrected by efficiency: 2.86 t/h</v>
      </c>
    </row>
    <row r="21" spans="1:1" x14ac:dyDescent="0.3">
      <c r="A21" s="281" t="str">
        <f>"MgCO3 produced: "&amp;TEXT(MgCO3_Prd,"#,##0.00")&amp;" "&amp;"t/h"</f>
        <v>MgCO3 produced: 1.92 t/h</v>
      </c>
    </row>
    <row r="22" spans="1:1" x14ac:dyDescent="0.3">
      <c r="A22" s="281" t="str">
        <f>"SiO2 produced: "&amp;TEXT(SiO2_Prd,"#,##0.00")&amp;" "&amp;"t/h"</f>
        <v>SiO2 produced: 0.91 t/h</v>
      </c>
    </row>
    <row r="23" spans="1:1" x14ac:dyDescent="0.3">
      <c r="A23" s="281" t="str">
        <f>"NaCl consumed: "&amp;TEXT(NaCl_cons,"#,##0.00")&amp;" "&amp;"t/h"</f>
        <v>NaCl consumed: 0.41 t/h</v>
      </c>
    </row>
    <row r="24" spans="1:1" x14ac:dyDescent="0.3">
      <c r="A24" s="281" t="str">
        <f>"NaHCO3 consumed: "&amp;TEXT(NaHCO3_cons,"#,##0.00")&amp;" "&amp;"t/h"</f>
        <v>NaHCO3 consumed: 0.37 t/h</v>
      </c>
    </row>
    <row r="25" spans="1:1" x14ac:dyDescent="0.3">
      <c r="A25" s="281" t="str">
        <f>"Solid liquid separation power consumption: "&amp;TEXT(PostProcessing_Elec,"#,##0.00")&amp;" "&amp;"kW"</f>
        <v>Solid liquid separation power consumption: 53.00 kW</v>
      </c>
    </row>
    <row r="26" spans="1:1" x14ac:dyDescent="0.3">
      <c r="A26" s="281" t="str">
        <f>"Annualized variable investment cost of direct carbonation reactor: "&amp;TEXT(Cinv2_Reactor,"#,##0.00")&amp;" "&amp;"Eur/y"</f>
        <v>Annualized variable investment cost of direct carbonation reactor: 105,705.20 Eur/y</v>
      </c>
    </row>
    <row r="27" spans="1:1" ht="15" thickBot="1" x14ac:dyDescent="0.35"/>
    <row r="28" spans="1:1" ht="15.6" thickTop="1" thickBot="1" x14ac:dyDescent="0.35">
      <c r="A28" s="282" t="s">
        <v>328</v>
      </c>
    </row>
    <row r="29" spans="1:1" ht="72.599999999999994" thickTop="1" x14ac:dyDescent="0.3">
      <c r="A29" s="281" t="s">
        <v>322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75</vt:i4>
      </vt:variant>
    </vt:vector>
  </HeadingPairs>
  <TitlesOfParts>
    <vt:vector size="84" baseType="lpstr">
      <vt:lpstr>README</vt:lpstr>
      <vt:lpstr>METADATA</vt:lpstr>
      <vt:lpstr>CONNECTORS</vt:lpstr>
      <vt:lpstr>VARIABLES</vt:lpstr>
      <vt:lpstr>Carbonation</vt:lpstr>
      <vt:lpstr>CALCULATIONS</vt:lpstr>
      <vt:lpstr>CHANGELOG</vt:lpstr>
      <vt:lpstr>SUPPL MATERIAL</vt:lpstr>
      <vt:lpstr>DOCUMENTATION</vt:lpstr>
      <vt:lpstr>Annuity</vt:lpstr>
      <vt:lpstr>Annuity_max</vt:lpstr>
      <vt:lpstr>Annuity_min</vt:lpstr>
      <vt:lpstr>CEPCI_2007</vt:lpstr>
      <vt:lpstr>CEPCI_2007_max</vt:lpstr>
      <vt:lpstr>CEPCI_2007_min</vt:lpstr>
      <vt:lpstr>CEPCI_2020</vt:lpstr>
      <vt:lpstr>CEPCI_2020_max</vt:lpstr>
      <vt:lpstr>CEPCI_2020_min</vt:lpstr>
      <vt:lpstr>Cinv2_Reactor</vt:lpstr>
      <vt:lpstr>Cinv2_Reactor_max</vt:lpstr>
      <vt:lpstr>Cinv2_Reactor_min</vt:lpstr>
      <vt:lpstr>CO2Min_ref_LOAD</vt:lpstr>
      <vt:lpstr>CO2Min_ref_LOAD_max</vt:lpstr>
      <vt:lpstr>CO2Min_ref_LOAD_min</vt:lpstr>
      <vt:lpstr>dtmin</vt:lpstr>
      <vt:lpstr>dtmin_max</vt:lpstr>
      <vt:lpstr>dtmin_min</vt:lpstr>
      <vt:lpstr>FmaxReactor</vt:lpstr>
      <vt:lpstr>FmaxReactor_max</vt:lpstr>
      <vt:lpstr>FmaxReactor_min</vt:lpstr>
      <vt:lpstr>FminReactor</vt:lpstr>
      <vt:lpstr>FminReactor_max</vt:lpstr>
      <vt:lpstr>FminReactor_min</vt:lpstr>
      <vt:lpstr>i</vt:lpstr>
      <vt:lpstr>i_max</vt:lpstr>
      <vt:lpstr>i_min</vt:lpstr>
      <vt:lpstr>MgCO3_Prd</vt:lpstr>
      <vt:lpstr>MgCO3_Prd_max</vt:lpstr>
      <vt:lpstr>MgCO3_Prd_min</vt:lpstr>
      <vt:lpstr>n</vt:lpstr>
      <vt:lpstr>n_max</vt:lpstr>
      <vt:lpstr>n_min</vt:lpstr>
      <vt:lpstr>NaCl_cons</vt:lpstr>
      <vt:lpstr>NaCl_cons_max</vt:lpstr>
      <vt:lpstr>NaCl_cons_min</vt:lpstr>
      <vt:lpstr>NaHCO3_cons</vt:lpstr>
      <vt:lpstr>NaHCO3_cons_max</vt:lpstr>
      <vt:lpstr>NaHCO3_cons_min</vt:lpstr>
      <vt:lpstr>PostProcessing_Elec</vt:lpstr>
      <vt:lpstr>PostProcessing_Elec_max</vt:lpstr>
      <vt:lpstr>PostProcessing_Elec_min</vt:lpstr>
      <vt:lpstr>R_M</vt:lpstr>
      <vt:lpstr>R_M_max</vt:lpstr>
      <vt:lpstr>R_M_min</vt:lpstr>
      <vt:lpstr>R_Q</vt:lpstr>
      <vt:lpstr>R_Q_max</vt:lpstr>
      <vt:lpstr>R_Q_min</vt:lpstr>
      <vt:lpstr>R_Qo</vt:lpstr>
      <vt:lpstr>R_Qo_max</vt:lpstr>
      <vt:lpstr>R_Qo_min</vt:lpstr>
      <vt:lpstr>R_T</vt:lpstr>
      <vt:lpstr>R_T_max</vt:lpstr>
      <vt:lpstr>R_T_min</vt:lpstr>
      <vt:lpstr>R_To</vt:lpstr>
      <vt:lpstr>R_To_max</vt:lpstr>
      <vt:lpstr>R_To_min</vt:lpstr>
      <vt:lpstr>Reactor_eff</vt:lpstr>
      <vt:lpstr>Reactor_eff_max</vt:lpstr>
      <vt:lpstr>Reactor_eff_min</vt:lpstr>
      <vt:lpstr>RQ</vt:lpstr>
      <vt:lpstr>RQ_max</vt:lpstr>
      <vt:lpstr>RQ_min</vt:lpstr>
      <vt:lpstr>RQo</vt:lpstr>
      <vt:lpstr>RQo_max</vt:lpstr>
      <vt:lpstr>RQo_min</vt:lpstr>
      <vt:lpstr>Serpentine_mass</vt:lpstr>
      <vt:lpstr>Serpentine_mass_max</vt:lpstr>
      <vt:lpstr>Serpentine_mass_min</vt:lpstr>
      <vt:lpstr>SiO2_Prd</vt:lpstr>
      <vt:lpstr>SiO2_Prd_max</vt:lpstr>
      <vt:lpstr>SiO2_Prd_min</vt:lpstr>
      <vt:lpstr>Spec_Reactor_Cost</vt:lpstr>
      <vt:lpstr>Spec_Reactor_Cost_max</vt:lpstr>
      <vt:lpstr>Spec_Reactor_Cost_min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2026-05-06T12:19:07Z</dcterms:modified>
</cp:coreProperties>
</file>