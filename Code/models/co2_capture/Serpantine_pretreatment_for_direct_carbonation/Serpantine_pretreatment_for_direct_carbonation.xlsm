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drawings/drawing1.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2.xml" ContentType="application/vnd.openxmlformats-officedocument.drawing+xml"/>
  <Override PartName="/xl/comments4.xml" ContentType="application/vnd.openxmlformats-officedocument.spreadsheetml.comments+xml"/>
  <Override PartName="/xl/threadedComments/threadedComment4.xml" ContentType="application/vnd.ms-excel.threadedcomments+xml"/>
  <Override PartName="/xl/drawings/drawing3.xml" ContentType="application/vnd.openxmlformats-officedocument.drawing+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929"/>
  <workbookPr codeName="ThisWorkbook"/>
  <mc:AlternateContent xmlns:mc="http://schemas.openxmlformats.org/markup-compatibility/2006">
    <mc:Choice Requires="x15">
      <x15ac:absPath xmlns:x15ac="http://schemas.microsoft.com/office/spreadsheetml/2010/11/ac" url="https://d.docs.live.net/f3aee38b355b722b/Documents/02_EPFL/01_MA2/SemesterProject/PdS2026/Mineralization/"/>
    </mc:Choice>
  </mc:AlternateContent>
  <xr:revisionPtr revIDLastSave="2884" documentId="8_{83E9F583-7A18-42E3-A6B4-963D0A8CA842}" xr6:coauthVersionLast="47" xr6:coauthVersionMax="47" xr10:uidLastSave="{0F7BC2D1-B786-49D0-AE1A-F814B0222F72}"/>
  <bookViews>
    <workbookView xWindow="-108" yWindow="-108" windowWidth="23256" windowHeight="13176" firstSheet="1" activeTab="1" xr2:uid="{00000000-000D-0000-FFFF-FFFF00000000}"/>
  </bookViews>
  <sheets>
    <sheet name="README" sheetId="1" r:id="rId1"/>
    <sheet name="METADATA" sheetId="2" r:id="rId2"/>
    <sheet name="CONNECTORS" sheetId="3" r:id="rId3"/>
    <sheet name="VARIABLES" sheetId="4" r:id="rId4"/>
    <sheet name="CO2_PreT" sheetId="5" r:id="rId5"/>
    <sheet name="Grinding" sheetId="21" r:id="rId6"/>
    <sheet name="Serp_PreT" sheetId="22" r:id="rId7"/>
    <sheet name="CALCULATIONS" sheetId="10" r:id="rId8"/>
    <sheet name="CHANGELOG" sheetId="9" r:id="rId9"/>
    <sheet name="SUPPL MATERIAL" sheetId="11" r:id="rId10"/>
    <sheet name="DOCUMENTATION" sheetId="23" r:id="rId11"/>
  </sheets>
  <definedNames>
    <definedName name="_xleta.N" hidden="1" xlm="1">#NAME?</definedName>
    <definedName name="_xleta.T" hidden="1" xlm="1">#NAME?</definedName>
    <definedName name="_xleta.TEXT" hidden="1" xlm="1">#NAME?</definedName>
    <definedName name="Air_Q1">VARIABLES!$E$19</definedName>
    <definedName name="Air_Q1_max">VARIABLES!$I$19</definedName>
    <definedName name="Air_Q1_min">VARIABLES!$H$19</definedName>
    <definedName name="Air_Q2">VARIABLES!$E$20</definedName>
    <definedName name="Air_Q2_max">VARIABLES!$I$20</definedName>
    <definedName name="Air_Q2_min">VARIABLES!$H$20</definedName>
    <definedName name="Air_Q3">VARIABLES!$E$21</definedName>
    <definedName name="Air_Q3_max">VARIABLES!$I$21</definedName>
    <definedName name="Air_Q3_min">VARIABLES!$H$21</definedName>
    <definedName name="Air_Q4">VARIABLES!$E$22</definedName>
    <definedName name="Air_Q4_max">VARIABLES!$I$22</definedName>
    <definedName name="Air_Q4_min">VARIABLES!$H$22</definedName>
    <definedName name="Annuity">VARIABLES!$E$65</definedName>
    <definedName name="Annuity_max">VARIABLES!$I$65</definedName>
    <definedName name="Annuity_min">VARIABLES!$H$65</definedName>
    <definedName name="B5_Q">VARIABLES!$E$33</definedName>
    <definedName name="B5_Q_max">VARIABLES!$I$33</definedName>
    <definedName name="B5_Q_min">VARIABLES!$H$33</definedName>
    <definedName name="B5_Ti">VARIABLES!$E$31</definedName>
    <definedName name="B5_Ti_max">VARIABLES!$I$31</definedName>
    <definedName name="B5_Ti_min">VARIABLES!$H$31</definedName>
    <definedName name="B5_To">VARIABLES!$E$32</definedName>
    <definedName name="B5_To_max">VARIABLES!$I$32</definedName>
    <definedName name="B5_To_min">VARIABLES!$H$32</definedName>
    <definedName name="B5Q">VARIABLES!$E$48</definedName>
    <definedName name="B5Q_max">VARIABLES!$I$48</definedName>
    <definedName name="B5Q_min">VARIABLES!$H$48</definedName>
    <definedName name="Captured_CO2">VARIABLES!$E$52</definedName>
    <definedName name="Captured_CO2_max">VARIABLES!$I$52</definedName>
    <definedName name="Captured_CO2_min">VARIABLES!$H$52</definedName>
    <definedName name="Cinv1_MC">VARIABLES!$E$82</definedName>
    <definedName name="Cinv1_MC_max">VARIABLES!$I$82</definedName>
    <definedName name="Cinv1_MC_min">VARIABLES!$H$82</definedName>
    <definedName name="Cinv1_Pump">VARIABLES!$E$72</definedName>
    <definedName name="Cinv1_Pump_max">VARIABLES!$I$72</definedName>
    <definedName name="Cinv1_Pump_min">VARIABLES!$H$72</definedName>
    <definedName name="Cinv2_MC">VARIABLES!$E$83</definedName>
    <definedName name="Cinv2_MC_max">VARIABLES!$I$83</definedName>
    <definedName name="Cinv2_MC_min">VARIABLES!$H$83</definedName>
    <definedName name="Cinv2_Pump">VARIABLES!$E$73</definedName>
    <definedName name="Cinv2_Pump_max">VARIABLES!$I$73</definedName>
    <definedName name="Cinv2_Pump_min">VARIABLES!$H$73</definedName>
    <definedName name="CO2Q1">VARIABLES!$E$44</definedName>
    <definedName name="CO2Q1_max">VARIABLES!$I$44</definedName>
    <definedName name="CO2Q1_min">VARIABLES!$H$44</definedName>
    <definedName name="CO2Q2">VARIABLES!$E$45</definedName>
    <definedName name="CO2Q2_max">VARIABLES!$I$45</definedName>
    <definedName name="CO2Q2_min">VARIABLES!$H$45</definedName>
    <definedName name="CO2Q3">VARIABLES!$E$46</definedName>
    <definedName name="CO2Q3_max">VARIABLES!$I$46</definedName>
    <definedName name="CO2Q3_min">VARIABLES!$H$46</definedName>
    <definedName name="CO2Q4">VARIABLES!$E$47</definedName>
    <definedName name="CO2Q4_max">VARIABLES!$I$47</definedName>
    <definedName name="CO2Q4_min">VARIABLES!$H$47</definedName>
    <definedName name="Cooling_Q">VARIABLES!$E$38</definedName>
    <definedName name="Cooling_Q_max">VARIABLES!$I$38</definedName>
    <definedName name="Cooling_Q_min">VARIABLES!$H$38</definedName>
    <definedName name="CoolingQ">VARIABLES!$E$49</definedName>
    <definedName name="CoolingQ_max">VARIABLES!$I$49</definedName>
    <definedName name="CoolingQ_min">VARIABLES!$H$49</definedName>
    <definedName name="costinv1_MC">VARIABLES!$E$81</definedName>
    <definedName name="costinv1_MC_max">VARIABLES!$I$81</definedName>
    <definedName name="costinv1_MC_min">VARIABLES!$H$81</definedName>
    <definedName name="costinv1_Pump">VARIABLES!$E$71</definedName>
    <definedName name="costinv1_Pump_max">VARIABLES!$I$71</definedName>
    <definedName name="costinv1_Pump_min">VARIABLES!$H$71</definedName>
    <definedName name="costinv2_MC">VARIABLES!$E$80</definedName>
    <definedName name="costinv2_MC_max">VARIABLES!$I$80</definedName>
    <definedName name="costinv2_MC_min">VARIABLES!$H$80</definedName>
    <definedName name="costinv2_Pump">VARIABLES!$E$70</definedName>
    <definedName name="costinv2_Pump_max">VARIABLES!$I$70</definedName>
    <definedName name="costinv2_Pump_min">VARIABLES!$H$70</definedName>
    <definedName name="costMax_MC">VARIABLES!$E$79</definedName>
    <definedName name="costMax_MC_max">VARIABLES!$I$79</definedName>
    <definedName name="costMax_MC_min">VARIABLES!$H$79</definedName>
    <definedName name="costMax_Pump">VARIABLES!$E$69</definedName>
    <definedName name="costMax_Pump_max">VARIABLES!$I$69</definedName>
    <definedName name="costMax_Pump_min">VARIABLES!$H$69</definedName>
    <definedName name="costMin_MC">VARIABLES!$E$78</definedName>
    <definedName name="costMin_MC_max">VARIABLES!$I$78</definedName>
    <definedName name="costMin_MC_min">VARIABLES!$H$78</definedName>
    <definedName name="costMin_Pump">VARIABLES!$E$68</definedName>
    <definedName name="costMin_Pump_max">VARIABLES!$I$68</definedName>
    <definedName name="costMin_Pump_min">VARIABLES!$H$68</definedName>
    <definedName name="CS_material">VARIABLES!$E$64</definedName>
    <definedName name="CS_material_max">VARIABLES!$I$64</definedName>
    <definedName name="CS_material_min">VARIABLES!$H$64</definedName>
    <definedName name="dtmin">VARIABLES!$E$16</definedName>
    <definedName name="dtmin_max">VARIABLES!$I$16</definedName>
    <definedName name="dtmin_min">VARIABLES!$H$16</definedName>
    <definedName name="Elec_grd">VARIABLES!$E$37</definedName>
    <definedName name="Elec_grd_max">VARIABLES!$I$37</definedName>
    <definedName name="Elec_grd_min">VARIABLES!$H$37</definedName>
    <definedName name="Factory_lifetime">VARIABLES!$E$53</definedName>
    <definedName name="Factory_lifetime_max">VARIABLES!$I$53</definedName>
    <definedName name="Factory_lifetime_min">VARIABLES!$H$53</definedName>
    <definedName name="FG_M">VARIABLES!$E$18</definedName>
    <definedName name="FG_M_max">VARIABLES!$I$18</definedName>
    <definedName name="FG_M_min">VARIABLES!$H$18</definedName>
    <definedName name="Fmax_MC">VARIABLES!$E$77</definedName>
    <definedName name="Fmax_MC_max">VARIABLES!$I$77</definedName>
    <definedName name="Fmax_MC_min">VARIABLES!$H$77</definedName>
    <definedName name="Fmax_Pump">VARIABLES!$E$67</definedName>
    <definedName name="Fmax_Pump_max">VARIABLES!$I$67</definedName>
    <definedName name="Fmax_Pump_min">VARIABLES!$H$67</definedName>
    <definedName name="Fmax_Pump_unit">VARIABLES!$E$75</definedName>
    <definedName name="Fmax_Pump_unit_max">VARIABLES!$I$75</definedName>
    <definedName name="Fmax_Pump_unit_min">VARIABLES!$H$75</definedName>
    <definedName name="Fmin_MC">VARIABLES!$E$76</definedName>
    <definedName name="Fmin_MC_max">VARIABLES!$I$76</definedName>
    <definedName name="Fmin_MC_min">VARIABLES!$H$76</definedName>
    <definedName name="Fmin_Pump">VARIABLES!$E$66</definedName>
    <definedName name="Fmin_Pump_max">VARIABLES!$I$66</definedName>
    <definedName name="Fmin_Pump_min">VARIABLES!$H$66</definedName>
    <definedName name="Fmin_Pump_unit">VARIABLES!$E$74</definedName>
    <definedName name="Fmin_Pump_unit_max">VARIABLES!$I$74</definedName>
    <definedName name="Fmin_Pump_unit_min">VARIABLES!$H$74</definedName>
    <definedName name="Grd_Serp_M">VARIABLES!$E$35</definedName>
    <definedName name="Grd_Serp_M_max">VARIABLES!$I$35</definedName>
    <definedName name="Grd_Serp_M_min">VARIABLES!$H$35</definedName>
    <definedName name="H3_Q">VARIABLES!$E$41</definedName>
    <definedName name="H3_Q_max">VARIABLES!$I$41</definedName>
    <definedName name="H3_Q_min">VARIABLES!$H$41</definedName>
    <definedName name="H3_Ti">VARIABLES!$E$39</definedName>
    <definedName name="H3_Ti_max">VARIABLES!$I$39</definedName>
    <definedName name="H3_Ti_min">VARIABLES!$H$39</definedName>
    <definedName name="H3_To">VARIABLES!$E$40</definedName>
    <definedName name="H3_To_max">VARIABLES!$I$40</definedName>
    <definedName name="H3_To_min">VARIABLES!$H$40</definedName>
    <definedName name="H3Q">VARIABLES!$E$50</definedName>
    <definedName name="H3Q_max">VARIABLES!$I$50</definedName>
    <definedName name="H3Q_min">VARIABLES!$H$50</definedName>
    <definedName name="i">VARIABLES!$E$61</definedName>
    <definedName name="i_max">VARIABLES!$I$61</definedName>
    <definedName name="i_min">VARIABLES!$H$61</definedName>
    <definedName name="Magnetite_M">VARIABLES!$E$36</definedName>
    <definedName name="Magnetite_M_max">VARIABLES!$I$36</definedName>
    <definedName name="Magnetite_M_min">VARIABLES!$H$36</definedName>
    <definedName name="Mass_max_MC">VARIABLES!$E$55</definedName>
    <definedName name="Mass_max_MC_max">VARIABLES!$I$55</definedName>
    <definedName name="Mass_max_MC_min">VARIABLES!$H$55</definedName>
    <definedName name="Mass_max_Pump">VARIABLES!$E$58</definedName>
    <definedName name="Mass_max_Pump_max">VARIABLES!$I$58</definedName>
    <definedName name="Mass_max_Pump_min">VARIABLES!$H$58</definedName>
    <definedName name="Mass_min_MC">VARIABLES!$E$54</definedName>
    <definedName name="Mass_min_MC_max">VARIABLES!$I$54</definedName>
    <definedName name="Mass_min_MC_min">VARIABLES!$H$54</definedName>
    <definedName name="Mass_min_Pump">VARIABLES!$E$57</definedName>
    <definedName name="Mass_min_Pump_max">VARIABLES!$I$57</definedName>
    <definedName name="Mass_min_Pump_min">VARIABLES!$H$57</definedName>
    <definedName name="MC_S1_Ti">VARIABLES!$E$23</definedName>
    <definedName name="MC_S1_Ti_max">VARIABLES!$I$23</definedName>
    <definedName name="MC_S1_Ti_min">VARIABLES!$H$23</definedName>
    <definedName name="MC_S1_To">VARIABLES!$E$24</definedName>
    <definedName name="MC_S1_To_max">VARIABLES!$I$24</definedName>
    <definedName name="MC_S1_To_min">VARIABLES!$H$24</definedName>
    <definedName name="MC_S2_Ti">VARIABLES!$E$25</definedName>
    <definedName name="MC_S2_Ti_max">VARIABLES!$I$25</definedName>
    <definedName name="MC_S2_Ti_min">VARIABLES!$H$25</definedName>
    <definedName name="MC_S2_To">VARIABLES!$E$26</definedName>
    <definedName name="MC_S2_To_max">VARIABLES!$I$26</definedName>
    <definedName name="MC_S2_To_min">VARIABLES!$H$26</definedName>
    <definedName name="MC_S3_Ti">VARIABLES!$E$27</definedName>
    <definedName name="MC_S3_Ti_max">VARIABLES!$I$27</definedName>
    <definedName name="MC_S3_Ti_min">VARIABLES!$H$27</definedName>
    <definedName name="MC_S3_To">VARIABLES!$E$28</definedName>
    <definedName name="MC_S3_To_max">VARIABLES!$I$28</definedName>
    <definedName name="MC_S3_To_min">VARIABLES!$H$28</definedName>
    <definedName name="MC_S4_Ti">VARIABLES!$E$29</definedName>
    <definedName name="MC_S4_Ti_max">VARIABLES!$I$29</definedName>
    <definedName name="MC_S4_Ti_min">VARIABLES!$H$29</definedName>
    <definedName name="MC_S4_To">VARIABLES!$E$30</definedName>
    <definedName name="MC_S4_To_max">VARIABLES!$I$30</definedName>
    <definedName name="MC_S4_To_min">VARIABLES!$H$30</definedName>
    <definedName name="MC_W">VARIABLES!$E$17</definedName>
    <definedName name="MC_W_max">VARIABLES!$I$17</definedName>
    <definedName name="MC_W_min">VARIABLES!$H$17</definedName>
    <definedName name="MCW">VARIABLES!$E$43</definedName>
    <definedName name="MCW_max">VARIABLES!$I$43</definedName>
    <definedName name="MCW_min">VARIABLES!$H$43</definedName>
    <definedName name="n">VARIABLES!$E$62</definedName>
    <definedName name="n_max">VARIABLES!$I$62</definedName>
    <definedName name="n_min">VARIABLES!$H$62</definedName>
    <definedName name="Op_hours">VARIABLES!$E$63</definedName>
    <definedName name="Op_hours_max">VARIABLES!$I$63</definedName>
    <definedName name="Op_hours_min">VARIABLES!$H$63</definedName>
    <definedName name="Pump_P">VARIABLES!$E$56</definedName>
    <definedName name="Pump_P_max">VARIABLES!$I$56</definedName>
    <definedName name="Pump_P_min">VARIABLES!$H$56</definedName>
    <definedName name="Pump_Serp">VARIABLES!$E$42</definedName>
    <definedName name="Pump_Serp_max">VARIABLES!$I$42</definedName>
    <definedName name="Pump_Serp_min">VARIABLES!$H$42</definedName>
    <definedName name="PumpSerp">VARIABLES!$E$51</definedName>
    <definedName name="PumpSerp_max">VARIABLES!$I$51</definedName>
    <definedName name="PumpSerp_min">VARIABLES!$H$51</definedName>
    <definedName name="Scaling_max_Pump">VARIABLES!$E$60</definedName>
    <definedName name="Scaling_max_Pump_max">VARIABLES!$I$60</definedName>
    <definedName name="Scaling_max_Pump_min">VARIABLES!$H$60</definedName>
    <definedName name="Scaling_min_Pump">VARIABLES!$E$59</definedName>
    <definedName name="Scaling_min_Pump_max">VARIABLES!$I$59</definedName>
    <definedName name="Scaling_min_Pump_min">VARIABLES!$H$59</definedName>
    <definedName name="Serp_M">VARIABLES!$E$34</definedName>
    <definedName name="Serp_M_max">VARIABLES!$I$34</definedName>
    <definedName name="Serp_M_min">VARIABLES!$H$34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15" roundtripDataChecksum="bNxJkgama/kYeBi4o0J15qkHQT9g9UA3B49WFr4NTgI="/>
    </ext>
  </extLst>
</workbook>
</file>

<file path=xl/calcChain.xml><?xml version="1.0" encoding="utf-8"?>
<calcChain xmlns="http://schemas.openxmlformats.org/spreadsheetml/2006/main">
  <c r="A31" i="23" l="1"/>
  <c r="A30" i="23"/>
  <c r="A29" i="23"/>
  <c r="A28" i="23"/>
  <c r="A27" i="23"/>
  <c r="A26" i="23"/>
  <c r="A25" i="23"/>
  <c r="A24" i="23"/>
  <c r="A23" i="23"/>
  <c r="A22" i="23"/>
  <c r="A21" i="23"/>
  <c r="A20" i="23"/>
  <c r="A19" i="23"/>
  <c r="A12" i="23"/>
  <c r="A10" i="23"/>
  <c r="A8" i="23"/>
  <c r="A7" i="23"/>
  <c r="K27" i="5"/>
  <c r="K26" i="5"/>
  <c r="K25" i="5"/>
  <c r="K24" i="5"/>
  <c r="B12" i="2"/>
  <c r="D16" i="5"/>
  <c r="D15" i="5"/>
  <c r="M25" i="22"/>
  <c r="M26" i="22"/>
  <c r="M24" i="22"/>
  <c r="D16" i="22"/>
  <c r="D15" i="22"/>
  <c r="O25" i="22"/>
  <c r="O26" i="22"/>
  <c r="O24" i="22"/>
  <c r="I25" i="22"/>
  <c r="I24" i="22"/>
  <c r="G26" i="22"/>
  <c r="E26" i="22"/>
  <c r="E25" i="22"/>
  <c r="E24" i="22"/>
  <c r="C26" i="22"/>
  <c r="C25" i="22"/>
  <c r="C24" i="22"/>
  <c r="D17" i="22"/>
  <c r="D18" i="21"/>
  <c r="D17" i="21"/>
  <c r="D16" i="21"/>
  <c r="D15" i="21"/>
  <c r="K26" i="22" l="1"/>
  <c r="K24" i="22"/>
  <c r="K25" i="22"/>
  <c r="M25" i="5"/>
  <c r="M26" i="5"/>
  <c r="M27" i="5"/>
  <c r="M24" i="5"/>
  <c r="O25" i="5"/>
  <c r="O26" i="5"/>
  <c r="O27" i="5"/>
  <c r="O24" i="5"/>
  <c r="E27" i="5"/>
  <c r="E26" i="5"/>
  <c r="E25" i="5"/>
  <c r="E24" i="5"/>
  <c r="C27" i="5"/>
  <c r="C26" i="5"/>
  <c r="C25" i="5"/>
  <c r="C24" i="5"/>
  <c r="E75" i="4" l="1"/>
  <c r="E74" i="4"/>
  <c r="E65" i="4"/>
  <c r="E51" i="4"/>
  <c r="E67" i="4" s="1"/>
  <c r="E50" i="4"/>
  <c r="E49" i="4"/>
  <c r="E48" i="4"/>
  <c r="E47" i="4"/>
  <c r="I27" i="5" s="1"/>
  <c r="E46" i="4"/>
  <c r="I26" i="5" s="1"/>
  <c r="E45" i="4"/>
  <c r="I25" i="5" s="1"/>
  <c r="E44" i="4"/>
  <c r="I24" i="5" s="1"/>
  <c r="E43" i="4"/>
  <c r="E77" i="4" l="1"/>
  <c r="D17" i="5"/>
  <c r="E66" i="4"/>
  <c r="E70" i="4" s="1"/>
  <c r="E73" i="4" s="1"/>
  <c r="E76" i="4"/>
  <c r="E80" i="4" l="1"/>
  <c r="E83" i="4" s="1"/>
  <c r="E71" i="4"/>
  <c r="E72" i="4" s="1"/>
  <c r="E81" i="4" l="1"/>
  <c r="E82"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tc={66B0DA9C-CD10-479F-96A9-D9F2742637D0}</author>
  </authors>
  <commentList>
    <comment ref="E6" authorId="0" shapeId="0" xr:uid="{66B0DA9C-CD10-479F-96A9-D9F2742637D0}">
      <text>
        <t>[Threaded comment]
Your version of Excel allows you to read this threaded comment; however, any edits to it will get removed if the file is opened in a newer version of Excel. Learn more: https://go.microsoft.com/fwlink/?linkid=870924
Comment:
    Not cooled down because mineralization process happen at 155°C, should be heated up (might be negligeable)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tc={F46A705C-64BE-4C63-925A-E1EC239728BB}</author>
    <author>tc={FCDA3523-1C0A-47F7-8C00-FDE403B742A5}</author>
    <author>tc={90372705-B7B5-43D1-8D36-B909547CFAFE}</author>
  </authors>
  <commentList>
    <comment ref="C56" authorId="0" shapeId="0" xr:uid="{F46A705C-64BE-4C63-925A-E1EC239728BB}">
      <text>
        <t>[Threaded comment]
Your version of Excel allows you to read this threaded comment; however, any edits to it will get removed if the file is opened in a newer version of Excel. Learn more: https://go.microsoft.com/fwlink/?linkid=870924
Comment:
    Previously pump power in barg ?</t>
      </text>
    </comment>
    <comment ref="A68" authorId="1" shapeId="0" xr:uid="{FCDA3523-1C0A-47F7-8C00-FDE403B742A5}">
      <text>
        <t>[Threaded comment]
Your version of Excel allows you to read this threaded comment; however, any edits to it will get removed if the file is opened in a newer version of Excel. Learn more: https://go.microsoft.com/fwlink/?linkid=870924
Comment:
    Cost computed with functions in lua file</t>
      </text>
    </comment>
    <comment ref="A78" authorId="2" shapeId="0" xr:uid="{90372705-B7B5-43D1-8D36-B909547CFAFE}">
      <text>
        <t>[Threaded comment]
Your version of Excel allows you to read this threaded comment; however, any edits to it will get removed if the file is opened in a newer version of Excel. Learn more: https://go.microsoft.com/fwlink/?linkid=870924
Comment:
    Cost computed with functions in lua file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tc={E3F9AA0B-21E5-45F0-8970-B0B1FBE26F42}</author>
  </authors>
  <commentList>
    <comment ref="K24" authorId="0" shapeId="0" xr:uid="{E3F9AA0B-21E5-45F0-8970-B0B1FBE26F42}">
      <text>
        <t>[Threaded comment]
Your version of Excel allows you to read this threaded comment; however, any edits to it will get removed if the file is opened in a newer version of Excel. Learn more: https://go.microsoft.com/fwlink/?linkid=870924
Comment:
    Computed from Q = m*cp*dT</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tc={715DD242-9DE3-496E-8458-F1BE89B3BCE4}</author>
  </authors>
  <commentList>
    <comment ref="K24" authorId="0" shapeId="0" xr:uid="{715DD242-9DE3-496E-8458-F1BE89B3BCE4}">
      <text>
        <t>[Threaded comment]
Your version of Excel allows you to read this threaded comment; however, any edits to it will get removed if the file is opened in a newer version of Excel. Learn more: https://go.microsoft.com/fwlink/?linkid=870924
Comment:
    Computed from Q=m*cp*dT</t>
      </text>
    </comment>
  </commentList>
</comments>
</file>

<file path=xl/sharedStrings.xml><?xml version="1.0" encoding="utf-8"?>
<sst xmlns="http://schemas.openxmlformats.org/spreadsheetml/2006/main" count="1329" uniqueCount="502">
  <si>
    <t>PURPOSE</t>
  </si>
  <si>
    <t>This document has been developed under the IETS Task XXIV: Process Integration for Industrial Decarbonization, as part of Activity 1: Specifications, Ontologies, and Procedures. It provides a standardized template for documenting and sharing ex-ante process and energy systems models. This template is intended to provide a structured, standardized format for documenting and sharing models in a way that supports collaboration, validation, and transparent reuse across the IETS community.</t>
  </si>
  <si>
    <t>CONNECTORS</t>
  </si>
  <si>
    <t>VARIABLES</t>
  </si>
  <si>
    <t>Variables are the core elements used to specify connectors and define the transformations taking place within units. Through these variables, the behavior of process and energy technologies is quantitatively described. The variables can can either have a default value that is assigned to them or they can be calculated by a mathematical operation. The type of variables that are proposed are, context, literature, measured and decision variables. The distinction between the types are explained further in the respective tab.</t>
  </si>
  <si>
    <t>UNITS</t>
  </si>
  <si>
    <t>A representative name for the model</t>
  </si>
  <si>
    <t>Daniel Florez-Orrego, Oktay Boztas</t>
  </si>
  <si>
    <t>Open</t>
  </si>
  <si>
    <t>The creation date of the model</t>
  </si>
  <si>
    <t>GRAY-BOX</t>
  </si>
  <si>
    <t>Softwares that are used during the development of the model</t>
  </si>
  <si>
    <t>URL</t>
  </si>
  <si>
    <t>The date of the last modification to the model</t>
  </si>
  <si>
    <t>Keywords can be assigned to enable structured categorization of the models</t>
  </si>
  <si>
    <t>DESCRIPTION</t>
  </si>
  <si>
    <t>EXTERNAL CONNECTORS</t>
  </si>
  <si>
    <t>NAME (ALIAS)</t>
  </si>
  <si>
    <t>TYPE</t>
  </si>
  <si>
    <t>PHYSICAL UNIT</t>
  </si>
  <si>
    <t>TEMPERATURE</t>
  </si>
  <si>
    <t>TEMPERATURE UNIT</t>
  </si>
  <si>
    <t>PRESSURE</t>
  </si>
  <si>
    <t>PRESSURE UNIT</t>
  </si>
  <si>
    <t>VAPOR FRACTION [MASS]</t>
  </si>
  <si>
    <t>PHASE</t>
  </si>
  <si>
    <t>COMPOSITION [MOLE/MASS]</t>
  </si>
  <si>
    <t>-</t>
  </si>
  <si>
    <t>INTERNAL CONNECTORS</t>
  </si>
  <si>
    <t>VARIABLE TYPES</t>
  </si>
  <si>
    <r>
      <rPr>
        <b/>
        <sz val="11"/>
        <color theme="1"/>
        <rFont val="Calibri"/>
        <family val="2"/>
      </rPr>
      <t>Context:</t>
    </r>
    <r>
      <rPr>
        <sz val="11"/>
        <color theme="1"/>
        <rFont val="Calibri"/>
        <family val="2"/>
      </rPr>
      <t xml:space="preserve"> These variables are defined at a higher level and refer to local conditions (e.g., ambient temperature and pressure), economic factors (e.g., specific costs), or energy-related parameters.</t>
    </r>
  </si>
  <si>
    <r>
      <rPr>
        <b/>
        <sz val="11"/>
        <color theme="1"/>
        <rFont val="Calibri"/>
        <family val="2"/>
      </rPr>
      <t xml:space="preserve">Literature: </t>
    </r>
    <r>
      <rPr>
        <sz val="11"/>
        <color theme="1"/>
        <rFont val="Calibri"/>
        <family val="2"/>
      </rPr>
      <t>These variables are defined from the literature sources. They include physical constants, reported efficiencies or other variables that are not measured but assumed from literature sources.</t>
    </r>
  </si>
  <si>
    <r>
      <rPr>
        <b/>
        <sz val="11"/>
        <color theme="1"/>
        <rFont val="Calibri"/>
        <family val="2"/>
      </rPr>
      <t>Measured:</t>
    </r>
    <r>
      <rPr>
        <sz val="11"/>
        <color theme="1"/>
        <rFont val="Calibri"/>
        <family val="2"/>
      </rPr>
      <t xml:space="preserve"> These variables are directly measured directly in the industrial or technological system.</t>
    </r>
  </si>
  <si>
    <r>
      <rPr>
        <b/>
        <sz val="11"/>
        <color theme="1"/>
        <rFont val="Calibri"/>
        <family val="2"/>
      </rPr>
      <t>Decision:</t>
    </r>
    <r>
      <rPr>
        <sz val="11"/>
        <color theme="1"/>
        <rFont val="Calibri"/>
        <family val="2"/>
      </rPr>
      <t xml:space="preserve"> These variable are set by the engineers to as degrees of freedom to evaluate their impact on the performance of the energy system</t>
    </r>
  </si>
  <si>
    <t>USER GRADE</t>
  </si>
  <si>
    <r>
      <rPr>
        <b/>
        <sz val="11"/>
        <color theme="1"/>
        <rFont val="Calibri"/>
        <family val="2"/>
      </rPr>
      <t xml:space="preserve">Mandatory: </t>
    </r>
    <r>
      <rPr>
        <sz val="11"/>
        <color theme="1"/>
        <rFont val="Calibri"/>
        <family val="2"/>
      </rPr>
      <t>The user of the model is expected to assign a default value to the variable.</t>
    </r>
  </si>
  <si>
    <r>
      <rPr>
        <b/>
        <sz val="11"/>
        <color theme="1"/>
        <rFont val="Calibri"/>
        <family val="2"/>
      </rPr>
      <t xml:space="preserve">Optional: </t>
    </r>
    <r>
      <rPr>
        <sz val="11"/>
        <color theme="1"/>
        <rFont val="Calibri"/>
        <family val="2"/>
      </rPr>
      <t>Experienced users can modify the default value.</t>
    </r>
  </si>
  <si>
    <r>
      <rPr>
        <b/>
        <sz val="11"/>
        <color theme="1"/>
        <rFont val="Calibri"/>
        <family val="2"/>
      </rPr>
      <t xml:space="preserve">Private: </t>
    </r>
    <r>
      <rPr>
        <sz val="11"/>
        <color theme="1"/>
        <rFont val="Calibri"/>
        <family val="2"/>
      </rPr>
      <t>Decided by the model developer, and users are not allowed to change the default value.</t>
    </r>
  </si>
  <si>
    <t>DIRECTION</t>
  </si>
  <si>
    <t>VALUE</t>
  </si>
  <si>
    <t>HEAT STREAMS</t>
  </si>
  <si>
    <t>EQUIPMENTS</t>
  </si>
  <si>
    <t>The fixed and variable operating costs includes manpower, fixed cost of operation, taxes etc.</t>
  </si>
  <si>
    <t>TRL</t>
  </si>
  <si>
    <t>EQUIPMENTS DESCRIPTION</t>
  </si>
  <si>
    <t>OPERATING COST DESCRIPTION</t>
  </si>
  <si>
    <t>UNIT DESCRIPTION</t>
  </si>
  <si>
    <t>CONNECTORS DESCRIPTION</t>
  </si>
  <si>
    <t>UNIT NAME</t>
  </si>
  <si>
    <t>MAXIMUM CAPACITY MULT</t>
  </si>
  <si>
    <t>MINIMUM CAPACITY MULT</t>
  </si>
  <si>
    <t>HEAT CASCADE</t>
  </si>
  <si>
    <t>NAME</t>
  </si>
  <si>
    <t>PARAMS</t>
  </si>
  <si>
    <t>FIXED OPERATING COST [EUR/y]</t>
  </si>
  <si>
    <t>VARIABLE OPERATING COST [EUR/h]</t>
  </si>
  <si>
    <t>HEAT STREAMS DESCRIPTION</t>
  </si>
  <si>
    <t>The variable operating cost is calculated by multiplying the specific operating cost [EUR/kWh or EUR/kg] and reference capacity [kW or kg/h]</t>
  </si>
  <si>
    <t>Fetch the intensive properties from the connectors tab</t>
  </si>
  <si>
    <t>The declared connectors within the units can be a mix of external and internal connectors</t>
  </si>
  <si>
    <t>FULL NAME</t>
  </si>
  <si>
    <t>MIN BOUND</t>
  </si>
  <si>
    <t>MAX BOUND</t>
  </si>
  <si>
    <t>LATEX SYNTAX</t>
  </si>
  <si>
    <t>Precheck that each of these internal connectors has at least one in and one out within a model.</t>
  </si>
  <si>
    <t>External connectors should be defined in a global database that documents the physical units and the quality of the connectors to be used for models integration</t>
  </si>
  <si>
    <t>MODEL UID</t>
  </si>
  <si>
    <t>MODEL NAME</t>
  </si>
  <si>
    <t>AUTHORS AND CONTRIBUTORS</t>
  </si>
  <si>
    <t>VERSION</t>
  </si>
  <si>
    <t>CONFIDENTIALITY</t>
  </si>
  <si>
    <t>CREATION DATE</t>
  </si>
  <si>
    <t>REFERENCES</t>
  </si>
  <si>
    <t>GRADE</t>
  </si>
  <si>
    <t>SOFTWARE</t>
  </si>
  <si>
    <t>LAST UPDATED</t>
  </si>
  <si>
    <t>KEYWORDS</t>
  </si>
  <si>
    <t>REFERENCE CAPACITY 
(MAIN PRODUCT/FEEDSTOCK)</t>
  </si>
  <si>
    <t>DOI</t>
  </si>
  <si>
    <t>BLOCK FLOW DIAGRAM ( .png or .svg)</t>
  </si>
  <si>
    <t>CONTACT INFO</t>
  </si>
  <si>
    <t>daniel.florezorrego@epfl.ch, oktay.boztas@epfl.ch</t>
  </si>
  <si>
    <t>MAIN RELATED PUBLICATION</t>
  </si>
  <si>
    <t>MODEL STATUS</t>
  </si>
  <si>
    <t>Maintained</t>
  </si>
  <si>
    <t>SUPPLEMENTARY MATERIAL</t>
  </si>
  <si>
    <t>AUTHORS</t>
  </si>
  <si>
    <t>SIZE</t>
  </si>
  <si>
    <t>FORMAT</t>
  </si>
  <si>
    <t>LIST OF SUPPLEMENTARY MATERIAL</t>
  </si>
  <si>
    <t>No.</t>
  </si>
  <si>
    <t>DATE</t>
  </si>
  <si>
    <t>COMMENTS</t>
  </si>
  <si>
    <t>CONTRIBUTOR</t>
  </si>
  <si>
    <t>1.0.1</t>
  </si>
  <si>
    <t>Original file</t>
  </si>
  <si>
    <t>PARAMETER</t>
  </si>
  <si>
    <t>See SUPPL MATERIAL tab</t>
  </si>
  <si>
    <t>VARIABLE NAME</t>
  </si>
  <si>
    <t>SOFTWARE FILE</t>
  </si>
  <si>
    <t>UID</t>
  </si>
  <si>
    <t>Metadata is important for model documentation and versioning, as well as for authorship and supplementary material indexation</t>
  </si>
  <si>
    <t>SHARING LAYER</t>
  </si>
  <si>
    <t>SUBTYPE</t>
  </si>
  <si>
    <t>REFERENCE</t>
  </si>
  <si>
    <t>INLET TEMPERATURE UNIT</t>
  </si>
  <si>
    <t>OUTLET TEMPERATURE UNIT</t>
  </si>
  <si>
    <t>OUTLET ENTHALPY FLOW UNIT</t>
  </si>
  <si>
    <t>SPEC HEAT CAP UNIT</t>
  </si>
  <si>
    <t>INLET TEMPERATURE VALUE</t>
  </si>
  <si>
    <t>OUTLET TEMPERATURE VALUE</t>
  </si>
  <si>
    <t>INLET ENTHALPY FLOW VALUE</t>
  </si>
  <si>
    <t>INLET ENTHALPY FLOW UNIT</t>
  </si>
  <si>
    <t>OUTLET ENTHALPY FLOW VALUE</t>
  </si>
  <si>
    <t>SPEC HEAT CAP VALUE</t>
  </si>
  <si>
    <t>MASS FLOW VALUE</t>
  </si>
  <si>
    <t>MASS FLOW UNIT</t>
  </si>
  <si>
    <t>DTMIN CONTR VALUE</t>
  </si>
  <si>
    <t>DTMIN CONTR UNIT</t>
  </si>
  <si>
    <t>HEAT TRANSFER COEF VALUE</t>
  </si>
  <si>
    <t>HEAT TRANSFER COEF UNIT</t>
  </si>
  <si>
    <t>REFERENCE STREAM</t>
  </si>
  <si>
    <t>Obtain investment from equipments cost database, which already provides the application range</t>
  </si>
  <si>
    <t>METADATA</t>
  </si>
  <si>
    <t>The metadata section includes essential metadata about the model. The information provided ensures clear classification, proper attribution, and traceability by capturing key details about the model’s identity, origin, and context.</t>
  </si>
  <si>
    <t>Interconnections between processes and energy technologies are established via connectors, which serve as structured representations of mass, electricity, and heat flows. They are analogous to pipelines that is mediating the exchange of flows at the boundaries of units. They can be categorised as:
- External connectors in case they are realizing an exchange between the unit and technosphere or environment. Example to external connectors are feedstock, product, waste or emission flows.
- Internal connectors, which represent exchanges occurring between subprocesses, where the flows remain within the boundaries of the overall process.</t>
  </si>
  <si>
    <t>Units are blocks that represent the transformations occurring within a defined boundary of a process or energy technology. These transformations are expressed through connector. Units may have material flows, electricity consumption or supply, and heat demand or supply, represented by hot and cold heat streams. Units are considered to be linearly scalable within a defined capacity range during MILP optimization, specified by minimum and maximum multipliers. The units are defined for a reference capacity.</t>
  </si>
  <si>
    <t>Digital object identifier of the model</t>
  </si>
  <si>
    <t>Description of the model for discoverability and overview</t>
  </si>
  <si>
    <t>List of supplementary material of the model</t>
  </si>
  <si>
    <t>Keeps a clear version history</t>
  </si>
  <si>
    <t>The level of sensitivity can be indicated as open, restricted, confidential</t>
  </si>
  <si>
    <t>Authors and contributors to the development of the model with their affiliated organizations.</t>
  </si>
  <si>
    <t>Contact information of the authors and contributors</t>
  </si>
  <si>
    <t>Maintained or Archived model</t>
  </si>
  <si>
    <t>The sharing layer is the extent of detail adopted for the model at certain time</t>
  </si>
  <si>
    <t>Black-box for static or surrogate models, Gray-box for partly adjustable models, and White-box for models with flowsheet</t>
  </si>
  <si>
    <t>The reference capacity of the model can be defined based on the main product</t>
  </si>
  <si>
    <t>Technology readiness level of the model. The minimum TRL corresponds to the minimum level considering the model units</t>
  </si>
  <si>
    <t>Link to the main related publication(s) to the model</t>
  </si>
  <si>
    <t>References used during the model development can be provided in a .bib file</t>
  </si>
  <si>
    <t>Physycal file of the model (if available), otherwise, N.A.</t>
  </si>
  <si>
    <t>Graphical representation of the block flow diagram of the model</t>
  </si>
  <si>
    <t>Link to the repository where the model is alternatively stored</t>
  </si>
  <si>
    <r>
      <rPr>
        <b/>
        <sz val="11"/>
        <color theme="1"/>
        <rFont val="Calibri"/>
        <family val="2"/>
        <scheme val="minor"/>
      </rPr>
      <t>Calculated</t>
    </r>
    <r>
      <rPr>
        <sz val="11"/>
        <color theme="1"/>
        <rFont val="Calibri"/>
        <family val="2"/>
        <scheme val="minor"/>
      </rPr>
      <t>: These are derived variables, calculated based on the previous types of variables and are considered as dependent variables</t>
    </r>
  </si>
  <si>
    <t>TEMPERATURE VALUE</t>
  </si>
  <si>
    <t>PRESSURE VALUE</t>
  </si>
  <si>
    <t>FLOW VALUE</t>
  </si>
  <si>
    <t>FLOW UNIT</t>
  </si>
  <si>
    <t>UNIT</t>
  </si>
  <si>
    <t>Compare Fmin and Fmax to define if it scalable of fixed, if fixed Fmin=Fmax=Fmult</t>
  </si>
  <si>
    <t>FORMULA OR PATH</t>
  </si>
  <si>
    <t>DEFAULT VALUE</t>
  </si>
  <si>
    <t>None</t>
  </si>
  <si>
    <t>Serpantine pretreatment for direct carbonation</t>
  </si>
  <si>
    <t>Mouhannad Abou Daher; Dareen Dardor</t>
  </si>
  <si>
    <t>Mineralization process: Serpantine mineral pretreatment</t>
  </si>
  <si>
    <t>Mineralization, CO2, Serpantine, CCS</t>
  </si>
  <si>
    <t>$C_{inv2,MC}$</t>
  </si>
  <si>
    <t>MANDATORY</t>
  </si>
  <si>
    <t>CONTEXT</t>
  </si>
  <si>
    <t>Cinv2_MC</t>
  </si>
  <si>
    <t>$C_{inv1,MC}$</t>
  </si>
  <si>
    <t>Cinv1_MC</t>
  </si>
  <si>
    <t>$cost_{inv1,MC}$</t>
  </si>
  <si>
    <t>costinv1_MC</t>
  </si>
  <si>
    <t>$cost_{inv2,MC}$</t>
  </si>
  <si>
    <t>costinv2_MC</t>
  </si>
  <si>
    <t>$cost_{max,MC}$</t>
  </si>
  <si>
    <t>costMax_MC</t>
  </si>
  <si>
    <t>$cost_{min,MC}$</t>
  </si>
  <si>
    <t>costMin_MC</t>
  </si>
  <si>
    <t>$F_{max,MC}$</t>
  </si>
  <si>
    <t>kW</t>
  </si>
  <si>
    <t>Fmax_MC</t>
  </si>
  <si>
    <t>$F_{min,MC}$</t>
  </si>
  <si>
    <t>Fmin_MC</t>
  </si>
  <si>
    <t>$F_{max,Pump,unit}$</t>
  </si>
  <si>
    <t>Maximum flow rate per pump unit</t>
  </si>
  <si>
    <t>Fmax_Pump_unit</t>
  </si>
  <si>
    <t>$F_{min,Pump,unit}$</t>
  </si>
  <si>
    <t>Minimum flow rate per pump unit</t>
  </si>
  <si>
    <t>Fmin_Pump_unit</t>
  </si>
  <si>
    <t>$C_{inv2,Pump}$</t>
  </si>
  <si>
    <t>Second investment cost coefficient for pump (alternative form)</t>
  </si>
  <si>
    <t>Cinv2_Pump</t>
  </si>
  <si>
    <t>$C_{inv1,Pump}$</t>
  </si>
  <si>
    <t>First investment cost coefficient for pump (alternative form)</t>
  </si>
  <si>
    <t>Cinv1_Pump</t>
  </si>
  <si>
    <t>$cost_{inv1,Pump}$</t>
  </si>
  <si>
    <t>First investment cost coefficient for pump</t>
  </si>
  <si>
    <t>costinv1_Pump</t>
  </si>
  <si>
    <t>$cost_{inv2,Pump}$</t>
  </si>
  <si>
    <t>Second investment cost coefficient for pump</t>
  </si>
  <si>
    <t>costinv2_Pump</t>
  </si>
  <si>
    <t>$cost_{max,Pump}$</t>
  </si>
  <si>
    <t>Maximum pump cost</t>
  </si>
  <si>
    <t>costMax_Pump</t>
  </si>
  <si>
    <t>$cost_{min,Pump}$</t>
  </si>
  <si>
    <t>Minimum pump cost</t>
  </si>
  <si>
    <t>costMin_Pump</t>
  </si>
  <si>
    <t>$F_{max,Pump}$</t>
  </si>
  <si>
    <t>Maximum pump flow rate</t>
  </si>
  <si>
    <t>Fmax_Pump</t>
  </si>
  <si>
    <t>$F_{min,Pump}$</t>
  </si>
  <si>
    <t>Minimum pump flow rate</t>
  </si>
  <si>
    <t>Fmin_Pump</t>
  </si>
  <si>
    <t>$Annuity$</t>
  </si>
  <si>
    <t>Annuity (annualization factor)</t>
  </si>
  <si>
    <t>Annuity</t>
  </si>
  <si>
    <t>$CS_{material}$</t>
  </si>
  <si>
    <t>CS</t>
  </si>
  <si>
    <t>Cost scaling factor for material</t>
  </si>
  <si>
    <t>CS_material</t>
  </si>
  <si>
    <t>$Op_{hours}$</t>
  </si>
  <si>
    <t>h</t>
  </si>
  <si>
    <t>Operating hours per year</t>
  </si>
  <si>
    <t>Op_hours</t>
  </si>
  <si>
    <t>$n$</t>
  </si>
  <si>
    <t>Number of years (project lifetime)</t>
  </si>
  <si>
    <t>n</t>
  </si>
  <si>
    <t>$i$</t>
  </si>
  <si>
    <t>Interest rate</t>
  </si>
  <si>
    <t>i</t>
  </si>
  <si>
    <t>$Scaling_{max,Pump}$</t>
  </si>
  <si>
    <t>Maximum pump scaling factor</t>
  </si>
  <si>
    <t>Scaling_max_Pump</t>
  </si>
  <si>
    <t>$Scaling_{min,Pump}$</t>
  </si>
  <si>
    <t>Minimum pump scaling factor</t>
  </si>
  <si>
    <t>Scaling_min_Pump</t>
  </si>
  <si>
    <t>$Mass_{max,Pump}$</t>
  </si>
  <si>
    <t>t/h</t>
  </si>
  <si>
    <t>Maximum pump mass</t>
  </si>
  <si>
    <t>Mass_max_Pump</t>
  </si>
  <si>
    <t>$Mass_{min,Pump}$</t>
  </si>
  <si>
    <t>Minimum pump mass</t>
  </si>
  <si>
    <t>Mass_min_Pump</t>
  </si>
  <si>
    <t>$Pump_P$</t>
  </si>
  <si>
    <t>Pump_P</t>
  </si>
  <si>
    <t>$Mass_{max,MC}$</t>
  </si>
  <si>
    <t>kg/h</t>
  </si>
  <si>
    <t>Mass_max_MC</t>
  </si>
  <si>
    <t>$Mass_{min,MC}$</t>
  </si>
  <si>
    <t>Mass_min_MC</t>
  </si>
  <si>
    <t>$Factory_{lifetime}$</t>
  </si>
  <si>
    <t>Factory lifetime</t>
  </si>
  <si>
    <t>Factory_lifetime</t>
  </si>
  <si>
    <t xml:space="preserve"> reference CO2 mineralization capacity 1 t/h</t>
  </si>
  <si>
    <t>$Captured_{CO2}$</t>
  </si>
  <si>
    <t>Captured CO₂ mass flow or amount</t>
  </si>
  <si>
    <t>Captured_CO2</t>
  </si>
  <si>
    <t>$Pump_{Serp}$</t>
  </si>
  <si>
    <t>kWh/t</t>
  </si>
  <si>
    <t>Normalized serpentine pumping power consumption</t>
  </si>
  <si>
    <t>PumpSerp</t>
  </si>
  <si>
    <t>$H3_Q$</t>
  </si>
  <si>
    <t>Normalized serpentine preheating duty</t>
  </si>
  <si>
    <t>H3Q</t>
  </si>
  <si>
    <t>$Cooling_Q$</t>
  </si>
  <si>
    <t>Normalized serpentine cooling duty</t>
  </si>
  <si>
    <t>CoolingQ</t>
  </si>
  <si>
    <t>$B5_Q$</t>
  </si>
  <si>
    <t>Normalized serpentine activation energy</t>
  </si>
  <si>
    <t>B5Q</t>
  </si>
  <si>
    <t>$CO2_{Q4}$</t>
  </si>
  <si>
    <t>Normalized cooling duty per ton of CO2 mineralized</t>
  </si>
  <si>
    <t>CO2Q4</t>
  </si>
  <si>
    <t>$CO2_{Q3}$</t>
  </si>
  <si>
    <t>CO2Q3</t>
  </si>
  <si>
    <t>$CO2_{Q2}$</t>
  </si>
  <si>
    <t>CO2Q2</t>
  </si>
  <si>
    <t>$CO2_{Q1}$</t>
  </si>
  <si>
    <t>Normalized CO2 cooling duty per ton of CO2 mineralized</t>
  </si>
  <si>
    <t>CO2Q1</t>
  </si>
  <si>
    <t>$MC_W$</t>
  </si>
  <si>
    <t>Normalized compression power per ton of CO2 mineralized</t>
  </si>
  <si>
    <t>MCW</t>
  </si>
  <si>
    <t>Serpentine pumping power consumption</t>
  </si>
  <si>
    <t>Pump_Serp</t>
  </si>
  <si>
    <t>Serpentine preheating duty</t>
  </si>
  <si>
    <t>H3_Q</t>
  </si>
  <si>
    <t>$H3_{To}$</t>
  </si>
  <si>
    <t>Serpentine preheating outlet temperature</t>
  </si>
  <si>
    <t>H3_To</t>
  </si>
  <si>
    <t>$H3_{Ti}$</t>
  </si>
  <si>
    <t>Serpentine preheating inlet temperature</t>
  </si>
  <si>
    <t>H3_Ti</t>
  </si>
  <si>
    <t>Serpentine cooling duty</t>
  </si>
  <si>
    <t>Cooling_Q</t>
  </si>
  <si>
    <t>$Serp_M$</t>
  </si>
  <si>
    <t>Serpentine mass flowrate</t>
  </si>
  <si>
    <t>Serp_M</t>
  </si>
  <si>
    <t>Serpentine activation energy</t>
  </si>
  <si>
    <t>B5_Q</t>
  </si>
  <si>
    <t>$B5_{To}$</t>
  </si>
  <si>
    <t>Serpentine pretreatment outlet temperature</t>
  </si>
  <si>
    <t>B5_To</t>
  </si>
  <si>
    <t>$B5_{Ti}$</t>
  </si>
  <si>
    <t>Serpentine pretreatment inlet temperature</t>
  </si>
  <si>
    <t>B5_Ti</t>
  </si>
  <si>
    <t>$MC_{S4,To}$</t>
  </si>
  <si>
    <t>Temperature outlet intercooling stage 4</t>
  </si>
  <si>
    <t>MC_S4_To</t>
  </si>
  <si>
    <t>$MC_{S4,Ti}$</t>
  </si>
  <si>
    <t>Temperature inlet intercooling stage 4</t>
  </si>
  <si>
    <t>MC_S4_Ti</t>
  </si>
  <si>
    <t>$MC_{S3,To}$</t>
  </si>
  <si>
    <t>Temperature outlet intercooling stage 3</t>
  </si>
  <si>
    <t>MC_S3_To</t>
  </si>
  <si>
    <t>$MC_{S3,Ti}$</t>
  </si>
  <si>
    <t>Temperature inlet intercooling stage 3</t>
  </si>
  <si>
    <t>MC_S3_Ti</t>
  </si>
  <si>
    <t>$MC_{S2,To}$</t>
  </si>
  <si>
    <t>Temperature outlet intercooling stage 2</t>
  </si>
  <si>
    <t>MC_S2_To</t>
  </si>
  <si>
    <t>$MC_{S2,Ti}$</t>
  </si>
  <si>
    <t>Temperature inlet intercooling stage 2</t>
  </si>
  <si>
    <t>MC_S2_Ti</t>
  </si>
  <si>
    <t>$MC_{S1,To}$</t>
  </si>
  <si>
    <t>Temperature outlet intercooling stage 1</t>
  </si>
  <si>
    <t>MC_S1_To</t>
  </si>
  <si>
    <t>$MC_{S1,Ti}$</t>
  </si>
  <si>
    <t>Temperature inlet intercooling stage 1</t>
  </si>
  <si>
    <t>MC_S1_Ti</t>
  </si>
  <si>
    <t>$Air_{Q4}$</t>
  </si>
  <si>
    <t>Multistage cooling duty (stage 4)</t>
  </si>
  <si>
    <t>Air_Q4</t>
  </si>
  <si>
    <t>$Air_{Q3}$</t>
  </si>
  <si>
    <t>Multistage cooling duty (stage 3)</t>
  </si>
  <si>
    <t>Air_Q3</t>
  </si>
  <si>
    <t>$Air_{Q2}$</t>
  </si>
  <si>
    <t>Multistage cooling duty (stage 2)</t>
  </si>
  <si>
    <t>Air_Q2</t>
  </si>
  <si>
    <t>$Air_{Q1}$</t>
  </si>
  <si>
    <t>Multistage cooling duty (stage 1)</t>
  </si>
  <si>
    <t>Air_Q1</t>
  </si>
  <si>
    <t>$FG_M$</t>
  </si>
  <si>
    <t>Mass flow rate of the CO2 in flue gas mass</t>
  </si>
  <si>
    <t>FG_M</t>
  </si>
  <si>
    <t>Power consumption in the multistage compression system</t>
  </si>
  <si>
    <t>MC_W</t>
  </si>
  <si>
    <t>$ΔT_{min}$</t>
  </si>
  <si>
    <t>Minimum temperature difference contribution of the pretreatment streams</t>
  </si>
  <si>
    <t>dtmin</t>
  </si>
  <si>
    <t>ELECTRICITY</t>
  </si>
  <si>
    <t>MASS</t>
  </si>
  <si>
    <t>PreT_Serp</t>
  </si>
  <si>
    <t>Magnetite</t>
  </si>
  <si>
    <t>Grd_Serp</t>
  </si>
  <si>
    <t>Serp</t>
  </si>
  <si>
    <t>CO2_Min</t>
  </si>
  <si>
    <t>CO2</t>
  </si>
  <si>
    <t>OUT</t>
  </si>
  <si>
    <t>IN</t>
  </si>
  <si>
    <t>Hot</t>
  </si>
  <si>
    <t>Stage4</t>
  </si>
  <si>
    <t>Cold</t>
  </si>
  <si>
    <t>Stage3</t>
  </si>
  <si>
    <t>Stage2</t>
  </si>
  <si>
    <t>Stage1</t>
  </si>
  <si>
    <t>in</t>
  </si>
  <si>
    <t>out</t>
  </si>
  <si>
    <t>CO2_PreT</t>
  </si>
  <si>
    <t>Grinding</t>
  </si>
  <si>
    <t>Cooling</t>
  </si>
  <si>
    <t>PreT_Q</t>
  </si>
  <si>
    <t>Activation_Q</t>
  </si>
  <si>
    <t>°C</t>
  </si>
  <si>
    <t>bar</t>
  </si>
  <si>
    <t>(V)</t>
  </si>
  <si>
    <t>CO2[1.0]</t>
  </si>
  <si>
    <t>Raw CO2 from source</t>
  </si>
  <si>
    <t>(S)</t>
  </si>
  <si>
    <t>Serpentine[1.0]</t>
  </si>
  <si>
    <t>Raw mined mineral ore</t>
  </si>
  <si>
    <t>Ground mineral (10-38 μm)</t>
  </si>
  <si>
    <t>Fe3O4[1.0]</t>
  </si>
  <si>
    <t>Magnetic byproduct</t>
  </si>
  <si>
    <t>Activated/Preheated ore</t>
  </si>
  <si>
    <t>Total power demand</t>
  </si>
  <si>
    <t>Compressed/heated CO2 for mineralization conditions</t>
  </si>
  <si>
    <t>Elec</t>
  </si>
  <si>
    <t>eur</t>
  </si>
  <si>
    <t>eur/year</t>
  </si>
  <si>
    <t>costMin_Pump-Fmin_Pump*costinv2_Pump</t>
  </si>
  <si>
    <t>Minimum pump flow rate to be used for pump costing</t>
  </si>
  <si>
    <t xml:space="preserve"> Maximum pump cost, to be used for pump costing</t>
  </si>
  <si>
    <t>Minimum flow rate per pump unit to be used for unit sizing</t>
  </si>
  <si>
    <t>Minimum mass of multistage cooling (MC)</t>
  </si>
  <si>
    <t>Maximum mass of multistage cooling (MC)</t>
  </si>
  <si>
    <t>Minimum flow rate through multistage cooling</t>
  </si>
  <si>
    <t>Maximum flow rate through multistage cooling</t>
  </si>
  <si>
    <t>Minimum cost of multistage cooling</t>
  </si>
  <si>
    <t>Maximum cost of multistage cooling</t>
  </si>
  <si>
    <t>Second investment cost coefficient for multistage cooling</t>
  </si>
  <si>
    <t>First investment cost coefficient for multistage cooling</t>
  </si>
  <si>
    <t>(i*(i+1)^n)/((i+1)^n-1)</t>
  </si>
  <si>
    <t>PumpSerp*Mass_min_Pump</t>
  </si>
  <si>
    <t>PumpSerp*Mass_max_Pump</t>
  </si>
  <si>
    <t>(costMax_Pump-costMin_Pump)/(Fmax_Pump-Fmin_Pump)</t>
  </si>
  <si>
    <t>costinv1_Pump*Annuity</t>
  </si>
  <si>
    <t>costinv2_Pump*Annuity</t>
  </si>
  <si>
    <t>Mass_min_Pump*Scaling_min_Pump</t>
  </si>
  <si>
    <t>Mass_max_Pump*Scaling_max_Pump</t>
  </si>
  <si>
    <t>MCW*Mass_min_MC/1000</t>
  </si>
  <si>
    <t>MCW*Mass_max_MC/1000</t>
  </si>
  <si>
    <t>(costMax_MC-costMin_MC)/(Fmax_MC-Fmin_MC)</t>
  </si>
  <si>
    <t>IF(costMin_MC-Fmin_MC*costinv2_MC&lt;0,0,costMin_MC-Fmin_MC*costinv2_MC)</t>
  </si>
  <si>
    <t>costinv1_MC*Annuity</t>
  </si>
  <si>
    <t>costinv2_MC*Annuity</t>
  </si>
  <si>
    <t>MC_W/FG_M</t>
  </si>
  <si>
    <t>Air_Q1/FG_M</t>
  </si>
  <si>
    <t>Air_Q2/FG_M</t>
  </si>
  <si>
    <t>Air_Q3/FG_M</t>
  </si>
  <si>
    <t>Air_Q4/FG_M</t>
  </si>
  <si>
    <t>B5_Q/Serp_M</t>
  </si>
  <si>
    <t>Cooling_Q/Serp_M</t>
  </si>
  <si>
    <t>H3_Q/Serp_M</t>
  </si>
  <si>
    <t>Pump_Serp/Serp_M</t>
  </si>
  <si>
    <t>year</t>
  </si>
  <si>
    <t>Pump change in pressure</t>
  </si>
  <si>
    <t>[1] R. Castro-Amoedo, J. Granacher, M. Abou Daher and F. Marechal, Energy Environ. Sci., 2023, DOI:10.1039/D3EE01803B;
[2] Ostovari et al. (Bardow) - Rock ‘n’ use of CO2: carbon footprint of carbon capture and utilization by mineralization, Sustainable Energy and Fuels, Issue 9, 2020;
[3] Sipila, S. Teir, and R. Zevenhoven, “Carbon dioxide sequestration by mineral carbonationliterature review update 2007</t>
  </si>
  <si>
    <t>Yes</t>
  </si>
  <si>
    <t>No</t>
  </si>
  <si>
    <t>kJ/kgK</t>
  </si>
  <si>
    <t>K</t>
  </si>
  <si>
    <t>kW/m2K</t>
  </si>
  <si>
    <t>DEFAULT</t>
  </si>
  <si>
    <t xml:space="preserve">Multistage cooling duties (stage 1) </t>
  </si>
  <si>
    <t xml:space="preserve">Multistage cooling duties (stage 2) </t>
  </si>
  <si>
    <t xml:space="preserve">Multistage cooling duties (stage 3) </t>
  </si>
  <si>
    <t xml:space="preserve">Multistage cooling duties (stage 4) </t>
  </si>
  <si>
    <t>Multistage compression and intercooling system to bring CO2 from ambient conditions to mineralization pressure (140 bar).</t>
  </si>
  <si>
    <t>Interface points for raw CO2 feed, pressurized CO2 delivery to the reactor, and electrical power supply.</t>
  </si>
  <si>
    <t>Thermal energy removed from the CO2 gas between compression stages to improve efficiency and manage outlet temperatures.</t>
  </si>
  <si>
    <t>Physical hardware including a multistage compressor train and intercooling heat exchangers (Stages 1-4).</t>
  </si>
  <si>
    <t>CO2_Compressor</t>
  </si>
  <si>
    <t>Asset</t>
  </si>
  <si>
    <t>Multistage Compressor</t>
  </si>
  <si>
    <t>@Turton et al.</t>
  </si>
  <si>
    <t>Specific investment cost</t>
  </si>
  <si>
    <t>eur/kW</t>
  </si>
  <si>
    <t>Total power consumption</t>
  </si>
  <si>
    <t>Annualization factor</t>
  </si>
  <si>
    <t>Intercooler_Train</t>
  </si>
  <si>
    <t>Shell &amp; Tube Heat Exchanger</t>
  </si>
  <si>
    <t>@Peters &amp; Timmerhaus</t>
  </si>
  <si>
    <t>Total cooling duty (Q1-Q4)</t>
  </si>
  <si>
    <t>No heat streams.</t>
  </si>
  <si>
    <t>Mechanical size reduction and magnetic separation unit to prepare raw serpentine ore for thermal activation.</t>
  </si>
  <si>
    <t>Stream interfaces for raw mineral feed, ground product, magnetic byproducts, and the electrical power required for milling.</t>
  </si>
  <si>
    <t>Capital assets including a high-energy ball mill for particle size reduction and a magnetic separator for iron removal.</t>
  </si>
  <si>
    <t>Ball_Mill</t>
  </si>
  <si>
    <t>Industrial Ball Mill</t>
  </si>
  <si>
    <t>@Mular et al.</t>
  </si>
  <si>
    <t>Power consumption</t>
  </si>
  <si>
    <t>Mag_Separator</t>
  </si>
  <si>
    <t>Magnetic Drum Separator</t>
  </si>
  <si>
    <t>@Wills' Mineral Proc.</t>
  </si>
  <si>
    <t>eur/(t/h)</t>
  </si>
  <si>
    <t>Mineral feed capacity</t>
  </si>
  <si>
    <t>Serp_PreT</t>
  </si>
  <si>
    <t>Grd_Serp_M</t>
  </si>
  <si>
    <t>Grounded serpentine mass flowrate</t>
  </si>
  <si>
    <t>$GrdSerp_M$</t>
  </si>
  <si>
    <t>Magnetite_M</t>
  </si>
  <si>
    <t>Elec_grd</t>
  </si>
  <si>
    <t>Magnetite mass flow rate</t>
  </si>
  <si>
    <t>Electricity power per ton of serpentine</t>
  </si>
  <si>
    <t>$Magnetite_M$</t>
  </si>
  <si>
    <t>$Elec_{Grd}$</t>
  </si>
  <si>
    <t>Serpentine activation</t>
  </si>
  <si>
    <t>Thermal activation unit (calciner) used to dehydroxylate serpentine at high temperatures (600°C) to maximize chemical reactivity.</t>
  </si>
  <si>
    <t>Interfaces for ground mineral feed, activated mineral discharge, and the electrical power for kiln operation and material handling.</t>
  </si>
  <si>
    <t>High-temperature processing assets including a rotary kiln for activation and a solid-solid heat recovery system.</t>
  </si>
  <si>
    <t>Rotary_Kiln</t>
  </si>
  <si>
    <t>Indirect Calciner</t>
  </si>
  <si>
    <t>@Aspen/Turton</t>
  </si>
  <si>
    <t>Thermal duty (Activation)</t>
  </si>
  <si>
    <t>Solid_Cooler</t>
  </si>
  <si>
    <t>Rotary Cooler</t>
  </si>
  <si>
    <t>Solids throughput</t>
  </si>
  <si>
    <t>There are two cold streams to preheat and activate the serpentine and one hot stream for the cooling of the activated serpentine,</t>
  </si>
  <si>
    <t>1. System Overview</t>
  </si>
  <si>
    <t>2. Unit Descriptions</t>
  </si>
  <si>
    <t>b. Grinding (Mechanical Ore Preparation)</t>
  </si>
  <si>
    <t>c. Serp_PreT (Thermal Activation)</t>
  </si>
  <si>
    <t>3. Economic and Equipment Logic</t>
  </si>
  <si>
    <t>Serpentine preheating before mineralization</t>
  </si>
  <si>
    <t>Figures/Mineralization.svg</t>
  </si>
  <si>
    <t>Mineralization</t>
  </si>
  <si>
    <t>drawio</t>
  </si>
  <si>
    <t>.svg</t>
  </si>
  <si>
    <t>50 kB</t>
  </si>
  <si>
    <t>EPFL IPESE research group</t>
  </si>
  <si>
    <t>The CCS_Serp_PreT model transforms raw feedstocks into reactive components for high-pressure mineralization via two parallel pathways:</t>
  </si>
  <si>
    <t>a) Gaseous Pathway: Compression of $CO_2$ to supercritical states | b) Solid Pathway: Mechanical reduction and thermal activation of Serpentine ore.</t>
  </si>
  <si>
    <t>a. CO2_PreT (Compression &amp; Conditioning)</t>
  </si>
  <si>
    <t>CAPEX is calculated using an Asset-based approach scaled by capacity (CEPCI 2025 basis).</t>
  </si>
  <si>
    <t>• CO2_PreT: Scaled by Multistage Compressor Power (kW) | • Grinding: Scaled by Throughput (t/h) | • Serp_PreT: Scaled by Kiln Thermal Duty (kW).</t>
  </si>
  <si>
    <t>4. Key Model Parameters</t>
  </si>
  <si>
    <t>5. References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</si>
</sst>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9"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b/>
      <sz val="11"/>
      <color rgb="FFFF0000"/>
      <name val="Calibri"/>
      <family val="2"/>
      <scheme val="minor"/>
    </font>
    <font>
      <b/>
      <sz val="11"/>
      <color theme="1"/>
      <name val="Calibri"/>
      <family val="2"/>
    </font>
    <font>
      <sz val="11"/>
      <color theme="1"/>
      <name val="Calibri"/>
      <family val="2"/>
    </font>
    <font>
      <sz val="11"/>
      <color rgb="FF000000"/>
      <name val="Calibri"/>
      <family val="2"/>
    </font>
    <font>
      <b/>
      <sz val="11"/>
      <color rgb="FFFF0000"/>
      <name val="Calibri"/>
      <family val="2"/>
    </font>
    <font>
      <sz val="11"/>
      <color rgb="FF000000"/>
      <name val="Calibri"/>
      <family val="2"/>
      <scheme val="minor"/>
    </font>
    <font>
      <sz val="11"/>
      <color theme="1"/>
      <name val="Calibri"/>
      <family val="2"/>
      <scheme val="minor"/>
    </font>
    <font>
      <sz val="11"/>
      <color theme="1"/>
      <name val="Calibri"/>
      <family val="2"/>
      <scheme val="minor"/>
    </font>
    <font>
      <sz val="8"/>
      <name val="Calibri"/>
      <family val="2"/>
      <scheme val="minor"/>
    </font>
  </fonts>
  <fills count="14">
    <fill>
      <patternFill patternType="none"/>
    </fill>
    <fill>
      <patternFill patternType="gray125"/>
    </fill>
    <fill>
      <patternFill patternType="solid">
        <fgColor rgb="FFBDD6EE"/>
        <bgColor rgb="FFBDD6EE"/>
      </patternFill>
    </fill>
    <fill>
      <patternFill patternType="solid">
        <fgColor theme="0"/>
        <bgColor theme="0"/>
      </patternFill>
    </fill>
    <fill>
      <patternFill patternType="solid">
        <fgColor rgb="FFFFFFFF"/>
        <bgColor rgb="FFFFFFFF"/>
      </patternFill>
    </fill>
    <fill>
      <patternFill patternType="solid">
        <fgColor rgb="FF9CC2E5"/>
        <bgColor rgb="FF9CC2E5"/>
      </patternFill>
    </fill>
    <fill>
      <patternFill patternType="solid">
        <fgColor theme="0"/>
        <bgColor indexed="64"/>
      </patternFill>
    </fill>
    <fill>
      <patternFill patternType="solid">
        <fgColor theme="2"/>
        <bgColor indexed="64"/>
      </patternFill>
    </fill>
    <fill>
      <patternFill patternType="solid">
        <fgColor theme="2"/>
        <bgColor rgb="FFFFFFFF"/>
      </patternFill>
    </fill>
    <fill>
      <patternFill patternType="solid">
        <fgColor theme="5" tint="0.79998168889431442"/>
        <bgColor theme="0"/>
      </patternFill>
    </fill>
    <fill>
      <patternFill patternType="solid">
        <fgColor theme="5" tint="0.79998168889431442"/>
        <bgColor indexed="64"/>
      </patternFill>
    </fill>
    <fill>
      <patternFill patternType="solid">
        <fgColor theme="5" tint="0.79998168889431442"/>
        <bgColor rgb="FFFFFFFF"/>
      </patternFill>
    </fill>
    <fill>
      <patternFill patternType="solid">
        <fgColor theme="5" tint="0.79998168889431442"/>
        <bgColor rgb="FFBDD6EE"/>
      </patternFill>
    </fill>
    <fill>
      <patternFill patternType="solid">
        <fgColor rgb="FFDDEBF7"/>
        <bgColor indexed="64"/>
      </patternFill>
    </fill>
  </fills>
  <borders count="84">
    <border>
      <left/>
      <right/>
      <top/>
      <bottom/>
      <diagonal/>
    </border>
    <border>
      <left style="thin">
        <color rgb="FFFFFFFF"/>
      </left>
      <right style="thin">
        <color rgb="FFFFFFFF"/>
      </right>
      <top style="thin">
        <color rgb="FFFFFFFF"/>
      </top>
      <bottom style="thin">
        <color rgb="FFFFFFFF"/>
      </bottom>
      <diagonal/>
    </border>
    <border>
      <left style="thin">
        <color rgb="FFFFFFFF"/>
      </left>
      <right/>
      <top style="thin">
        <color rgb="FFFFFFFF"/>
      </top>
      <bottom style="thin">
        <color rgb="FFFFFFFF"/>
      </bottom>
      <diagonal/>
    </border>
    <border>
      <left/>
      <right/>
      <top/>
      <bottom/>
      <diagonal/>
    </border>
    <border>
      <left/>
      <right/>
      <top/>
      <bottom/>
      <diagonal/>
    </border>
    <border>
      <left/>
      <right/>
      <top/>
      <bottom/>
      <diagonal/>
    </border>
    <border>
      <left/>
      <right/>
      <top/>
      <bottom/>
      <diagonal/>
    </border>
    <border>
      <left/>
      <right/>
      <top/>
      <bottom/>
      <diagonal/>
    </border>
    <border>
      <left style="medium">
        <color rgb="FFFFFFFF"/>
      </left>
      <right style="medium">
        <color rgb="FFFFFFFF"/>
      </right>
      <top style="medium">
        <color rgb="FFFFFFFF"/>
      </top>
      <bottom style="medium">
        <color rgb="FFFFFFFF"/>
      </bottom>
      <diagonal/>
    </border>
    <border>
      <left style="medium">
        <color rgb="FF000000"/>
      </left>
      <right/>
      <top style="medium">
        <color rgb="FF000000"/>
      </top>
      <bottom/>
      <diagonal/>
    </border>
    <border>
      <left/>
      <right/>
      <top style="medium">
        <color rgb="FF000000"/>
      </top>
      <bottom/>
      <diagonal/>
    </border>
    <border>
      <left style="medium">
        <color rgb="FF000000"/>
      </left>
      <right/>
      <top/>
      <bottom/>
      <diagonal/>
    </border>
    <border>
      <left/>
      <right style="medium">
        <color rgb="FF000000"/>
      </right>
      <top/>
      <bottom/>
      <diagonal/>
    </border>
    <border>
      <left style="thin">
        <color rgb="FFFFFFFF"/>
      </left>
      <right style="thin">
        <color rgb="FFFFFFFF"/>
      </right>
      <top/>
      <bottom style="thin">
        <color rgb="FFFFFFFF"/>
      </bottom>
      <diagonal/>
    </border>
    <border>
      <left/>
      <right/>
      <top/>
      <bottom/>
      <diagonal/>
    </border>
    <border>
      <left/>
      <right/>
      <top/>
      <bottom/>
      <diagonal/>
    </border>
    <border>
      <left/>
      <right style="medium">
        <color rgb="FFFFFFFF"/>
      </right>
      <top/>
      <bottom style="medium">
        <color rgb="FFFFFFFF"/>
      </bottom>
      <diagonal/>
    </border>
    <border>
      <left style="thin">
        <color rgb="FFFFFFFF"/>
      </left>
      <right style="thin">
        <color rgb="FFFFFFFF"/>
      </right>
      <top style="thin">
        <color rgb="FFFFFFFF"/>
      </top>
      <bottom/>
      <diagonal/>
    </border>
    <border>
      <left/>
      <right/>
      <top/>
      <bottom/>
      <diagonal/>
    </border>
    <border>
      <left style="medium">
        <color rgb="FFFFFFFF"/>
      </left>
      <right style="medium">
        <color rgb="FFFFFFFF"/>
      </right>
      <top style="medium">
        <color rgb="FFFFFFFF"/>
      </top>
      <bottom/>
      <diagonal/>
    </border>
    <border>
      <left/>
      <right style="medium">
        <color rgb="FFFFFFFF"/>
      </right>
      <top style="medium">
        <color rgb="FFFFFFFF"/>
      </top>
      <bottom style="medium">
        <color rgb="FFFFFFFF"/>
      </bottom>
      <diagonal/>
    </border>
    <border>
      <left style="thin">
        <color rgb="FFFFFFFF"/>
      </left>
      <right style="thin">
        <color rgb="FFFFFFFF"/>
      </right>
      <top/>
      <bottom/>
      <diagonal/>
    </border>
    <border>
      <left/>
      <right/>
      <top/>
      <bottom/>
      <diagonal/>
    </border>
    <border>
      <left/>
      <right/>
      <top/>
      <bottom/>
      <diagonal/>
    </border>
    <border>
      <left style="medium">
        <color rgb="FFFFFFFF"/>
      </left>
      <right style="medium">
        <color rgb="FFFFFFFF"/>
      </right>
      <top/>
      <bottom style="medium">
        <color rgb="FFFFFFFF"/>
      </bottom>
      <diagonal/>
    </border>
    <border>
      <left style="thin">
        <color rgb="FFFFFFFF"/>
      </left>
      <right/>
      <top style="thin">
        <color rgb="FFFFFFFF"/>
      </top>
      <bottom/>
      <diagonal/>
    </border>
    <border>
      <left/>
      <right/>
      <top style="medium">
        <color rgb="FFFFFFFF"/>
      </top>
      <bottom style="medium">
        <color rgb="FFFFFFFF"/>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rgb="FFFFFFFF"/>
      </left>
      <right style="medium">
        <color rgb="FFFFFFFF"/>
      </right>
      <top/>
      <bottom style="medium">
        <color rgb="FFFFFFFF"/>
      </bottom>
      <diagonal/>
    </border>
    <border>
      <left/>
      <right style="medium">
        <color rgb="FFFFFFFF"/>
      </right>
      <top style="medium">
        <color rgb="FFFFFFFF"/>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right/>
      <top/>
      <bottom/>
      <diagonal/>
    </border>
    <border>
      <left style="medium">
        <color rgb="FFFFFFFF"/>
      </left>
      <right style="medium">
        <color rgb="FFFFFFFF"/>
      </right>
      <top/>
      <bottom style="medium">
        <color rgb="FFFFFFFF"/>
      </bottom>
      <diagonal/>
    </border>
    <border>
      <left style="medium">
        <color rgb="FF000000"/>
      </left>
      <right style="thin">
        <color rgb="FFCCCCCC"/>
      </right>
      <top style="medium">
        <color rgb="FF000000"/>
      </top>
      <bottom style="medium">
        <color rgb="FF000000"/>
      </bottom>
      <diagonal/>
    </border>
    <border>
      <left style="thin">
        <color rgb="FFCCCCCC"/>
      </left>
      <right style="thin">
        <color rgb="FFCCCCCC"/>
      </right>
      <top style="medium">
        <color rgb="FF000000"/>
      </top>
      <bottom style="medium">
        <color rgb="FF000000"/>
      </bottom>
      <diagonal/>
    </border>
    <border>
      <left/>
      <right/>
      <top/>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right/>
      <top/>
      <bottom/>
      <diagonal/>
    </border>
    <border>
      <left style="medium">
        <color rgb="FFFFFFFF"/>
      </left>
      <right style="medium">
        <color rgb="FFFFFFFF"/>
      </right>
      <top style="medium">
        <color rgb="FFFFFFFF"/>
      </top>
      <bottom/>
      <diagonal/>
    </border>
    <border>
      <left style="medium">
        <color rgb="FF000000"/>
      </left>
      <right style="medium">
        <color rgb="FF000000"/>
      </right>
      <top style="medium">
        <color rgb="FF000000"/>
      </top>
      <bottom/>
      <diagonal/>
    </border>
    <border>
      <left style="medium">
        <color indexed="64"/>
      </left>
      <right style="medium">
        <color indexed="64"/>
      </right>
      <top style="medium">
        <color indexed="64"/>
      </top>
      <bottom style="medium">
        <color indexed="64"/>
      </bottom>
      <diagonal/>
    </border>
    <border>
      <left style="medium">
        <color rgb="FF000000"/>
      </left>
      <right style="medium">
        <color rgb="FF000000"/>
      </right>
      <top style="medium">
        <color rgb="FF000000"/>
      </top>
      <bottom style="medium">
        <color indexed="64"/>
      </bottom>
      <diagonal/>
    </border>
    <border>
      <left style="medium">
        <color indexed="64"/>
      </left>
      <right/>
      <top/>
      <bottom/>
      <diagonal/>
    </border>
    <border>
      <left/>
      <right style="medium">
        <color indexed="64"/>
      </right>
      <top/>
      <bottom/>
      <diagonal/>
    </border>
    <border>
      <left/>
      <right/>
      <top style="medium">
        <color rgb="FF000000"/>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rgb="FF000000"/>
      </right>
      <top style="medium">
        <color rgb="FF000000"/>
      </top>
      <bottom style="medium">
        <color indexed="64"/>
      </bottom>
      <diagonal/>
    </border>
    <border>
      <left style="medium">
        <color rgb="FF000000"/>
      </left>
      <right style="thin">
        <color rgb="FFCCCCCC"/>
      </right>
      <top/>
      <bottom/>
      <diagonal/>
    </border>
    <border>
      <left style="thin">
        <color rgb="FFCCCCCC"/>
      </left>
      <right style="thin">
        <color rgb="FFCCCCCC"/>
      </right>
      <top/>
      <bottom/>
      <diagonal/>
    </border>
    <border>
      <left style="thin">
        <color rgb="FFCCCCCC"/>
      </left>
      <right style="thin">
        <color rgb="FFCCCCCC"/>
      </right>
      <top style="medium">
        <color rgb="FF000000"/>
      </top>
      <bottom/>
      <diagonal/>
    </border>
    <border>
      <left style="thin">
        <color rgb="FFCCCCCC"/>
      </left>
      <right/>
      <top style="medium">
        <color rgb="FF000000"/>
      </top>
      <bottom/>
      <diagonal/>
    </border>
    <border>
      <left/>
      <right/>
      <top style="medium">
        <color indexed="64"/>
      </top>
      <bottom/>
      <diagonal/>
    </border>
    <border>
      <left/>
      <right/>
      <top/>
      <bottom style="medium">
        <color indexed="64"/>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rgb="FF000000"/>
      </right>
      <top style="thin">
        <color theme="0" tint="-0.14999847407452621"/>
      </top>
      <bottom style="thin">
        <color theme="0" tint="-0.14999847407452621"/>
      </bottom>
      <diagonal/>
    </border>
    <border>
      <left/>
      <right style="thin">
        <color theme="0" tint="-0.14999847407452621"/>
      </right>
      <top style="thin">
        <color theme="0" tint="-0.14999847407452621"/>
      </top>
      <bottom style="medium">
        <color rgb="FF000000"/>
      </bottom>
      <diagonal/>
    </border>
    <border>
      <left style="thin">
        <color theme="0" tint="-0.14999847407452621"/>
      </left>
      <right style="thin">
        <color theme="0" tint="-0.14999847407452621"/>
      </right>
      <top style="thin">
        <color theme="0" tint="-0.14999847407452621"/>
      </top>
      <bottom style="medium">
        <color rgb="FF000000"/>
      </bottom>
      <diagonal/>
    </border>
    <border>
      <left style="thin">
        <color theme="0" tint="-0.14999847407452621"/>
      </left>
      <right style="medium">
        <color rgb="FF000000"/>
      </right>
      <top style="thin">
        <color theme="0" tint="-0.14999847407452621"/>
      </top>
      <bottom style="medium">
        <color rgb="FF000000"/>
      </bottom>
      <diagonal/>
    </border>
    <border>
      <left/>
      <right style="thin">
        <color theme="0" tint="-0.14999847407452621"/>
      </right>
      <top style="medium">
        <color rgb="FF000000"/>
      </top>
      <bottom style="thin">
        <color theme="0" tint="-0.14999847407452621"/>
      </bottom>
      <diagonal/>
    </border>
    <border>
      <left style="thin">
        <color theme="0" tint="-0.14999847407452621"/>
      </left>
      <right style="thin">
        <color theme="0" tint="-0.14999847407452621"/>
      </right>
      <top style="medium">
        <color rgb="FF000000"/>
      </top>
      <bottom style="thin">
        <color theme="0" tint="-0.14999847407452621"/>
      </bottom>
      <diagonal/>
    </border>
    <border>
      <left style="thin">
        <color theme="0" tint="-0.14999847407452621"/>
      </left>
      <right style="medium">
        <color rgb="FF000000"/>
      </right>
      <top style="medium">
        <color rgb="FF000000"/>
      </top>
      <bottom style="thin">
        <color theme="0" tint="-0.14999847407452621"/>
      </bottom>
      <diagonal/>
    </border>
    <border>
      <left/>
      <right style="thin">
        <color theme="0" tint="-0.14999847407452621"/>
      </right>
      <top style="medium">
        <color rgb="FF000000"/>
      </top>
      <bottom style="medium">
        <color rgb="FF000000"/>
      </bottom>
      <diagonal/>
    </border>
    <border>
      <left style="thin">
        <color theme="0" tint="-0.14999847407452621"/>
      </left>
      <right style="thin">
        <color theme="0" tint="-0.14999847407452621"/>
      </right>
      <top style="medium">
        <color rgb="FF000000"/>
      </top>
      <bottom style="medium">
        <color rgb="FF000000"/>
      </bottom>
      <diagonal/>
    </border>
    <border>
      <left style="thin">
        <color theme="0" tint="-0.14999847407452621"/>
      </left>
      <right style="medium">
        <color rgb="FF000000"/>
      </right>
      <top style="medium">
        <color rgb="FF000000"/>
      </top>
      <bottom style="medium">
        <color rgb="FF000000"/>
      </bottom>
      <diagonal/>
    </border>
    <border>
      <left style="thin">
        <color theme="0" tint="-0.14999847407452621"/>
      </left>
      <right style="medium">
        <color theme="3"/>
      </right>
      <top style="thin">
        <color theme="0" tint="-0.14999847407452621"/>
      </top>
      <bottom style="thin">
        <color theme="0" tint="-0.14999847407452621"/>
      </bottom>
      <diagonal/>
    </border>
    <border>
      <left style="medium">
        <color rgb="FF000000"/>
      </left>
      <right/>
      <top/>
      <bottom style="medium">
        <color indexed="64"/>
      </bottom>
      <diagonal/>
    </border>
    <border>
      <left/>
      <right style="medium">
        <color rgb="FF000000"/>
      </right>
      <top/>
      <bottom style="medium">
        <color indexed="64"/>
      </bottom>
      <diagonal/>
    </border>
    <border>
      <left style="thick">
        <color indexed="64"/>
      </left>
      <right style="thick">
        <color indexed="64"/>
      </right>
      <top style="thick">
        <color indexed="64"/>
      </top>
      <bottom style="thick">
        <color indexed="64"/>
      </bottom>
      <diagonal/>
    </border>
  </borders>
  <cellStyleXfs count="3">
    <xf numFmtId="0" fontId="0" fillId="0" borderId="0"/>
    <xf numFmtId="0" fontId="16" fillId="0" borderId="46"/>
    <xf numFmtId="0" fontId="17" fillId="0" borderId="46"/>
  </cellStyleXfs>
  <cellXfs count="309">
    <xf numFmtId="0" fontId="0" fillId="0" borderId="0" xfId="0"/>
    <xf numFmtId="0" fontId="12" fillId="3" borderId="4" xfId="0" applyFont="1" applyFill="1" applyBorder="1" applyAlignment="1">
      <alignment horizontal="center" vertical="center"/>
    </xf>
    <xf numFmtId="0" fontId="12" fillId="3" borderId="5" xfId="0" applyFont="1" applyFill="1" applyBorder="1" applyAlignment="1">
      <alignment horizontal="left" vertical="center"/>
    </xf>
    <xf numFmtId="0" fontId="12" fillId="3" borderId="7" xfId="0" applyFont="1" applyFill="1" applyBorder="1"/>
    <xf numFmtId="0" fontId="12" fillId="3" borderId="3" xfId="0" applyFont="1" applyFill="1" applyBorder="1"/>
    <xf numFmtId="0" fontId="9" fillId="0" borderId="8" xfId="0" applyFont="1" applyBorder="1"/>
    <xf numFmtId="0" fontId="9" fillId="4" borderId="8" xfId="0" applyFont="1" applyFill="1" applyBorder="1"/>
    <xf numFmtId="0" fontId="11" fillId="4" borderId="8" xfId="0" applyFont="1" applyFill="1" applyBorder="1" applyAlignment="1">
      <alignment horizontal="center"/>
    </xf>
    <xf numFmtId="0" fontId="9" fillId="0" borderId="13" xfId="0" applyFont="1" applyBorder="1"/>
    <xf numFmtId="0" fontId="12" fillId="3" borderId="14" xfId="0" applyFont="1" applyFill="1" applyBorder="1"/>
    <xf numFmtId="0" fontId="12" fillId="3" borderId="15" xfId="0" applyFont="1" applyFill="1" applyBorder="1"/>
    <xf numFmtId="0" fontId="10" fillId="0" borderId="17" xfId="0" applyFont="1" applyBorder="1"/>
    <xf numFmtId="0" fontId="9" fillId="0" borderId="17" xfId="0" applyFont="1" applyBorder="1"/>
    <xf numFmtId="0" fontId="12" fillId="3" borderId="18" xfId="0" applyFont="1" applyFill="1" applyBorder="1"/>
    <xf numFmtId="0" fontId="12" fillId="4" borderId="19" xfId="0" applyFont="1" applyFill="1" applyBorder="1"/>
    <xf numFmtId="0" fontId="9" fillId="4" borderId="20" xfId="0" applyFont="1" applyFill="1" applyBorder="1"/>
    <xf numFmtId="0" fontId="12" fillId="3" borderId="13" xfId="0" applyFont="1" applyFill="1" applyBorder="1"/>
    <xf numFmtId="0" fontId="12" fillId="3" borderId="21" xfId="0" applyFont="1" applyFill="1" applyBorder="1"/>
    <xf numFmtId="0" fontId="12" fillId="3" borderId="17" xfId="0" applyFont="1" applyFill="1" applyBorder="1"/>
    <xf numFmtId="0" fontId="12" fillId="3" borderId="25" xfId="0" applyFont="1" applyFill="1" applyBorder="1"/>
    <xf numFmtId="0" fontId="12" fillId="3" borderId="19" xfId="0" applyFont="1" applyFill="1" applyBorder="1"/>
    <xf numFmtId="0" fontId="9" fillId="0" borderId="19" xfId="0" applyFont="1" applyBorder="1"/>
    <xf numFmtId="0" fontId="9" fillId="4" borderId="19" xfId="0" applyFont="1" applyFill="1" applyBorder="1"/>
    <xf numFmtId="0" fontId="14" fillId="4" borderId="1" xfId="0" applyFont="1" applyFill="1" applyBorder="1" applyAlignment="1">
      <alignment horizontal="left"/>
    </xf>
    <xf numFmtId="0" fontId="12" fillId="4" borderId="1" xfId="0" applyFont="1" applyFill="1" applyBorder="1"/>
    <xf numFmtId="0" fontId="12" fillId="4" borderId="1" xfId="0" applyFont="1" applyFill="1" applyBorder="1" applyAlignment="1">
      <alignment horizontal="left"/>
    </xf>
    <xf numFmtId="0" fontId="9" fillId="4" borderId="1" xfId="0" applyFont="1" applyFill="1" applyBorder="1" applyAlignment="1">
      <alignment horizontal="left"/>
    </xf>
    <xf numFmtId="0" fontId="9" fillId="4" borderId="1" xfId="0" applyFont="1" applyFill="1" applyBorder="1"/>
    <xf numFmtId="0" fontId="10" fillId="4" borderId="1" xfId="0" applyFont="1" applyFill="1" applyBorder="1"/>
    <xf numFmtId="0" fontId="8" fillId="4" borderId="17" xfId="0" applyFont="1" applyFill="1" applyBorder="1"/>
    <xf numFmtId="0" fontId="9" fillId="4" borderId="17" xfId="0" applyFont="1" applyFill="1" applyBorder="1"/>
    <xf numFmtId="0" fontId="12" fillId="4" borderId="17" xfId="0" applyFont="1" applyFill="1" applyBorder="1"/>
    <xf numFmtId="0" fontId="8" fillId="4" borderId="1" xfId="0" applyFont="1" applyFill="1" applyBorder="1"/>
    <xf numFmtId="0" fontId="12" fillId="4" borderId="30" xfId="0" applyFont="1" applyFill="1" applyBorder="1" applyAlignment="1">
      <alignment horizontal="center"/>
    </xf>
    <xf numFmtId="0" fontId="12" fillId="4" borderId="24" xfId="0" applyFont="1" applyFill="1" applyBorder="1" applyAlignment="1">
      <alignment horizontal="center"/>
    </xf>
    <xf numFmtId="0" fontId="12" fillId="4" borderId="31" xfId="0" applyFont="1" applyFill="1" applyBorder="1" applyAlignment="1">
      <alignment horizontal="center"/>
    </xf>
    <xf numFmtId="0" fontId="12" fillId="4" borderId="19" xfId="0" applyFont="1" applyFill="1" applyBorder="1" applyAlignment="1">
      <alignment horizontal="center"/>
    </xf>
    <xf numFmtId="0" fontId="14" fillId="4" borderId="20" xfId="0" applyFont="1" applyFill="1" applyBorder="1" applyAlignment="1">
      <alignment horizontal="left"/>
    </xf>
    <xf numFmtId="0" fontId="12" fillId="4" borderId="8" xfId="0" applyFont="1" applyFill="1" applyBorder="1" applyAlignment="1">
      <alignment horizontal="center"/>
    </xf>
    <xf numFmtId="0" fontId="11" fillId="4" borderId="19" xfId="0" applyFont="1" applyFill="1" applyBorder="1" applyAlignment="1">
      <alignment horizontal="center" vertical="center" wrapText="1"/>
    </xf>
    <xf numFmtId="0" fontId="12" fillId="3" borderId="8" xfId="0" applyFont="1" applyFill="1" applyBorder="1" applyAlignment="1">
      <alignment horizontal="center"/>
    </xf>
    <xf numFmtId="0" fontId="14" fillId="3" borderId="8" xfId="0" applyFont="1" applyFill="1" applyBorder="1" applyAlignment="1">
      <alignment horizontal="left"/>
    </xf>
    <xf numFmtId="0" fontId="11" fillId="4" borderId="0" xfId="0" applyFont="1" applyFill="1" applyAlignment="1">
      <alignment horizontal="center"/>
    </xf>
    <xf numFmtId="0" fontId="12" fillId="3" borderId="6" xfId="0" applyFont="1" applyFill="1" applyBorder="1" applyAlignment="1">
      <alignment horizontal="center"/>
    </xf>
    <xf numFmtId="0" fontId="14" fillId="3" borderId="6" xfId="0" applyFont="1" applyFill="1" applyBorder="1" applyAlignment="1">
      <alignment horizontal="left"/>
    </xf>
    <xf numFmtId="0" fontId="12" fillId="3" borderId="5" xfId="0" applyFont="1" applyFill="1" applyBorder="1" applyAlignment="1">
      <alignment horizontal="center"/>
    </xf>
    <xf numFmtId="0" fontId="12" fillId="3" borderId="4" xfId="0" applyFont="1" applyFill="1" applyBorder="1" applyAlignment="1">
      <alignment horizontal="center"/>
    </xf>
    <xf numFmtId="0" fontId="14" fillId="3" borderId="35" xfId="0" quotePrefix="1" applyFont="1" applyFill="1" applyBorder="1" applyAlignment="1">
      <alignment horizontal="left"/>
    </xf>
    <xf numFmtId="0" fontId="12" fillId="3" borderId="35" xfId="0" applyFont="1" applyFill="1" applyBorder="1" applyAlignment="1">
      <alignment horizontal="center"/>
    </xf>
    <xf numFmtId="0" fontId="12" fillId="3" borderId="3" xfId="0" applyFont="1" applyFill="1" applyBorder="1" applyAlignment="1">
      <alignment horizontal="center"/>
    </xf>
    <xf numFmtId="0" fontId="14" fillId="3" borderId="3" xfId="0" applyFont="1" applyFill="1" applyBorder="1" applyAlignment="1">
      <alignment horizontal="left"/>
    </xf>
    <xf numFmtId="0" fontId="14" fillId="3" borderId="24" xfId="0" applyFont="1" applyFill="1" applyBorder="1" applyAlignment="1">
      <alignment horizontal="left" vertical="center"/>
    </xf>
    <xf numFmtId="0" fontId="12" fillId="3" borderId="24" xfId="0" applyFont="1" applyFill="1" applyBorder="1" applyAlignment="1">
      <alignment horizontal="center"/>
    </xf>
    <xf numFmtId="0" fontId="14" fillId="3" borderId="8" xfId="0" quotePrefix="1" applyFont="1" applyFill="1" applyBorder="1" applyAlignment="1">
      <alignment horizontal="left"/>
    </xf>
    <xf numFmtId="0" fontId="14" fillId="3" borderId="8" xfId="0" applyFont="1" applyFill="1" applyBorder="1" applyAlignment="1">
      <alignment horizontal="left" vertical="center"/>
    </xf>
    <xf numFmtId="0" fontId="14" fillId="3" borderId="14" xfId="0" applyFont="1" applyFill="1" applyBorder="1" applyAlignment="1">
      <alignment horizontal="left" vertical="center"/>
    </xf>
    <xf numFmtId="0" fontId="14" fillId="3" borderId="15" xfId="0" applyFont="1" applyFill="1" applyBorder="1" applyAlignment="1">
      <alignment horizontal="left"/>
    </xf>
    <xf numFmtId="0" fontId="12" fillId="3" borderId="15" xfId="0" applyFont="1" applyFill="1" applyBorder="1" applyAlignment="1">
      <alignment horizontal="center"/>
    </xf>
    <xf numFmtId="0" fontId="12" fillId="3" borderId="15" xfId="0" applyFont="1" applyFill="1" applyBorder="1" applyAlignment="1">
      <alignment horizontal="left"/>
    </xf>
    <xf numFmtId="0" fontId="12" fillId="3" borderId="8" xfId="0" applyFont="1" applyFill="1" applyBorder="1" applyAlignment="1">
      <alignment horizontal="center" vertical="center"/>
    </xf>
    <xf numFmtId="0" fontId="12" fillId="3" borderId="16" xfId="0" applyFont="1" applyFill="1" applyBorder="1" applyAlignment="1">
      <alignment horizontal="center" vertical="center"/>
    </xf>
    <xf numFmtId="0" fontId="9" fillId="0" borderId="24" xfId="0" applyFont="1" applyBorder="1"/>
    <xf numFmtId="0" fontId="12" fillId="3" borderId="24" xfId="0" applyFont="1" applyFill="1" applyBorder="1" applyAlignment="1">
      <alignment horizontal="center" vertical="center"/>
    </xf>
    <xf numFmtId="0" fontId="14" fillId="3" borderId="24" xfId="0" applyFont="1" applyFill="1" applyBorder="1" applyAlignment="1">
      <alignment horizontal="left"/>
    </xf>
    <xf numFmtId="0" fontId="12" fillId="3" borderId="36" xfId="0" applyFont="1" applyFill="1" applyBorder="1" applyAlignment="1">
      <alignment horizontal="center"/>
    </xf>
    <xf numFmtId="0" fontId="12" fillId="3" borderId="20" xfId="0" applyFont="1" applyFill="1" applyBorder="1" applyAlignment="1">
      <alignment horizontal="center" vertical="center"/>
    </xf>
    <xf numFmtId="0" fontId="12" fillId="3" borderId="39" xfId="0" applyFont="1" applyFill="1" applyBorder="1" applyAlignment="1">
      <alignment horizontal="center"/>
    </xf>
    <xf numFmtId="0" fontId="14" fillId="3" borderId="5" xfId="0" quotePrefix="1" applyFont="1" applyFill="1" applyBorder="1" applyAlignment="1">
      <alignment horizontal="left"/>
    </xf>
    <xf numFmtId="0" fontId="12" fillId="3" borderId="22" xfId="0" applyFont="1" applyFill="1" applyBorder="1" applyAlignment="1">
      <alignment horizontal="center"/>
    </xf>
    <xf numFmtId="0" fontId="12" fillId="3" borderId="23" xfId="0" applyFont="1" applyFill="1" applyBorder="1" applyAlignment="1">
      <alignment horizontal="center"/>
    </xf>
    <xf numFmtId="0" fontId="14" fillId="3" borderId="14" xfId="0" quotePrefix="1" applyFont="1" applyFill="1" applyBorder="1" applyAlignment="1">
      <alignment horizontal="left"/>
    </xf>
    <xf numFmtId="0" fontId="12" fillId="4" borderId="4" xfId="0" applyFont="1" applyFill="1" applyBorder="1" applyAlignment="1">
      <alignment horizontal="center"/>
    </xf>
    <xf numFmtId="0" fontId="12" fillId="4" borderId="5" xfId="0" applyFont="1" applyFill="1" applyBorder="1" applyAlignment="1">
      <alignment horizontal="center"/>
    </xf>
    <xf numFmtId="0" fontId="12" fillId="4" borderId="3" xfId="0" applyFont="1" applyFill="1" applyBorder="1" applyAlignment="1">
      <alignment horizontal="center"/>
    </xf>
    <xf numFmtId="0" fontId="12" fillId="4" borderId="39" xfId="0" applyFont="1" applyFill="1" applyBorder="1" applyAlignment="1">
      <alignment horizontal="center"/>
    </xf>
    <xf numFmtId="0" fontId="12" fillId="4" borderId="13" xfId="0" applyFont="1" applyFill="1" applyBorder="1" applyAlignment="1">
      <alignment horizontal="center" vertical="center"/>
    </xf>
    <xf numFmtId="0" fontId="12" fillId="4" borderId="16" xfId="0" applyFont="1" applyFill="1" applyBorder="1" applyAlignment="1">
      <alignment horizontal="center" vertical="center"/>
    </xf>
    <xf numFmtId="0" fontId="12" fillId="4" borderId="24" xfId="0" applyFont="1" applyFill="1" applyBorder="1" applyAlignment="1">
      <alignment horizontal="center" vertical="center"/>
    </xf>
    <xf numFmtId="0" fontId="14" fillId="4" borderId="0" xfId="0" applyFont="1" applyFill="1" applyAlignment="1">
      <alignment horizontal="left"/>
    </xf>
    <xf numFmtId="0" fontId="12" fillId="4" borderId="0" xfId="0" applyFont="1" applyFill="1" applyAlignment="1">
      <alignment horizontal="center"/>
    </xf>
    <xf numFmtId="0" fontId="12" fillId="4" borderId="6" xfId="0" applyFont="1" applyFill="1" applyBorder="1" applyAlignment="1">
      <alignment horizontal="center"/>
    </xf>
    <xf numFmtId="0" fontId="12" fillId="4" borderId="36" xfId="0" applyFont="1" applyFill="1" applyBorder="1" applyAlignment="1">
      <alignment horizontal="center"/>
    </xf>
    <xf numFmtId="0" fontId="12" fillId="4" borderId="47" xfId="0" applyFont="1" applyFill="1" applyBorder="1" applyAlignment="1">
      <alignment horizontal="center"/>
    </xf>
    <xf numFmtId="0" fontId="0" fillId="6" borderId="0" xfId="0" applyFill="1"/>
    <xf numFmtId="0" fontId="8" fillId="0" borderId="1" xfId="0" applyFont="1" applyBorder="1" applyAlignment="1">
      <alignment horizontal="left" vertical="top"/>
    </xf>
    <xf numFmtId="0" fontId="12" fillId="3" borderId="46" xfId="0" applyFont="1" applyFill="1" applyBorder="1" applyAlignment="1">
      <alignment horizontal="left" vertical="center"/>
    </xf>
    <xf numFmtId="0" fontId="0" fillId="7" borderId="0" xfId="0" applyFill="1"/>
    <xf numFmtId="0" fontId="11" fillId="4" borderId="19" xfId="0" applyFont="1" applyFill="1" applyBorder="1" applyAlignment="1">
      <alignment horizontal="center" vertical="center"/>
    </xf>
    <xf numFmtId="2" fontId="9" fillId="4" borderId="8" xfId="0" applyNumberFormat="1" applyFont="1" applyFill="1" applyBorder="1"/>
    <xf numFmtId="0" fontId="11" fillId="2" borderId="27" xfId="0" applyFont="1" applyFill="1" applyBorder="1" applyAlignment="1">
      <alignment horizontal="left" vertical="top"/>
    </xf>
    <xf numFmtId="0" fontId="11" fillId="2" borderId="32" xfId="0" applyFont="1" applyFill="1" applyBorder="1" applyAlignment="1">
      <alignment horizontal="left" vertical="top"/>
    </xf>
    <xf numFmtId="0" fontId="11" fillId="2" borderId="33" xfId="0" applyFont="1" applyFill="1" applyBorder="1" applyAlignment="1">
      <alignment horizontal="left" vertical="top" wrapText="1"/>
    </xf>
    <xf numFmtId="0" fontId="11" fillId="2" borderId="34" xfId="0" applyFont="1" applyFill="1" applyBorder="1" applyAlignment="1">
      <alignment horizontal="left" vertical="top" wrapText="1"/>
    </xf>
    <xf numFmtId="0" fontId="11" fillId="2" borderId="28" xfId="0" applyFont="1" applyFill="1" applyBorder="1" applyAlignment="1">
      <alignment horizontal="left" vertical="top"/>
    </xf>
    <xf numFmtId="0" fontId="11" fillId="2" borderId="37" xfId="0" applyFont="1" applyFill="1" applyBorder="1" applyAlignment="1">
      <alignment horizontal="left" vertical="top"/>
    </xf>
    <xf numFmtId="0" fontId="11" fillId="2" borderId="38" xfId="0" applyFont="1" applyFill="1" applyBorder="1" applyAlignment="1">
      <alignment horizontal="left" vertical="top"/>
    </xf>
    <xf numFmtId="0" fontId="11" fillId="2" borderId="41" xfId="0" applyFont="1" applyFill="1" applyBorder="1" applyAlignment="1">
      <alignment horizontal="left" vertical="top"/>
    </xf>
    <xf numFmtId="0" fontId="11" fillId="2" borderId="40" xfId="0" applyFont="1" applyFill="1" applyBorder="1" applyAlignment="1">
      <alignment horizontal="left" vertical="top"/>
    </xf>
    <xf numFmtId="0" fontId="12" fillId="2" borderId="41" xfId="0" applyFont="1" applyFill="1" applyBorder="1" applyAlignment="1">
      <alignment horizontal="left" vertical="top"/>
    </xf>
    <xf numFmtId="0" fontId="11" fillId="2" borderId="9" xfId="0" applyFont="1" applyFill="1" applyBorder="1" applyAlignment="1">
      <alignment horizontal="left" vertical="top"/>
    </xf>
    <xf numFmtId="0" fontId="11" fillId="2" borderId="10" xfId="0" applyFont="1" applyFill="1" applyBorder="1" applyAlignment="1">
      <alignment horizontal="left" vertical="top"/>
    </xf>
    <xf numFmtId="0" fontId="9" fillId="8" borderId="20" xfId="0" applyFont="1" applyFill="1" applyBorder="1"/>
    <xf numFmtId="0" fontId="9" fillId="8" borderId="26" xfId="0" applyFont="1" applyFill="1" applyBorder="1"/>
    <xf numFmtId="0" fontId="11" fillId="2" borderId="42" xfId="0" applyFont="1" applyFill="1" applyBorder="1" applyAlignment="1">
      <alignment horizontal="left" vertical="top"/>
    </xf>
    <xf numFmtId="0" fontId="11" fillId="2" borderId="48" xfId="0" applyFont="1" applyFill="1" applyBorder="1" applyAlignment="1">
      <alignment horizontal="left" vertical="top"/>
    </xf>
    <xf numFmtId="0" fontId="12" fillId="8" borderId="49" xfId="0" applyFont="1" applyFill="1" applyBorder="1" applyAlignment="1">
      <alignment vertical="top" wrapText="1"/>
    </xf>
    <xf numFmtId="0" fontId="11" fillId="2" borderId="50" xfId="0" applyFont="1" applyFill="1" applyBorder="1" applyAlignment="1">
      <alignment horizontal="left" vertical="top"/>
    </xf>
    <xf numFmtId="0" fontId="12" fillId="8" borderId="49" xfId="0" applyFont="1" applyFill="1" applyBorder="1" applyAlignment="1">
      <alignment horizontal="left" vertical="top" wrapText="1"/>
    </xf>
    <xf numFmtId="0" fontId="11" fillId="2" borderId="49" xfId="0" applyFont="1" applyFill="1" applyBorder="1" applyAlignment="1">
      <alignment horizontal="left" vertical="top"/>
    </xf>
    <xf numFmtId="0" fontId="12" fillId="4" borderId="21" xfId="0" applyFont="1" applyFill="1" applyBorder="1" applyAlignment="1">
      <alignment horizontal="center" vertical="center"/>
    </xf>
    <xf numFmtId="0" fontId="12" fillId="2" borderId="28" xfId="0" applyFont="1" applyFill="1" applyBorder="1" applyAlignment="1">
      <alignment horizontal="left" vertical="top"/>
    </xf>
    <xf numFmtId="0" fontId="12" fillId="2" borderId="29" xfId="0" applyFont="1" applyFill="1" applyBorder="1" applyAlignment="1">
      <alignment horizontal="left" vertical="top"/>
    </xf>
    <xf numFmtId="0" fontId="12" fillId="2" borderId="11" xfId="0" applyFont="1" applyFill="1" applyBorder="1" applyAlignment="1">
      <alignment horizontal="left" vertical="top"/>
    </xf>
    <xf numFmtId="0" fontId="12" fillId="2" borderId="46" xfId="0" applyFont="1" applyFill="1" applyBorder="1" applyAlignment="1">
      <alignment horizontal="left" vertical="top"/>
    </xf>
    <xf numFmtId="0" fontId="7" fillId="2" borderId="46" xfId="0" applyFont="1" applyFill="1" applyBorder="1" applyAlignment="1">
      <alignment horizontal="left" vertical="top"/>
    </xf>
    <xf numFmtId="0" fontId="12" fillId="2" borderId="12" xfId="0" applyFont="1" applyFill="1" applyBorder="1" applyAlignment="1">
      <alignment horizontal="left" vertical="top"/>
    </xf>
    <xf numFmtId="0" fontId="11" fillId="2" borderId="54" xfId="0" applyFont="1" applyFill="1" applyBorder="1" applyAlignment="1">
      <alignment horizontal="left" vertical="top"/>
    </xf>
    <xf numFmtId="0" fontId="11" fillId="2" borderId="55" xfId="0" applyFont="1" applyFill="1" applyBorder="1" applyAlignment="1">
      <alignment horizontal="left" vertical="top"/>
    </xf>
    <xf numFmtId="0" fontId="11" fillId="2" borderId="56" xfId="0" applyFont="1" applyFill="1" applyBorder="1" applyAlignment="1">
      <alignment horizontal="left" vertical="top"/>
    </xf>
    <xf numFmtId="0" fontId="0" fillId="6" borderId="52" xfId="0" applyFill="1" applyBorder="1"/>
    <xf numFmtId="0" fontId="11" fillId="2" borderId="57" xfId="0" applyFont="1" applyFill="1" applyBorder="1" applyAlignment="1">
      <alignment horizontal="left" vertical="center"/>
    </xf>
    <xf numFmtId="0" fontId="11" fillId="2" borderId="51" xfId="0" applyFont="1" applyFill="1" applyBorder="1" applyAlignment="1">
      <alignment horizontal="left" vertical="center"/>
    </xf>
    <xf numFmtId="0" fontId="12" fillId="3" borderId="52" xfId="0" applyFont="1" applyFill="1" applyBorder="1" applyAlignment="1">
      <alignment horizontal="right"/>
    </xf>
    <xf numFmtId="164" fontId="12" fillId="3" borderId="52" xfId="0" applyNumberFormat="1" applyFont="1" applyFill="1" applyBorder="1" applyAlignment="1">
      <alignment horizontal="right"/>
    </xf>
    <xf numFmtId="0" fontId="11" fillId="2" borderId="51" xfId="0" applyFont="1" applyFill="1" applyBorder="1" applyAlignment="1">
      <alignment horizontal="left" vertical="center" wrapText="1"/>
    </xf>
    <xf numFmtId="0" fontId="12" fillId="3" borderId="52" xfId="0" applyFont="1" applyFill="1" applyBorder="1" applyAlignment="1">
      <alignment horizontal="right" wrapText="1"/>
    </xf>
    <xf numFmtId="0" fontId="11" fillId="2" borderId="59" xfId="0" applyFont="1" applyFill="1" applyBorder="1" applyAlignment="1">
      <alignment horizontal="left" vertical="center" wrapText="1"/>
    </xf>
    <xf numFmtId="0" fontId="12" fillId="3" borderId="60" xfId="0" applyFont="1" applyFill="1" applyBorder="1" applyAlignment="1">
      <alignment horizontal="right"/>
    </xf>
    <xf numFmtId="0" fontId="11" fillId="2" borderId="54" xfId="0" applyFont="1" applyFill="1" applyBorder="1" applyAlignment="1">
      <alignment vertical="top"/>
    </xf>
    <xf numFmtId="0" fontId="11" fillId="2" borderId="55" xfId="0" applyFont="1" applyFill="1" applyBorder="1" applyAlignment="1">
      <alignment vertical="top"/>
    </xf>
    <xf numFmtId="0" fontId="11" fillId="2" borderId="56" xfId="0" applyFont="1" applyFill="1" applyBorder="1" applyAlignment="1">
      <alignment vertical="top"/>
    </xf>
    <xf numFmtId="0" fontId="11" fillId="2" borderId="53" xfId="0" applyFont="1" applyFill="1" applyBorder="1" applyAlignment="1">
      <alignment horizontal="left" vertical="top"/>
    </xf>
    <xf numFmtId="0" fontId="11" fillId="2" borderId="61" xfId="0" applyFont="1" applyFill="1" applyBorder="1" applyAlignment="1">
      <alignment horizontal="left" vertical="top"/>
    </xf>
    <xf numFmtId="0" fontId="12" fillId="2" borderId="45" xfId="0" applyFont="1" applyFill="1" applyBorder="1" applyAlignment="1">
      <alignment horizontal="left" vertical="top"/>
    </xf>
    <xf numFmtId="0" fontId="9" fillId="2" borderId="2" xfId="0" applyFont="1" applyFill="1" applyBorder="1" applyAlignment="1">
      <alignment vertical="top"/>
    </xf>
    <xf numFmtId="0" fontId="9" fillId="2" borderId="2" xfId="0" applyFont="1" applyFill="1" applyBorder="1" applyAlignment="1" applyProtection="1">
      <alignment vertical="top"/>
      <protection locked="0"/>
    </xf>
    <xf numFmtId="0" fontId="0" fillId="0" borderId="0" xfId="0" applyProtection="1">
      <protection locked="0"/>
    </xf>
    <xf numFmtId="0" fontId="7" fillId="0" borderId="1" xfId="0" applyFont="1" applyBorder="1" applyAlignment="1" applyProtection="1">
      <alignment horizontal="left" vertical="top" wrapText="1"/>
      <protection locked="0"/>
    </xf>
    <xf numFmtId="0" fontId="6" fillId="0" borderId="1" xfId="0" applyFont="1" applyBorder="1" applyAlignment="1" applyProtection="1">
      <alignment horizontal="left" vertical="top" wrapText="1"/>
      <protection locked="0"/>
    </xf>
    <xf numFmtId="0" fontId="7" fillId="6" borderId="0" xfId="0" applyFont="1" applyFill="1" applyAlignment="1">
      <alignment horizontal="left" vertical="center"/>
    </xf>
    <xf numFmtId="0" fontId="5" fillId="6" borderId="0" xfId="0" applyFont="1" applyFill="1" applyAlignment="1">
      <alignment horizontal="left" vertical="center"/>
    </xf>
    <xf numFmtId="0" fontId="5" fillId="4" borderId="1" xfId="0" applyFont="1" applyFill="1" applyBorder="1"/>
    <xf numFmtId="0" fontId="12" fillId="3" borderId="54" xfId="0" applyFont="1" applyFill="1" applyBorder="1" applyAlignment="1">
      <alignment horizontal="right"/>
    </xf>
    <xf numFmtId="0" fontId="12" fillId="2" borderId="44" xfId="0" applyFont="1" applyFill="1" applyBorder="1" applyAlignment="1">
      <alignment horizontal="left" vertical="top"/>
    </xf>
    <xf numFmtId="0" fontId="12" fillId="2" borderId="62" xfId="0" applyFont="1" applyFill="1" applyBorder="1" applyAlignment="1">
      <alignment horizontal="left" vertical="top"/>
    </xf>
    <xf numFmtId="0" fontId="12" fillId="2" borderId="63" xfId="0" applyFont="1" applyFill="1" applyBorder="1" applyAlignment="1">
      <alignment horizontal="left" vertical="top"/>
    </xf>
    <xf numFmtId="0" fontId="12" fillId="2" borderId="64" xfId="0" applyFont="1" applyFill="1" applyBorder="1" applyAlignment="1">
      <alignment horizontal="left" vertical="top"/>
    </xf>
    <xf numFmtId="0" fontId="12" fillId="2" borderId="65" xfId="0" applyFont="1" applyFill="1" applyBorder="1" applyAlignment="1">
      <alignment horizontal="left" vertical="top"/>
    </xf>
    <xf numFmtId="0" fontId="11" fillId="5" borderId="57" xfId="0" applyFont="1" applyFill="1" applyBorder="1" applyAlignment="1">
      <alignment horizontal="left" vertical="top"/>
    </xf>
    <xf numFmtId="0" fontId="11" fillId="5" borderId="58" xfId="0" applyFont="1" applyFill="1" applyBorder="1" applyAlignment="1">
      <alignment horizontal="left" vertical="top"/>
    </xf>
    <xf numFmtId="0" fontId="12" fillId="3" borderId="56" xfId="0" applyFont="1" applyFill="1" applyBorder="1" applyAlignment="1">
      <alignment horizontal="right"/>
    </xf>
    <xf numFmtId="0" fontId="12" fillId="3" borderId="55" xfId="0" applyFont="1" applyFill="1" applyBorder="1" applyAlignment="1">
      <alignment horizontal="right"/>
    </xf>
    <xf numFmtId="0" fontId="12" fillId="3" borderId="46" xfId="0" applyFont="1" applyFill="1" applyBorder="1" applyAlignment="1">
      <alignment horizontal="center"/>
    </xf>
    <xf numFmtId="0" fontId="0" fillId="7" borderId="46" xfId="0" applyFill="1" applyBorder="1"/>
    <xf numFmtId="0" fontId="0" fillId="0" borderId="46" xfId="0" applyBorder="1"/>
    <xf numFmtId="2" fontId="13" fillId="6" borderId="55" xfId="0" applyNumberFormat="1" applyFont="1" applyFill="1" applyBorder="1" applyAlignment="1">
      <alignment horizontal="right"/>
    </xf>
    <xf numFmtId="0" fontId="13" fillId="6" borderId="54" xfId="0" applyFont="1" applyFill="1" applyBorder="1" applyAlignment="1">
      <alignment horizontal="right"/>
    </xf>
    <xf numFmtId="0" fontId="13" fillId="6" borderId="56" xfId="0" applyFont="1" applyFill="1" applyBorder="1" applyAlignment="1">
      <alignment horizontal="right"/>
    </xf>
    <xf numFmtId="0" fontId="12" fillId="2" borderId="43" xfId="0" applyFont="1" applyFill="1" applyBorder="1" applyAlignment="1">
      <alignment horizontal="left" vertical="top"/>
    </xf>
    <xf numFmtId="0" fontId="7" fillId="7" borderId="55" xfId="0" applyFont="1" applyFill="1" applyBorder="1" applyAlignment="1">
      <alignment horizontal="right"/>
    </xf>
    <xf numFmtId="164" fontId="7" fillId="7" borderId="54" xfId="0" applyNumberFormat="1" applyFont="1" applyFill="1" applyBorder="1" applyAlignment="1">
      <alignment horizontal="right"/>
    </xf>
    <xf numFmtId="14" fontId="0" fillId="7" borderId="55" xfId="0" applyNumberFormat="1" applyFill="1" applyBorder="1" applyAlignment="1">
      <alignment horizontal="right"/>
    </xf>
    <xf numFmtId="0" fontId="7" fillId="7" borderId="56" xfId="0" applyFont="1" applyFill="1" applyBorder="1" applyAlignment="1">
      <alignment horizontal="right"/>
    </xf>
    <xf numFmtId="14" fontId="12" fillId="3" borderId="52" xfId="0" applyNumberFormat="1" applyFont="1" applyFill="1" applyBorder="1" applyAlignment="1">
      <alignment horizontal="right"/>
    </xf>
    <xf numFmtId="0" fontId="12" fillId="4" borderId="46" xfId="0" applyFont="1" applyFill="1" applyBorder="1" applyAlignment="1">
      <alignment horizontal="center"/>
    </xf>
    <xf numFmtId="0" fontId="9" fillId="0" borderId="46" xfId="0" applyFont="1" applyBorder="1"/>
    <xf numFmtId="0" fontId="12" fillId="9" borderId="58" xfId="0" applyFont="1" applyFill="1" applyBorder="1" applyAlignment="1">
      <alignment horizontal="right"/>
    </xf>
    <xf numFmtId="0" fontId="0" fillId="10" borderId="52" xfId="0" applyFill="1" applyBorder="1" applyAlignment="1">
      <alignment horizontal="right"/>
    </xf>
    <xf numFmtId="0" fontId="12" fillId="0" borderId="46" xfId="0" applyFont="1" applyBorder="1" applyAlignment="1">
      <alignment horizontal="right"/>
    </xf>
    <xf numFmtId="0" fontId="13" fillId="0" borderId="46" xfId="0" applyFont="1" applyBorder="1" applyAlignment="1">
      <alignment horizontal="right"/>
    </xf>
    <xf numFmtId="0" fontId="4" fillId="0" borderId="46" xfId="0" applyFont="1" applyBorder="1" applyAlignment="1">
      <alignment horizontal="right"/>
    </xf>
    <xf numFmtId="0" fontId="12" fillId="0" borderId="46" xfId="0" quotePrefix="1" applyFont="1" applyBorder="1" applyAlignment="1">
      <alignment horizontal="right"/>
    </xf>
    <xf numFmtId="0" fontId="12" fillId="2" borderId="57" xfId="0" applyFont="1" applyFill="1" applyBorder="1" applyAlignment="1">
      <alignment horizontal="left" vertical="top"/>
    </xf>
    <xf numFmtId="0" fontId="12" fillId="2" borderId="66" xfId="0" applyFont="1" applyFill="1" applyBorder="1" applyAlignment="1">
      <alignment horizontal="left" vertical="top"/>
    </xf>
    <xf numFmtId="0" fontId="7" fillId="2" borderId="66" xfId="0" applyFont="1" applyFill="1" applyBorder="1" applyAlignment="1">
      <alignment horizontal="left" vertical="top"/>
    </xf>
    <xf numFmtId="0" fontId="12" fillId="2" borderId="58" xfId="0" applyFont="1" applyFill="1" applyBorder="1" applyAlignment="1">
      <alignment horizontal="left" vertical="top"/>
    </xf>
    <xf numFmtId="0" fontId="12" fillId="0" borderId="68" xfId="0" applyFont="1" applyBorder="1" applyAlignment="1">
      <alignment horizontal="right"/>
    </xf>
    <xf numFmtId="0" fontId="13" fillId="0" borderId="69" xfId="0" applyFont="1" applyBorder="1" applyAlignment="1">
      <alignment horizontal="right"/>
    </xf>
    <xf numFmtId="0" fontId="12" fillId="0" borderId="69" xfId="0" applyFont="1" applyBorder="1" applyAlignment="1">
      <alignment horizontal="right"/>
    </xf>
    <xf numFmtId="0" fontId="4" fillId="0" borderId="69" xfId="0" applyFont="1" applyBorder="1" applyAlignment="1">
      <alignment horizontal="right"/>
    </xf>
    <xf numFmtId="0" fontId="12" fillId="0" borderId="71" xfId="0" applyFont="1" applyBorder="1" applyAlignment="1">
      <alignment horizontal="right"/>
    </xf>
    <xf numFmtId="0" fontId="13" fillId="0" borderId="72" xfId="0" applyFont="1" applyBorder="1" applyAlignment="1">
      <alignment horizontal="right"/>
    </xf>
    <xf numFmtId="0" fontId="12" fillId="0" borderId="72" xfId="0" applyFont="1" applyBorder="1" applyAlignment="1">
      <alignment horizontal="right"/>
    </xf>
    <xf numFmtId="0" fontId="4" fillId="0" borderId="72" xfId="0" applyFont="1" applyBorder="1" applyAlignment="1">
      <alignment horizontal="right"/>
    </xf>
    <xf numFmtId="0" fontId="12" fillId="0" borderId="74" xfId="0" applyFont="1" applyBorder="1" applyAlignment="1">
      <alignment horizontal="right"/>
    </xf>
    <xf numFmtId="0" fontId="13" fillId="0" borderId="75" xfId="0" applyFont="1" applyBorder="1" applyAlignment="1">
      <alignment horizontal="right"/>
    </xf>
    <xf numFmtId="0" fontId="12" fillId="0" borderId="75" xfId="0" applyFont="1" applyBorder="1" applyAlignment="1">
      <alignment horizontal="right"/>
    </xf>
    <xf numFmtId="0" fontId="4" fillId="0" borderId="75" xfId="0" applyFont="1" applyBorder="1" applyAlignment="1">
      <alignment horizontal="right"/>
    </xf>
    <xf numFmtId="0" fontId="12" fillId="3" borderId="46" xfId="0" applyFont="1" applyFill="1" applyBorder="1"/>
    <xf numFmtId="0" fontId="12" fillId="4" borderId="36" xfId="0" applyFont="1" applyFill="1" applyBorder="1"/>
    <xf numFmtId="0" fontId="9" fillId="4" borderId="36" xfId="0" applyFont="1" applyFill="1" applyBorder="1"/>
    <xf numFmtId="0" fontId="9" fillId="0" borderId="77" xfId="0" applyFont="1" applyBorder="1" applyAlignment="1">
      <alignment horizontal="right"/>
    </xf>
    <xf numFmtId="0" fontId="9" fillId="0" borderId="78" xfId="0" applyFont="1" applyBorder="1" applyAlignment="1">
      <alignment horizontal="right" vertical="center"/>
    </xf>
    <xf numFmtId="0" fontId="12" fillId="0" borderId="78" xfId="0" applyFont="1" applyBorder="1" applyAlignment="1">
      <alignment horizontal="right" vertical="center"/>
    </xf>
    <xf numFmtId="0" fontId="7" fillId="0" borderId="78" xfId="0" applyFont="1" applyBorder="1" applyAlignment="1">
      <alignment horizontal="right" vertical="center"/>
    </xf>
    <xf numFmtId="0" fontId="9" fillId="0" borderId="78" xfId="0" applyFont="1" applyBorder="1" applyAlignment="1">
      <alignment horizontal="right"/>
    </xf>
    <xf numFmtId="0" fontId="12" fillId="0" borderId="79" xfId="0" applyFont="1" applyBorder="1" applyAlignment="1">
      <alignment horizontal="right"/>
    </xf>
    <xf numFmtId="0" fontId="12" fillId="10" borderId="76" xfId="0" quotePrefix="1" applyFont="1" applyFill="1" applyBorder="1" applyAlignment="1">
      <alignment horizontal="right"/>
    </xf>
    <xf numFmtId="0" fontId="12" fillId="10" borderId="70" xfId="0" quotePrefix="1" applyFont="1" applyFill="1" applyBorder="1" applyAlignment="1">
      <alignment horizontal="right"/>
    </xf>
    <xf numFmtId="0" fontId="12" fillId="10" borderId="73" xfId="0" quotePrefix="1" applyFont="1" applyFill="1" applyBorder="1" applyAlignment="1">
      <alignment horizontal="right"/>
    </xf>
    <xf numFmtId="0" fontId="12" fillId="10" borderId="69" xfId="0" applyFont="1" applyFill="1" applyBorder="1" applyAlignment="1">
      <alignment horizontal="right"/>
    </xf>
    <xf numFmtId="0" fontId="7" fillId="0" borderId="68" xfId="0" applyFont="1" applyBorder="1" applyAlignment="1">
      <alignment horizontal="right"/>
    </xf>
    <xf numFmtId="2" fontId="12" fillId="0" borderId="69" xfId="0" applyNumberFormat="1" applyFont="1" applyBorder="1" applyAlignment="1">
      <alignment horizontal="right"/>
    </xf>
    <xf numFmtId="0" fontId="15" fillId="0" borderId="69" xfId="0" applyFont="1" applyBorder="1" applyAlignment="1">
      <alignment horizontal="right"/>
    </xf>
    <xf numFmtId="0" fontId="7" fillId="0" borderId="74" xfId="0" applyFont="1" applyBorder="1" applyAlignment="1">
      <alignment horizontal="right"/>
    </xf>
    <xf numFmtId="2" fontId="12" fillId="0" borderId="75" xfId="0" applyNumberFormat="1" applyFont="1" applyBorder="1" applyAlignment="1">
      <alignment horizontal="right"/>
    </xf>
    <xf numFmtId="0" fontId="15" fillId="0" borderId="75" xfId="0" applyFont="1" applyBorder="1" applyAlignment="1">
      <alignment horizontal="right"/>
    </xf>
    <xf numFmtId="2" fontId="12" fillId="0" borderId="72" xfId="0" applyNumberFormat="1" applyFont="1" applyBorder="1" applyAlignment="1">
      <alignment horizontal="right"/>
    </xf>
    <xf numFmtId="0" fontId="15" fillId="0" borderId="72" xfId="0" applyFont="1" applyBorder="1" applyAlignment="1">
      <alignment horizontal="right"/>
    </xf>
    <xf numFmtId="0" fontId="12" fillId="0" borderId="76" xfId="0" applyFont="1" applyBorder="1" applyAlignment="1">
      <alignment horizontal="right"/>
    </xf>
    <xf numFmtId="0" fontId="12" fillId="0" borderId="70" xfId="0" applyFont="1" applyBorder="1" applyAlignment="1">
      <alignment horizontal="right"/>
    </xf>
    <xf numFmtId="0" fontId="12" fillId="0" borderId="73" xfId="0" applyFont="1" applyBorder="1" applyAlignment="1">
      <alignment horizontal="right"/>
    </xf>
    <xf numFmtId="0" fontId="7" fillId="10" borderId="68" xfId="0" applyFont="1" applyFill="1" applyBorder="1" applyAlignment="1">
      <alignment horizontal="right"/>
    </xf>
    <xf numFmtId="0" fontId="3" fillId="10" borderId="68" xfId="0" applyFont="1" applyFill="1" applyBorder="1" applyAlignment="1">
      <alignment horizontal="right"/>
    </xf>
    <xf numFmtId="2" fontId="12" fillId="10" borderId="69" xfId="0" applyNumberFormat="1" applyFont="1" applyFill="1" applyBorder="1" applyAlignment="1">
      <alignment horizontal="right"/>
    </xf>
    <xf numFmtId="0" fontId="7" fillId="10" borderId="71" xfId="0" applyFont="1" applyFill="1" applyBorder="1" applyAlignment="1">
      <alignment horizontal="right"/>
    </xf>
    <xf numFmtId="2" fontId="12" fillId="10" borderId="72" xfId="0" applyNumberFormat="1" applyFont="1" applyFill="1" applyBorder="1" applyAlignment="1">
      <alignment horizontal="right"/>
    </xf>
    <xf numFmtId="0" fontId="12" fillId="0" borderId="80" xfId="0" applyFont="1" applyBorder="1" applyAlignment="1">
      <alignment horizontal="right"/>
    </xf>
    <xf numFmtId="2" fontId="12" fillId="10" borderId="75" xfId="0" applyNumberFormat="1" applyFont="1" applyFill="1" applyBorder="1" applyAlignment="1">
      <alignment horizontal="right"/>
    </xf>
    <xf numFmtId="0" fontId="12" fillId="10" borderId="75" xfId="0" applyFont="1" applyFill="1" applyBorder="1" applyAlignment="1">
      <alignment horizontal="right"/>
    </xf>
    <xf numFmtId="0" fontId="12" fillId="10" borderId="72" xfId="0" applyFont="1" applyFill="1" applyBorder="1" applyAlignment="1">
      <alignment horizontal="right"/>
    </xf>
    <xf numFmtId="0" fontId="12" fillId="9" borderId="52" xfId="0" applyFont="1" applyFill="1" applyBorder="1" applyAlignment="1">
      <alignment horizontal="right" wrapText="1"/>
    </xf>
    <xf numFmtId="0" fontId="12" fillId="3" borderId="46" xfId="0" applyFont="1" applyFill="1" applyBorder="1" applyAlignment="1">
      <alignment horizontal="center" vertical="center"/>
    </xf>
    <xf numFmtId="0" fontId="9" fillId="0" borderId="68" xfId="0" applyFont="1" applyBorder="1" applyAlignment="1">
      <alignment horizontal="right"/>
    </xf>
    <xf numFmtId="2" fontId="9" fillId="0" borderId="69" xfId="0" applyNumberFormat="1" applyFont="1" applyBorder="1" applyAlignment="1">
      <alignment horizontal="right"/>
    </xf>
    <xf numFmtId="0" fontId="9" fillId="0" borderId="69" xfId="0" applyFont="1" applyBorder="1" applyAlignment="1">
      <alignment horizontal="right"/>
    </xf>
    <xf numFmtId="0" fontId="6" fillId="0" borderId="69" xfId="0" applyFont="1" applyBorder="1" applyAlignment="1">
      <alignment horizontal="right"/>
    </xf>
    <xf numFmtId="0" fontId="9" fillId="0" borderId="74" xfId="0" applyFont="1" applyBorder="1" applyAlignment="1">
      <alignment horizontal="right"/>
    </xf>
    <xf numFmtId="2" fontId="9" fillId="0" borderId="75" xfId="0" applyNumberFormat="1" applyFont="1" applyBorder="1" applyAlignment="1">
      <alignment horizontal="right"/>
    </xf>
    <xf numFmtId="0" fontId="9" fillId="0" borderId="75" xfId="0" applyFont="1" applyBorder="1" applyAlignment="1">
      <alignment horizontal="right"/>
    </xf>
    <xf numFmtId="0" fontId="6" fillId="0" borderId="75" xfId="0" applyFont="1" applyBorder="1" applyAlignment="1">
      <alignment horizontal="right"/>
    </xf>
    <xf numFmtId="2" fontId="9" fillId="0" borderId="72" xfId="0" applyNumberFormat="1" applyFont="1" applyBorder="1" applyAlignment="1">
      <alignment horizontal="right"/>
    </xf>
    <xf numFmtId="0" fontId="9" fillId="0" borderId="72" xfId="0" applyFont="1" applyBorder="1" applyAlignment="1">
      <alignment horizontal="right"/>
    </xf>
    <xf numFmtId="0" fontId="6" fillId="0" borderId="72" xfId="0" applyFont="1" applyBorder="1" applyAlignment="1">
      <alignment horizontal="right"/>
    </xf>
    <xf numFmtId="0" fontId="12" fillId="0" borderId="68" xfId="0" applyFont="1" applyBorder="1" applyAlignment="1">
      <alignment horizontal="right" vertical="top"/>
    </xf>
    <xf numFmtId="164" fontId="12" fillId="0" borderId="69" xfId="0" applyNumberFormat="1" applyFont="1" applyBorder="1" applyAlignment="1">
      <alignment horizontal="right"/>
    </xf>
    <xf numFmtId="0" fontId="0" fillId="0" borderId="69" xfId="0" applyBorder="1" applyAlignment="1">
      <alignment horizontal="right"/>
    </xf>
    <xf numFmtId="0" fontId="12" fillId="0" borderId="74" xfId="0" applyFont="1" applyBorder="1" applyAlignment="1">
      <alignment horizontal="right" vertical="top"/>
    </xf>
    <xf numFmtId="164" fontId="12" fillId="0" borderId="75" xfId="0" applyNumberFormat="1" applyFont="1" applyBorder="1" applyAlignment="1">
      <alignment horizontal="right"/>
    </xf>
    <xf numFmtId="0" fontId="0" fillId="0" borderId="75" xfId="0" applyBorder="1" applyAlignment="1">
      <alignment horizontal="right"/>
    </xf>
    <xf numFmtId="0" fontId="12" fillId="0" borderId="71" xfId="0" applyFont="1" applyBorder="1" applyAlignment="1">
      <alignment horizontal="right" vertical="top"/>
    </xf>
    <xf numFmtId="164" fontId="12" fillId="0" borderId="72" xfId="0" applyNumberFormat="1" applyFont="1" applyBorder="1" applyAlignment="1">
      <alignment horizontal="right"/>
    </xf>
    <xf numFmtId="0" fontId="0" fillId="0" borderId="72" xfId="0" applyBorder="1" applyAlignment="1">
      <alignment horizontal="right"/>
    </xf>
    <xf numFmtId="0" fontId="3" fillId="0" borderId="71" xfId="0" applyFont="1" applyBorder="1" applyAlignment="1">
      <alignment horizontal="right"/>
    </xf>
    <xf numFmtId="0" fontId="3" fillId="0" borderId="74" xfId="0" applyFont="1" applyBorder="1" applyAlignment="1">
      <alignment horizontal="right"/>
    </xf>
    <xf numFmtId="0" fontId="3" fillId="0" borderId="75" xfId="0" applyFont="1" applyBorder="1" applyAlignment="1">
      <alignment horizontal="right"/>
    </xf>
    <xf numFmtId="0" fontId="3" fillId="0" borderId="69" xfId="0" applyFont="1" applyBorder="1" applyAlignment="1">
      <alignment horizontal="right"/>
    </xf>
    <xf numFmtId="0" fontId="3" fillId="0" borderId="72" xfId="0" applyFont="1" applyBorder="1" applyAlignment="1">
      <alignment horizontal="right"/>
    </xf>
    <xf numFmtId="0" fontId="12" fillId="10" borderId="76" xfId="0" applyFont="1" applyFill="1" applyBorder="1" applyAlignment="1">
      <alignment horizontal="right" vertical="top"/>
    </xf>
    <xf numFmtId="0" fontId="12" fillId="10" borderId="70" xfId="0" applyFont="1" applyFill="1" applyBorder="1" applyAlignment="1">
      <alignment horizontal="right" vertical="top"/>
    </xf>
    <xf numFmtId="0" fontId="12" fillId="10" borderId="73" xfId="0" applyFont="1" applyFill="1" applyBorder="1" applyAlignment="1">
      <alignment horizontal="right" vertical="top"/>
    </xf>
    <xf numFmtId="0" fontId="12" fillId="11" borderId="49" xfId="0" applyFont="1" applyFill="1" applyBorder="1" applyAlignment="1">
      <alignment vertical="top" wrapText="1"/>
    </xf>
    <xf numFmtId="0" fontId="12" fillId="11" borderId="49" xfId="0" applyFont="1" applyFill="1" applyBorder="1" applyAlignment="1">
      <alignment horizontal="left" vertical="top" wrapText="1"/>
    </xf>
    <xf numFmtId="0" fontId="12" fillId="10" borderId="43" xfId="0" applyFont="1" applyFill="1" applyBorder="1" applyAlignment="1">
      <alignment horizontal="right"/>
    </xf>
    <xf numFmtId="0" fontId="12" fillId="10" borderId="44" xfId="0" applyFont="1" applyFill="1" applyBorder="1" applyAlignment="1">
      <alignment horizontal="right"/>
    </xf>
    <xf numFmtId="0" fontId="9" fillId="10" borderId="44" xfId="0" applyFont="1" applyFill="1" applyBorder="1" applyAlignment="1">
      <alignment horizontal="right"/>
    </xf>
    <xf numFmtId="0" fontId="12" fillId="10" borderId="45" xfId="0" applyFont="1" applyFill="1" applyBorder="1" applyAlignment="1">
      <alignment horizontal="right"/>
    </xf>
    <xf numFmtId="0" fontId="12" fillId="10" borderId="11" xfId="0" applyFont="1" applyFill="1" applyBorder="1" applyAlignment="1">
      <alignment horizontal="right"/>
    </xf>
    <xf numFmtId="0" fontId="12" fillId="10" borderId="46" xfId="0" applyFont="1" applyFill="1" applyBorder="1" applyAlignment="1">
      <alignment horizontal="right"/>
    </xf>
    <xf numFmtId="0" fontId="9" fillId="10" borderId="46" xfId="0" applyFont="1" applyFill="1" applyBorder="1" applyAlignment="1">
      <alignment horizontal="right"/>
    </xf>
    <xf numFmtId="0" fontId="12" fillId="10" borderId="12" xfId="0" applyFont="1" applyFill="1" applyBorder="1" applyAlignment="1">
      <alignment horizontal="right"/>
    </xf>
    <xf numFmtId="0" fontId="12" fillId="11" borderId="81" xfId="0" applyFont="1" applyFill="1" applyBorder="1" applyAlignment="1">
      <alignment horizontal="right"/>
    </xf>
    <xf numFmtId="0" fontId="12" fillId="11" borderId="67" xfId="0" applyFont="1" applyFill="1" applyBorder="1" applyAlignment="1">
      <alignment horizontal="right"/>
    </xf>
    <xf numFmtId="0" fontId="9" fillId="11" borderId="67" xfId="0" applyFont="1" applyFill="1" applyBorder="1" applyAlignment="1">
      <alignment horizontal="right"/>
    </xf>
    <xf numFmtId="0" fontId="12" fillId="11" borderId="82" xfId="0" applyFont="1" applyFill="1" applyBorder="1" applyAlignment="1">
      <alignment horizontal="right"/>
    </xf>
    <xf numFmtId="0" fontId="12" fillId="10" borderId="57" xfId="0" applyFont="1" applyFill="1" applyBorder="1" applyAlignment="1">
      <alignment horizontal="right"/>
    </xf>
    <xf numFmtId="0" fontId="12" fillId="10" borderId="66" xfId="0" applyFont="1" applyFill="1" applyBorder="1" applyAlignment="1">
      <alignment horizontal="right"/>
    </xf>
    <xf numFmtId="0" fontId="9" fillId="10" borderId="66" xfId="0" applyFont="1" applyFill="1" applyBorder="1" applyAlignment="1">
      <alignment horizontal="right"/>
    </xf>
    <xf numFmtId="0" fontId="12" fillId="10" borderId="58" xfId="0" applyFont="1" applyFill="1" applyBorder="1" applyAlignment="1">
      <alignment horizontal="right"/>
    </xf>
    <xf numFmtId="0" fontId="12" fillId="10" borderId="51" xfId="0" applyFont="1" applyFill="1" applyBorder="1" applyAlignment="1">
      <alignment horizontal="right"/>
    </xf>
    <xf numFmtId="0" fontId="12" fillId="10" borderId="52" xfId="0" applyFont="1" applyFill="1" applyBorder="1" applyAlignment="1">
      <alignment horizontal="right"/>
    </xf>
    <xf numFmtId="0" fontId="12" fillId="10" borderId="59" xfId="0" applyFont="1" applyFill="1" applyBorder="1" applyAlignment="1">
      <alignment horizontal="right"/>
    </xf>
    <xf numFmtId="0" fontId="12" fillId="10" borderId="67" xfId="0" applyFont="1" applyFill="1" applyBorder="1" applyAlignment="1">
      <alignment horizontal="right"/>
    </xf>
    <xf numFmtId="0" fontId="9" fillId="10" borderId="67" xfId="0" applyFont="1" applyFill="1" applyBorder="1" applyAlignment="1">
      <alignment horizontal="right"/>
    </xf>
    <xf numFmtId="0" fontId="12" fillId="10" borderId="60" xfId="0" applyFont="1" applyFill="1" applyBorder="1" applyAlignment="1">
      <alignment horizontal="right"/>
    </xf>
    <xf numFmtId="0" fontId="12" fillId="0" borderId="77" xfId="0" applyFont="1" applyBorder="1" applyAlignment="1">
      <alignment horizontal="right" vertical="top"/>
    </xf>
    <xf numFmtId="0" fontId="12" fillId="0" borderId="78" xfId="0" applyFont="1" applyBorder="1" applyAlignment="1">
      <alignment horizontal="right"/>
    </xf>
    <xf numFmtId="164" fontId="12" fillId="0" borderId="78" xfId="0" applyNumberFormat="1" applyFont="1" applyBorder="1" applyAlignment="1">
      <alignment horizontal="right"/>
    </xf>
    <xf numFmtId="0" fontId="6" fillId="0" borderId="78" xfId="0" applyFont="1" applyBorder="1" applyAlignment="1">
      <alignment horizontal="right"/>
    </xf>
    <xf numFmtId="2" fontId="12" fillId="0" borderId="78" xfId="0" applyNumberFormat="1" applyFont="1" applyBorder="1" applyAlignment="1">
      <alignment horizontal="right"/>
    </xf>
    <xf numFmtId="0" fontId="0" fillId="0" borderId="78" xfId="0" applyBorder="1" applyAlignment="1">
      <alignment horizontal="right"/>
    </xf>
    <xf numFmtId="0" fontId="12" fillId="0" borderId="79" xfId="0" applyFont="1" applyBorder="1" applyAlignment="1">
      <alignment horizontal="right" vertical="top"/>
    </xf>
    <xf numFmtId="0" fontId="12" fillId="11" borderId="59" xfId="0" applyFont="1" applyFill="1" applyBorder="1" applyAlignment="1">
      <alignment horizontal="right"/>
    </xf>
    <xf numFmtId="0" fontId="12" fillId="11" borderId="60" xfId="0" applyFont="1" applyFill="1" applyBorder="1" applyAlignment="1">
      <alignment horizontal="right"/>
    </xf>
    <xf numFmtId="0" fontId="11" fillId="2" borderId="57" xfId="0" applyFont="1" applyFill="1" applyBorder="1" applyAlignment="1">
      <alignment vertical="top"/>
    </xf>
    <xf numFmtId="0" fontId="11" fillId="2" borderId="66" xfId="0" applyFont="1" applyFill="1" applyBorder="1" applyAlignment="1">
      <alignment vertical="top"/>
    </xf>
    <xf numFmtId="0" fontId="11" fillId="2" borderId="58" xfId="0" applyFont="1" applyFill="1" applyBorder="1" applyAlignment="1">
      <alignment vertical="top"/>
    </xf>
    <xf numFmtId="0" fontId="12" fillId="2" borderId="54" xfId="0" applyFont="1" applyFill="1" applyBorder="1" applyAlignment="1">
      <alignment vertical="top"/>
    </xf>
    <xf numFmtId="0" fontId="12" fillId="2" borderId="55" xfId="0" applyFont="1" applyFill="1" applyBorder="1" applyAlignment="1">
      <alignment vertical="top"/>
    </xf>
    <xf numFmtId="0" fontId="12" fillId="2" borderId="56" xfId="0" applyFont="1" applyFill="1" applyBorder="1" applyAlignment="1">
      <alignment vertical="top"/>
    </xf>
    <xf numFmtId="0" fontId="12" fillId="12" borderId="57" xfId="0" applyFont="1" applyFill="1" applyBorder="1" applyAlignment="1">
      <alignment horizontal="right" vertical="top"/>
    </xf>
    <xf numFmtId="0" fontId="12" fillId="12" borderId="66" xfId="0" applyFont="1" applyFill="1" applyBorder="1" applyAlignment="1">
      <alignment horizontal="right" vertical="top"/>
    </xf>
    <xf numFmtId="0" fontId="12" fillId="12" borderId="58" xfId="0" applyFont="1" applyFill="1" applyBorder="1" applyAlignment="1">
      <alignment horizontal="right" vertical="top"/>
    </xf>
    <xf numFmtId="0" fontId="12" fillId="12" borderId="51" xfId="0" applyFont="1" applyFill="1" applyBorder="1" applyAlignment="1">
      <alignment horizontal="right" vertical="top"/>
    </xf>
    <xf numFmtId="0" fontId="12" fillId="12" borderId="46" xfId="0" applyFont="1" applyFill="1" applyBorder="1" applyAlignment="1">
      <alignment horizontal="right" vertical="top"/>
    </xf>
    <xf numFmtId="0" fontId="12" fillId="12" borderId="52" xfId="0" applyFont="1" applyFill="1" applyBorder="1" applyAlignment="1">
      <alignment horizontal="right" vertical="top"/>
    </xf>
    <xf numFmtId="0" fontId="12" fillId="0" borderId="52" xfId="0" applyFont="1" applyBorder="1" applyAlignment="1">
      <alignment horizontal="right" vertical="center"/>
    </xf>
    <xf numFmtId="0" fontId="12" fillId="0" borderId="52" xfId="0" applyFont="1" applyBorder="1" applyAlignment="1">
      <alignment horizontal="right"/>
    </xf>
    <xf numFmtId="0" fontId="3" fillId="0" borderId="54" xfId="0" applyFont="1" applyBorder="1" applyAlignment="1">
      <alignment horizontal="right"/>
    </xf>
    <xf numFmtId="0" fontId="3" fillId="0" borderId="55" xfId="0" applyFont="1" applyBorder="1" applyAlignment="1">
      <alignment horizontal="right"/>
    </xf>
    <xf numFmtId="14" fontId="3" fillId="0" borderId="56" xfId="0" applyNumberFormat="1" applyFont="1" applyBorder="1" applyAlignment="1">
      <alignment horizontal="right"/>
    </xf>
    <xf numFmtId="0" fontId="2" fillId="0" borderId="55" xfId="0" applyFont="1" applyBorder="1" applyAlignment="1">
      <alignment horizontal="right"/>
    </xf>
    <xf numFmtId="0" fontId="3" fillId="0" borderId="68" xfId="0" applyFont="1" applyBorder="1" applyAlignment="1">
      <alignment horizontal="right"/>
    </xf>
    <xf numFmtId="0" fontId="2" fillId="0" borderId="69" xfId="0" applyFont="1" applyBorder="1" applyAlignment="1">
      <alignment horizontal="right"/>
    </xf>
    <xf numFmtId="0" fontId="2" fillId="0" borderId="75" xfId="0" applyFont="1" applyBorder="1" applyAlignment="1">
      <alignment horizontal="right"/>
    </xf>
    <xf numFmtId="0" fontId="2" fillId="0" borderId="0" xfId="0" applyFont="1" applyAlignment="1">
      <alignment wrapText="1"/>
    </xf>
    <xf numFmtId="0" fontId="8" fillId="13" borderId="83" xfId="0" applyFont="1" applyFill="1" applyBorder="1" applyAlignment="1">
      <alignment wrapText="1"/>
    </xf>
    <xf numFmtId="0" fontId="8" fillId="0" borderId="0" xfId="0" applyFont="1" applyAlignment="1">
      <alignment wrapText="1"/>
    </xf>
    <xf numFmtId="0" fontId="12" fillId="9" borderId="52" xfId="0" applyFont="1" applyFill="1" applyBorder="1" applyAlignment="1">
      <alignment horizontal="right"/>
    </xf>
  </cellXfs>
  <cellStyles count="3">
    <cellStyle name="Normal" xfId="0" builtinId="0"/>
    <cellStyle name="Normal 2" xfId="1" xr:uid="{15B5984B-4EE4-4A35-88CA-1D33B63AE2B6}"/>
    <cellStyle name="Normal 3" xfId="2" xr:uid="{AE1EDAC1-3CED-44FD-B212-328FEE86ED1B}"/>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customschemas.google.com/relationships/workbookmetadata" Target="metadata"/><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10</xdr:col>
      <xdr:colOff>1889760</xdr:colOff>
      <xdr:row>29</xdr:row>
      <xdr:rowOff>137160</xdr:rowOff>
    </xdr:from>
    <xdr:to>
      <xdr:col>12</xdr:col>
      <xdr:colOff>2674620</xdr:colOff>
      <xdr:row>44</xdr:row>
      <xdr:rowOff>148590</xdr:rowOff>
    </xdr:to>
    <xdr:pic>
      <xdr:nvPicPr>
        <xdr:cNvPr id="3" name="Picture 2">
          <a:extLst>
            <a:ext uri="{FF2B5EF4-FFF2-40B4-BE49-F238E27FC236}">
              <a16:creationId xmlns:a16="http://schemas.microsoft.com/office/drawing/2014/main" id="{9AB7CFE4-6E15-263A-68BD-201210B54FC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769560" y="7223760"/>
          <a:ext cx="6667500" cy="40957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1950720</xdr:colOff>
      <xdr:row>27</xdr:row>
      <xdr:rowOff>152400</xdr:rowOff>
    </xdr:from>
    <xdr:to>
      <xdr:col>12</xdr:col>
      <xdr:colOff>2735580</xdr:colOff>
      <xdr:row>42</xdr:row>
      <xdr:rowOff>179070</xdr:rowOff>
    </xdr:to>
    <xdr:pic>
      <xdr:nvPicPr>
        <xdr:cNvPr id="3" name="Picture 2">
          <a:extLst>
            <a:ext uri="{FF2B5EF4-FFF2-40B4-BE49-F238E27FC236}">
              <a16:creationId xmlns:a16="http://schemas.microsoft.com/office/drawing/2014/main" id="{2C5E1AA6-42A9-F925-B4ED-7FB245DEC8F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830520" y="6888480"/>
          <a:ext cx="6667500" cy="40957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6088381</xdr:colOff>
      <xdr:row>18</xdr:row>
      <xdr:rowOff>114299</xdr:rowOff>
    </xdr:from>
    <xdr:to>
      <xdr:col>0</xdr:col>
      <xdr:colOff>8280737</xdr:colOff>
      <xdr:row>31</xdr:row>
      <xdr:rowOff>132756</xdr:rowOff>
    </xdr:to>
    <xdr:pic>
      <xdr:nvPicPr>
        <xdr:cNvPr id="3" name="Graphic 2">
          <a:extLst>
            <a:ext uri="{FF2B5EF4-FFF2-40B4-BE49-F238E27FC236}">
              <a16:creationId xmlns:a16="http://schemas.microsoft.com/office/drawing/2014/main" id="{7E77C54C-8ACD-915C-3935-441DC78BB16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088381" y="3512819"/>
          <a:ext cx="2192356" cy="2403517"/>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baptiste mabboux" id="{E145276B-2261-4A6E-AB86-74BC54C0414B}" userId="f3aee38b355b722b" providerId="Windows Live"/>
</personList>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E6" dT="2026-05-05T14:40:06.53" personId="{E145276B-2261-4A6E-AB86-74BC54C0414B}" id="{66B0DA9C-CD10-479F-96A9-D9F2742637D0}">
    <text>Not cooled down because mineralization process happen at 155°C, should be heated up (might be negligeable)</text>
  </threadedComment>
</ThreadedComments>
</file>

<file path=xl/threadedComments/threadedComment2.xml><?xml version="1.0" encoding="utf-8"?>
<ThreadedComments xmlns="http://schemas.microsoft.com/office/spreadsheetml/2018/threadedcomments" xmlns:x="http://schemas.openxmlformats.org/spreadsheetml/2006/main">
  <threadedComment ref="C56" dT="2026-04-28T13:15:44.83" personId="{E145276B-2261-4A6E-AB86-74BC54C0414B}" id="{F46A705C-64BE-4C63-925A-E1EC239728BB}">
    <text>Previously pump power in barg ?</text>
  </threadedComment>
  <threadedComment ref="A68" dT="2026-04-28T12:56:21.42" personId="{E145276B-2261-4A6E-AB86-74BC54C0414B}" id="{FCDA3523-1C0A-47F7-8C00-FDE403B742A5}">
    <text>Cost computed with functions in lua file</text>
  </threadedComment>
  <threadedComment ref="A78" dT="2026-05-05T14:43:06.31" personId="{E145276B-2261-4A6E-AB86-74BC54C0414B}" id="{90372705-B7B5-43D1-8D36-B909547CFAFE}">
    <text>Cost computed with functions in lua file</text>
  </threadedComment>
</ThreadedComments>
</file>

<file path=xl/threadedComments/threadedComment3.xml><?xml version="1.0" encoding="utf-8"?>
<ThreadedComments xmlns="http://schemas.microsoft.com/office/spreadsheetml/2018/threadedcomments" xmlns:x="http://schemas.openxmlformats.org/spreadsheetml/2006/main">
  <threadedComment ref="K24" dT="2026-05-05T14:47:35.18" personId="{E145276B-2261-4A6E-AB86-74BC54C0414B}" id="{E3F9AA0B-21E5-45F0-8970-B0B1FBE26F42}">
    <text>Computed from Q = m*cp*dT</text>
  </threadedComment>
</ThreadedComments>
</file>

<file path=xl/threadedComments/threadedComment4.xml><?xml version="1.0" encoding="utf-8"?>
<ThreadedComments xmlns="http://schemas.microsoft.com/office/spreadsheetml/2018/threadedcomments" xmlns:x="http://schemas.openxmlformats.org/spreadsheetml/2006/main">
  <threadedComment ref="K24" dT="2026-05-05T14:49:49.47" personId="{E145276B-2261-4A6E-AB86-74BC54C0414B}" id="{715DD242-9DE3-496E-8458-F1BE89B3BCE4}">
    <text>Computed from Q=m*cp*dT</text>
  </threadedComment>
</ThreadedComment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2:B10"/>
  <sheetViews>
    <sheetView showGridLines="0" zoomScale="55" zoomScaleNormal="55" workbookViewId="0">
      <selection activeCell="B16" sqref="B16"/>
    </sheetView>
  </sheetViews>
  <sheetFormatPr defaultColWidth="14.44140625" defaultRowHeight="15" customHeight="1" x14ac:dyDescent="0.3"/>
  <cols>
    <col min="1" max="1" width="18.109375" bestFit="1" customWidth="1"/>
    <col min="2" max="2" width="255.77734375" style="136" customWidth="1"/>
    <col min="3" max="3" width="29.44140625" customWidth="1"/>
  </cols>
  <sheetData>
    <row r="2" spans="1:2" ht="37.799999999999997" customHeight="1" x14ac:dyDescent="0.3">
      <c r="A2" s="84" t="s">
        <v>0</v>
      </c>
      <c r="B2" s="137" t="s">
        <v>1</v>
      </c>
    </row>
    <row r="3" spans="1:2" ht="15" customHeight="1" x14ac:dyDescent="0.3">
      <c r="A3" s="134"/>
      <c r="B3" s="135"/>
    </row>
    <row r="4" spans="1:2" ht="23.55" customHeight="1" x14ac:dyDescent="0.3">
      <c r="A4" s="84" t="s">
        <v>123</v>
      </c>
      <c r="B4" s="138" t="s">
        <v>124</v>
      </c>
    </row>
    <row r="5" spans="1:2" ht="14.4" x14ac:dyDescent="0.3">
      <c r="A5" s="134"/>
      <c r="B5" s="135"/>
    </row>
    <row r="6" spans="1:2" ht="72.45" customHeight="1" x14ac:dyDescent="0.3">
      <c r="A6" s="84" t="s">
        <v>2</v>
      </c>
      <c r="B6" s="138" t="s">
        <v>125</v>
      </c>
    </row>
    <row r="7" spans="1:2" ht="14.4" x14ac:dyDescent="0.3">
      <c r="A7" s="134"/>
      <c r="B7" s="135"/>
    </row>
    <row r="8" spans="1:2" ht="39.450000000000003" customHeight="1" x14ac:dyDescent="0.3">
      <c r="A8" s="84" t="s">
        <v>3</v>
      </c>
      <c r="B8" s="137" t="s">
        <v>4</v>
      </c>
    </row>
    <row r="9" spans="1:2" ht="14.4" x14ac:dyDescent="0.3">
      <c r="A9" s="134"/>
      <c r="B9" s="135"/>
    </row>
    <row r="10" spans="1:2" ht="55.8" customHeight="1" x14ac:dyDescent="0.3">
      <c r="A10" s="84" t="s">
        <v>5</v>
      </c>
      <c r="B10" s="138" t="s">
        <v>126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23"/>
  <sheetViews>
    <sheetView showGridLines="0" tabSelected="1" zoomScale="55" zoomScaleNormal="55" workbookViewId="0">
      <selection activeCell="B12" sqref="B12"/>
    </sheetView>
  </sheetViews>
  <sheetFormatPr defaultColWidth="14.44140625" defaultRowHeight="15" customHeight="1" x14ac:dyDescent="0.3"/>
  <cols>
    <col min="1" max="1" width="59" bestFit="1" customWidth="1"/>
    <col min="2" max="2" width="90.77734375" bestFit="1" customWidth="1"/>
    <col min="3" max="3" width="17.77734375" customWidth="1"/>
    <col min="4" max="4" width="12.6640625" customWidth="1"/>
    <col min="5" max="5" width="4.6640625" customWidth="1"/>
    <col min="6" max="6" width="7" customWidth="1"/>
    <col min="7" max="26" width="10.6640625" customWidth="1"/>
    <col min="27" max="16384" width="14.44140625" style="86"/>
  </cols>
  <sheetData>
    <row r="1" spans="1:4" ht="14.4" x14ac:dyDescent="0.3">
      <c r="A1" s="120" t="s">
        <v>66</v>
      </c>
      <c r="B1" s="166"/>
      <c r="C1" s="2"/>
      <c r="D1" s="11" t="s">
        <v>101</v>
      </c>
    </row>
    <row r="2" spans="1:4" ht="14.4" x14ac:dyDescent="0.3">
      <c r="A2" s="121" t="s">
        <v>67</v>
      </c>
      <c r="B2" s="122" t="s">
        <v>154</v>
      </c>
      <c r="D2" s="139" t="s">
        <v>6</v>
      </c>
    </row>
    <row r="3" spans="1:4" ht="14.4" x14ac:dyDescent="0.3">
      <c r="A3" s="121" t="s">
        <v>68</v>
      </c>
      <c r="B3" s="122" t="s">
        <v>155</v>
      </c>
      <c r="C3" s="86"/>
      <c r="D3" s="140" t="s">
        <v>132</v>
      </c>
    </row>
    <row r="4" spans="1:4" ht="14.4" x14ac:dyDescent="0.3">
      <c r="A4" s="121" t="s">
        <v>80</v>
      </c>
      <c r="B4" s="122" t="s">
        <v>81</v>
      </c>
      <c r="C4" s="86"/>
      <c r="D4" s="140" t="s">
        <v>133</v>
      </c>
    </row>
    <row r="5" spans="1:4" ht="14.4" x14ac:dyDescent="0.3">
      <c r="A5" s="121" t="s">
        <v>71</v>
      </c>
      <c r="B5" s="163">
        <v>46133</v>
      </c>
      <c r="C5" s="86"/>
      <c r="D5" s="139" t="s">
        <v>9</v>
      </c>
    </row>
    <row r="6" spans="1:4" ht="14.4" x14ac:dyDescent="0.3">
      <c r="A6" s="121" t="s">
        <v>75</v>
      </c>
      <c r="B6" s="163">
        <v>46133</v>
      </c>
      <c r="C6" s="86"/>
      <c r="D6" s="139" t="s">
        <v>13</v>
      </c>
    </row>
    <row r="7" spans="1:4" ht="14.4" x14ac:dyDescent="0.3">
      <c r="A7" s="121" t="s">
        <v>83</v>
      </c>
      <c r="B7" s="122" t="s">
        <v>84</v>
      </c>
      <c r="D7" s="140" t="s">
        <v>134</v>
      </c>
    </row>
    <row r="8" spans="1:4" ht="14.4" x14ac:dyDescent="0.3">
      <c r="A8" s="121" t="s">
        <v>69</v>
      </c>
      <c r="B8" s="123">
        <v>2</v>
      </c>
      <c r="C8" s="86"/>
      <c r="D8" s="140" t="s">
        <v>130</v>
      </c>
    </row>
    <row r="9" spans="1:4" ht="14.4" x14ac:dyDescent="0.3">
      <c r="A9" s="121" t="s">
        <v>70</v>
      </c>
      <c r="B9" s="122" t="s">
        <v>8</v>
      </c>
      <c r="C9" s="86"/>
      <c r="D9" s="140" t="s">
        <v>131</v>
      </c>
    </row>
    <row r="10" spans="1:4" ht="14.4" x14ac:dyDescent="0.3">
      <c r="A10" s="121" t="s">
        <v>102</v>
      </c>
      <c r="B10" s="119">
        <v>1</v>
      </c>
      <c r="D10" s="140" t="s">
        <v>135</v>
      </c>
    </row>
    <row r="11" spans="1:4" ht="14.4" x14ac:dyDescent="0.3">
      <c r="A11" s="121" t="s">
        <v>73</v>
      </c>
      <c r="B11" s="122" t="s">
        <v>10</v>
      </c>
      <c r="C11" s="86"/>
      <c r="D11" s="140" t="s">
        <v>136</v>
      </c>
    </row>
    <row r="12" spans="1:4" ht="28.8" x14ac:dyDescent="0.3">
      <c r="A12" s="124" t="s">
        <v>77</v>
      </c>
      <c r="B12" s="296" t="str">
        <f>TEXT(Captured_CO2,0)&amp;"t/h of captured CO2"</f>
        <v>1t/h of captured CO2</v>
      </c>
      <c r="C12" s="1"/>
      <c r="D12" s="140" t="s">
        <v>137</v>
      </c>
    </row>
    <row r="13" spans="1:4" ht="21.45" customHeight="1" x14ac:dyDescent="0.3">
      <c r="A13" s="124" t="s">
        <v>43</v>
      </c>
      <c r="B13" s="122">
        <v>9</v>
      </c>
      <c r="C13" s="1"/>
      <c r="D13" s="140" t="s">
        <v>138</v>
      </c>
    </row>
    <row r="14" spans="1:4" ht="14.4" x14ac:dyDescent="0.3">
      <c r="A14" s="121" t="s">
        <v>76</v>
      </c>
      <c r="B14" s="308" t="s">
        <v>157</v>
      </c>
      <c r="C14" s="85"/>
      <c r="D14" s="139" t="s">
        <v>14</v>
      </c>
    </row>
    <row r="15" spans="1:4" ht="14.4" x14ac:dyDescent="0.3">
      <c r="A15" s="124" t="s">
        <v>15</v>
      </c>
      <c r="B15" s="125" t="s">
        <v>156</v>
      </c>
      <c r="C15" s="1"/>
      <c r="D15" s="139" t="s">
        <v>128</v>
      </c>
    </row>
    <row r="16" spans="1:4" ht="14.4" x14ac:dyDescent="0.3">
      <c r="A16" s="124" t="s">
        <v>78</v>
      </c>
      <c r="B16" s="167"/>
      <c r="C16" s="1"/>
      <c r="D16" s="139" t="s">
        <v>127</v>
      </c>
    </row>
    <row r="17" spans="1:4" ht="14.4" x14ac:dyDescent="0.3">
      <c r="A17" s="124" t="s">
        <v>82</v>
      </c>
      <c r="B17" s="167"/>
      <c r="C17" s="1"/>
      <c r="D17" s="140" t="s">
        <v>139</v>
      </c>
    </row>
    <row r="18" spans="1:4" ht="20.55" customHeight="1" x14ac:dyDescent="0.3">
      <c r="A18" s="121" t="s">
        <v>72</v>
      </c>
      <c r="B18" s="221" t="s">
        <v>421</v>
      </c>
      <c r="C18" s="86"/>
      <c r="D18" s="140" t="s">
        <v>140</v>
      </c>
    </row>
    <row r="19" spans="1:4" ht="14.4" x14ac:dyDescent="0.3">
      <c r="A19" s="121" t="s">
        <v>74</v>
      </c>
      <c r="B19" s="122" t="s">
        <v>153</v>
      </c>
      <c r="C19" s="86"/>
      <c r="D19" s="139" t="s">
        <v>11</v>
      </c>
    </row>
    <row r="20" spans="1:4" ht="14.4" x14ac:dyDescent="0.3">
      <c r="A20" s="121" t="s">
        <v>99</v>
      </c>
      <c r="B20" s="122" t="s">
        <v>153</v>
      </c>
      <c r="C20" s="86"/>
      <c r="D20" s="140" t="s">
        <v>141</v>
      </c>
    </row>
    <row r="21" spans="1:4" ht="15.75" customHeight="1" x14ac:dyDescent="0.3">
      <c r="A21" s="124" t="s">
        <v>79</v>
      </c>
      <c r="B21" s="297" t="s">
        <v>489</v>
      </c>
      <c r="C21" s="1"/>
      <c r="D21" s="140" t="s">
        <v>142</v>
      </c>
    </row>
    <row r="22" spans="1:4" ht="14.4" x14ac:dyDescent="0.3">
      <c r="A22" s="121" t="s">
        <v>12</v>
      </c>
      <c r="B22" s="167"/>
      <c r="C22" s="86"/>
      <c r="D22" s="140" t="s">
        <v>143</v>
      </c>
    </row>
    <row r="23" spans="1:4" ht="15.75" customHeight="1" thickBot="1" x14ac:dyDescent="0.35">
      <c r="A23" s="126" t="s">
        <v>85</v>
      </c>
      <c r="B23" s="127" t="s">
        <v>97</v>
      </c>
      <c r="C23" s="1"/>
      <c r="D23" s="140" t="s">
        <v>129</v>
      </c>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P60"/>
  <sheetViews>
    <sheetView showGridLines="0" zoomScale="55" zoomScaleNormal="55" workbookViewId="0">
      <selection activeCell="H27" sqref="H27"/>
    </sheetView>
  </sheetViews>
  <sheetFormatPr defaultColWidth="14.44140625" defaultRowHeight="15" customHeight="1" x14ac:dyDescent="0.3"/>
  <cols>
    <col min="1" max="1" width="42.6640625" style="83" customWidth="1"/>
    <col min="2" max="2" width="19.44140625" style="83" bestFit="1" customWidth="1"/>
    <col min="3" max="3" width="17.33203125" style="83" customWidth="1"/>
    <col min="4" max="4" width="20.109375" style="83" bestFit="1" customWidth="1"/>
    <col min="5" max="5" width="19.44140625" style="83" bestFit="1" customWidth="1"/>
    <col min="6" max="6" width="23.44140625" style="83" customWidth="1"/>
    <col min="7" max="7" width="27" style="83" customWidth="1"/>
    <col min="8" max="8" width="23.44140625" style="83" customWidth="1"/>
    <col min="9" max="9" width="33.109375" style="83" bestFit="1" customWidth="1"/>
    <col min="10" max="10" width="27" style="83" customWidth="1"/>
    <col min="11" max="11" width="54.77734375" bestFit="1" customWidth="1"/>
    <col min="12" max="12" width="61.33203125" customWidth="1"/>
    <col min="13" max="13" width="16" customWidth="1"/>
    <col min="14" max="14" width="18.44140625" customWidth="1"/>
    <col min="15" max="15" width="14.33203125" customWidth="1"/>
    <col min="16" max="16" width="5.109375" customWidth="1"/>
  </cols>
  <sheetData>
    <row r="1" spans="1:16" ht="15" customHeight="1" thickBot="1" x14ac:dyDescent="0.35"/>
    <row r="2" spans="1:16" thickBot="1" x14ac:dyDescent="0.35">
      <c r="A2" s="11" t="s">
        <v>65</v>
      </c>
      <c r="B2" s="4"/>
      <c r="C2" s="4"/>
      <c r="D2" s="4"/>
      <c r="E2" s="4"/>
      <c r="F2" s="4"/>
      <c r="G2" s="4"/>
      <c r="H2" s="4"/>
      <c r="I2" s="4"/>
      <c r="J2" s="4"/>
      <c r="K2" s="3"/>
      <c r="L2" s="5"/>
      <c r="M2" s="6"/>
      <c r="N2" s="6"/>
      <c r="O2" s="6"/>
      <c r="P2" s="6"/>
    </row>
    <row r="3" spans="1:16" thickBot="1" x14ac:dyDescent="0.35">
      <c r="A3" s="99" t="s">
        <v>16</v>
      </c>
      <c r="B3" s="100"/>
      <c r="C3" s="100"/>
      <c r="D3" s="100"/>
      <c r="E3" s="100"/>
      <c r="F3" s="100"/>
      <c r="G3" s="100"/>
      <c r="H3" s="100"/>
      <c r="I3" s="100"/>
      <c r="J3" s="100"/>
      <c r="K3" s="131"/>
      <c r="L3" s="132"/>
      <c r="M3" s="6"/>
      <c r="N3" s="6"/>
      <c r="O3" s="6"/>
      <c r="P3" s="6"/>
    </row>
    <row r="4" spans="1:16" thickBot="1" x14ac:dyDescent="0.35">
      <c r="A4" s="172" t="s">
        <v>100</v>
      </c>
      <c r="B4" s="173" t="s">
        <v>17</v>
      </c>
      <c r="C4" s="173" t="s">
        <v>18</v>
      </c>
      <c r="D4" s="173" t="s">
        <v>148</v>
      </c>
      <c r="E4" s="173" t="s">
        <v>20</v>
      </c>
      <c r="F4" s="174" t="s">
        <v>21</v>
      </c>
      <c r="G4" s="173" t="s">
        <v>22</v>
      </c>
      <c r="H4" s="173" t="s">
        <v>23</v>
      </c>
      <c r="I4" s="173" t="s">
        <v>24</v>
      </c>
      <c r="J4" s="173" t="s">
        <v>25</v>
      </c>
      <c r="K4" s="173" t="s">
        <v>26</v>
      </c>
      <c r="L4" s="175" t="s">
        <v>15</v>
      </c>
      <c r="M4" s="5"/>
      <c r="N4" s="6"/>
      <c r="O4" s="6"/>
      <c r="P4" s="6"/>
    </row>
    <row r="5" spans="1:16" thickBot="1" x14ac:dyDescent="0.35">
      <c r="A5" s="184" t="s">
        <v>351</v>
      </c>
      <c r="B5" s="185" t="s">
        <v>351</v>
      </c>
      <c r="C5" s="185" t="s">
        <v>345</v>
      </c>
      <c r="D5" s="185" t="s">
        <v>231</v>
      </c>
      <c r="E5" s="186">
        <v>25</v>
      </c>
      <c r="F5" s="187" t="s">
        <v>367</v>
      </c>
      <c r="G5" s="186">
        <v>1</v>
      </c>
      <c r="H5" s="186" t="s">
        <v>368</v>
      </c>
      <c r="I5" s="186">
        <v>1</v>
      </c>
      <c r="J5" s="186" t="s">
        <v>369</v>
      </c>
      <c r="K5" s="186" t="s">
        <v>370</v>
      </c>
      <c r="L5" s="197" t="s">
        <v>371</v>
      </c>
      <c r="M5" s="83"/>
      <c r="N5" s="6"/>
      <c r="O5" s="6"/>
      <c r="P5" s="6"/>
    </row>
    <row r="6" spans="1:16" thickBot="1" x14ac:dyDescent="0.35">
      <c r="A6" s="176" t="s">
        <v>350</v>
      </c>
      <c r="B6" s="177" t="s">
        <v>350</v>
      </c>
      <c r="C6" s="177" t="s">
        <v>345</v>
      </c>
      <c r="D6" s="177" t="s">
        <v>231</v>
      </c>
      <c r="E6" s="200">
        <v>144</v>
      </c>
      <c r="F6" s="179" t="s">
        <v>367</v>
      </c>
      <c r="G6" s="178">
        <v>140</v>
      </c>
      <c r="H6" s="178" t="s">
        <v>368</v>
      </c>
      <c r="I6" s="178">
        <v>1</v>
      </c>
      <c r="J6" s="178" t="s">
        <v>369</v>
      </c>
      <c r="K6" s="178" t="s">
        <v>370</v>
      </c>
      <c r="L6" s="198" t="s">
        <v>380</v>
      </c>
      <c r="M6" s="83"/>
      <c r="N6" s="6"/>
      <c r="O6" s="6"/>
      <c r="P6" s="6"/>
    </row>
    <row r="7" spans="1:16" thickBot="1" x14ac:dyDescent="0.35">
      <c r="A7" s="176" t="s">
        <v>349</v>
      </c>
      <c r="B7" s="177" t="s">
        <v>349</v>
      </c>
      <c r="C7" s="177" t="s">
        <v>345</v>
      </c>
      <c r="D7" s="177" t="s">
        <v>231</v>
      </c>
      <c r="E7" s="178">
        <v>25</v>
      </c>
      <c r="F7" s="179" t="s">
        <v>367</v>
      </c>
      <c r="G7" s="178">
        <v>1</v>
      </c>
      <c r="H7" s="178" t="s">
        <v>368</v>
      </c>
      <c r="I7" s="178">
        <v>0</v>
      </c>
      <c r="J7" s="178" t="s">
        <v>372</v>
      </c>
      <c r="K7" s="178" t="s">
        <v>373</v>
      </c>
      <c r="L7" s="198" t="s">
        <v>374</v>
      </c>
      <c r="M7" s="83"/>
      <c r="N7" s="6"/>
      <c r="O7" s="6"/>
      <c r="P7" s="6"/>
    </row>
    <row r="8" spans="1:16" thickBot="1" x14ac:dyDescent="0.35">
      <c r="A8" s="176" t="s">
        <v>348</v>
      </c>
      <c r="B8" s="177" t="s">
        <v>348</v>
      </c>
      <c r="C8" s="177" t="s">
        <v>345</v>
      </c>
      <c r="D8" s="177" t="s">
        <v>231</v>
      </c>
      <c r="E8" s="178">
        <v>25</v>
      </c>
      <c r="F8" s="179" t="s">
        <v>367</v>
      </c>
      <c r="G8" s="178">
        <v>1</v>
      </c>
      <c r="H8" s="178" t="s">
        <v>368</v>
      </c>
      <c r="I8" s="178">
        <v>0</v>
      </c>
      <c r="J8" s="178" t="s">
        <v>372</v>
      </c>
      <c r="K8" s="178" t="s">
        <v>373</v>
      </c>
      <c r="L8" s="198" t="s">
        <v>375</v>
      </c>
      <c r="M8" s="83"/>
      <c r="N8" s="6"/>
      <c r="O8" s="6"/>
      <c r="P8" s="6"/>
    </row>
    <row r="9" spans="1:16" thickBot="1" x14ac:dyDescent="0.35">
      <c r="A9" s="176" t="s">
        <v>347</v>
      </c>
      <c r="B9" s="177" t="s">
        <v>347</v>
      </c>
      <c r="C9" s="177" t="s">
        <v>345</v>
      </c>
      <c r="D9" s="177" t="s">
        <v>231</v>
      </c>
      <c r="E9" s="178">
        <v>25</v>
      </c>
      <c r="F9" s="179" t="s">
        <v>367</v>
      </c>
      <c r="G9" s="178">
        <v>1</v>
      </c>
      <c r="H9" s="178" t="s">
        <v>368</v>
      </c>
      <c r="I9" s="178">
        <v>0</v>
      </c>
      <c r="J9" s="178" t="s">
        <v>372</v>
      </c>
      <c r="K9" s="178" t="s">
        <v>376</v>
      </c>
      <c r="L9" s="198" t="s">
        <v>377</v>
      </c>
      <c r="M9" s="83"/>
      <c r="N9" s="6"/>
      <c r="O9" s="6"/>
      <c r="P9" s="6"/>
    </row>
    <row r="10" spans="1:16" thickBot="1" x14ac:dyDescent="0.35">
      <c r="A10" s="176" t="s">
        <v>346</v>
      </c>
      <c r="B10" s="177" t="s">
        <v>346</v>
      </c>
      <c r="C10" s="177" t="s">
        <v>345</v>
      </c>
      <c r="D10" s="177" t="s">
        <v>231</v>
      </c>
      <c r="E10" s="178">
        <v>155</v>
      </c>
      <c r="F10" s="179" t="s">
        <v>367</v>
      </c>
      <c r="G10" s="178">
        <v>1</v>
      </c>
      <c r="H10" s="178" t="s">
        <v>368</v>
      </c>
      <c r="I10" s="178">
        <v>0</v>
      </c>
      <c r="J10" s="178" t="s">
        <v>372</v>
      </c>
      <c r="K10" s="178" t="s">
        <v>373</v>
      </c>
      <c r="L10" s="198" t="s">
        <v>378</v>
      </c>
      <c r="M10" s="83"/>
      <c r="N10" s="6"/>
      <c r="O10" s="6"/>
      <c r="P10" s="6"/>
    </row>
    <row r="11" spans="1:16" thickBot="1" x14ac:dyDescent="0.35">
      <c r="A11" s="180" t="s">
        <v>344</v>
      </c>
      <c r="B11" s="181" t="s">
        <v>381</v>
      </c>
      <c r="C11" s="181" t="s">
        <v>344</v>
      </c>
      <c r="D11" s="181" t="s">
        <v>173</v>
      </c>
      <c r="E11" s="182" t="s">
        <v>27</v>
      </c>
      <c r="F11" s="183" t="s">
        <v>27</v>
      </c>
      <c r="G11" s="182" t="s">
        <v>27</v>
      </c>
      <c r="H11" s="182" t="s">
        <v>27</v>
      </c>
      <c r="I11" s="182" t="s">
        <v>27</v>
      </c>
      <c r="J11" s="182" t="s">
        <v>27</v>
      </c>
      <c r="K11" s="182" t="s">
        <v>27</v>
      </c>
      <c r="L11" s="199" t="s">
        <v>379</v>
      </c>
      <c r="M11" s="83"/>
      <c r="N11" s="6"/>
      <c r="O11" s="6"/>
      <c r="P11" s="6"/>
    </row>
    <row r="12" spans="1:16" thickBot="1" x14ac:dyDescent="0.35">
      <c r="A12" s="168"/>
      <c r="B12" s="169"/>
      <c r="C12" s="169"/>
      <c r="D12" s="169"/>
      <c r="E12" s="168"/>
      <c r="F12" s="170"/>
      <c r="G12" s="168"/>
      <c r="H12" s="168"/>
      <c r="I12" s="168"/>
      <c r="J12" s="168"/>
      <c r="K12" s="168"/>
      <c r="L12" s="171"/>
      <c r="M12" s="83"/>
      <c r="N12" s="6"/>
      <c r="O12" s="6"/>
      <c r="P12" s="6"/>
    </row>
    <row r="13" spans="1:16" thickBot="1" x14ac:dyDescent="0.35">
      <c r="A13" s="8"/>
      <c r="B13" s="8"/>
      <c r="C13" s="8"/>
      <c r="D13" s="8"/>
      <c r="E13" s="8"/>
      <c r="F13" s="8"/>
      <c r="G13" s="8"/>
      <c r="H13" s="8"/>
      <c r="I13" s="9"/>
      <c r="J13" s="10"/>
      <c r="K13" s="10"/>
      <c r="L13" s="10"/>
      <c r="N13" s="6"/>
      <c r="O13" s="6"/>
      <c r="P13" s="6"/>
    </row>
    <row r="14" spans="1:16" thickBot="1" x14ac:dyDescent="0.35">
      <c r="A14" s="11" t="s">
        <v>64</v>
      </c>
      <c r="B14" s="12"/>
      <c r="C14" s="12"/>
      <c r="D14" s="12"/>
      <c r="E14" s="12"/>
      <c r="F14" s="12"/>
      <c r="G14" s="12"/>
      <c r="H14" s="12"/>
      <c r="I14" s="13"/>
      <c r="J14" s="14"/>
      <c r="K14" s="14"/>
      <c r="L14" s="14"/>
      <c r="M14" s="6"/>
      <c r="N14" s="6"/>
      <c r="O14" s="6"/>
      <c r="P14" s="6"/>
    </row>
    <row r="15" spans="1:16" thickBot="1" x14ac:dyDescent="0.35">
      <c r="A15" s="99" t="s">
        <v>28</v>
      </c>
      <c r="B15" s="100"/>
      <c r="C15" s="100"/>
      <c r="D15" s="100"/>
      <c r="E15" s="100"/>
      <c r="F15" s="100"/>
      <c r="G15" s="100"/>
      <c r="H15" s="100"/>
      <c r="I15" s="100"/>
      <c r="J15" s="100"/>
      <c r="K15" s="131"/>
      <c r="L15" s="132"/>
      <c r="M15" s="5"/>
      <c r="N15" s="6"/>
      <c r="O15" s="6"/>
      <c r="P15" s="6"/>
    </row>
    <row r="16" spans="1:16" thickBot="1" x14ac:dyDescent="0.35">
      <c r="A16" s="172" t="s">
        <v>100</v>
      </c>
      <c r="B16" s="173" t="s">
        <v>17</v>
      </c>
      <c r="C16" s="173" t="s">
        <v>18</v>
      </c>
      <c r="D16" s="173" t="s">
        <v>148</v>
      </c>
      <c r="E16" s="173" t="s">
        <v>20</v>
      </c>
      <c r="F16" s="174" t="s">
        <v>21</v>
      </c>
      <c r="G16" s="173" t="s">
        <v>22</v>
      </c>
      <c r="H16" s="173" t="s">
        <v>23</v>
      </c>
      <c r="I16" s="173" t="s">
        <v>24</v>
      </c>
      <c r="J16" s="173" t="s">
        <v>25</v>
      </c>
      <c r="K16" s="173" t="s">
        <v>26</v>
      </c>
      <c r="L16" s="175" t="s">
        <v>15</v>
      </c>
      <c r="M16" s="5"/>
      <c r="N16" s="6"/>
      <c r="O16" s="6"/>
      <c r="P16" s="6"/>
    </row>
    <row r="17" spans="1:16" thickBot="1" x14ac:dyDescent="0.35">
      <c r="A17" s="191" t="s">
        <v>27</v>
      </c>
      <c r="B17" s="192" t="s">
        <v>27</v>
      </c>
      <c r="C17" s="193" t="s">
        <v>27</v>
      </c>
      <c r="D17" s="193" t="s">
        <v>27</v>
      </c>
      <c r="E17" s="192" t="s">
        <v>27</v>
      </c>
      <c r="F17" s="194" t="s">
        <v>27</v>
      </c>
      <c r="G17" s="192" t="s">
        <v>27</v>
      </c>
      <c r="H17" s="195" t="s">
        <v>27</v>
      </c>
      <c r="I17" s="192" t="s">
        <v>27</v>
      </c>
      <c r="J17" s="192" t="s">
        <v>27</v>
      </c>
      <c r="K17" s="193" t="s">
        <v>27</v>
      </c>
      <c r="L17" s="196" t="s">
        <v>27</v>
      </c>
      <c r="M17" s="15"/>
      <c r="N17" s="6"/>
      <c r="O17" s="6"/>
      <c r="P17" s="6"/>
    </row>
    <row r="18" spans="1:16" ht="15.75" customHeight="1" thickBot="1" x14ac:dyDescent="0.35">
      <c r="A18" s="16"/>
      <c r="B18" s="16"/>
      <c r="C18" s="16"/>
      <c r="D18" s="16"/>
      <c r="E18" s="16"/>
      <c r="F18" s="16"/>
      <c r="G18" s="17"/>
      <c r="H18" s="188"/>
      <c r="I18" s="188"/>
      <c r="J18" s="189"/>
      <c r="K18" s="190"/>
      <c r="L18" s="190"/>
      <c r="M18" s="6"/>
      <c r="N18" s="6"/>
      <c r="O18" s="6"/>
      <c r="P18" s="6"/>
    </row>
    <row r="19" spans="1:16" ht="15.75" customHeight="1" thickBot="1" x14ac:dyDescent="0.35">
      <c r="A19" s="18"/>
      <c r="B19" s="18"/>
      <c r="C19" s="18"/>
      <c r="D19" s="18"/>
      <c r="E19" s="18"/>
      <c r="F19" s="19"/>
      <c r="G19" s="20"/>
      <c r="H19" s="21"/>
      <c r="I19" s="20"/>
      <c r="J19" s="14"/>
      <c r="K19" s="22"/>
      <c r="L19" s="6"/>
      <c r="M19" s="6"/>
      <c r="N19" s="6"/>
      <c r="O19" s="6"/>
      <c r="P19" s="6"/>
    </row>
    <row r="20" spans="1:16" ht="15.75" customHeight="1" thickBot="1" x14ac:dyDescent="0.35">
      <c r="K20" s="15"/>
      <c r="L20" s="15"/>
      <c r="M20" s="6"/>
      <c r="N20" s="6"/>
      <c r="O20" s="6"/>
      <c r="P20" s="6"/>
    </row>
    <row r="21" spans="1:16" ht="15.75" customHeight="1" thickBot="1" x14ac:dyDescent="0.35">
      <c r="L21" s="15"/>
      <c r="M21" s="6"/>
      <c r="N21" s="6"/>
      <c r="O21" s="6"/>
      <c r="P21" s="6"/>
    </row>
    <row r="22" spans="1:16" ht="15.75" customHeight="1" thickBot="1" x14ac:dyDescent="0.35">
      <c r="J22" s="86"/>
      <c r="K22" s="86"/>
      <c r="L22" s="101"/>
      <c r="M22" s="6"/>
      <c r="N22" s="6"/>
      <c r="O22" s="6"/>
      <c r="P22" s="6"/>
    </row>
    <row r="23" spans="1:16" ht="15.75" customHeight="1" thickBot="1" x14ac:dyDescent="0.35">
      <c r="J23" s="86"/>
      <c r="K23" s="86"/>
      <c r="L23" s="102"/>
      <c r="M23" s="6"/>
      <c r="N23" s="6"/>
      <c r="O23" s="6"/>
      <c r="P23" s="6"/>
    </row>
    <row r="24" spans="1:16" ht="15.75" customHeight="1" thickBot="1" x14ac:dyDescent="0.35">
      <c r="J24" s="86"/>
      <c r="K24" s="86"/>
      <c r="L24" s="83"/>
      <c r="M24" s="6"/>
      <c r="N24" s="6"/>
      <c r="O24" s="6"/>
      <c r="P24" s="6"/>
    </row>
    <row r="25" spans="1:16" ht="15.75" customHeight="1" thickBot="1" x14ac:dyDescent="0.35">
      <c r="J25" s="86"/>
      <c r="K25" s="86"/>
      <c r="L25" s="83"/>
      <c r="M25" s="6"/>
      <c r="N25" s="6"/>
      <c r="O25" s="6"/>
      <c r="P25" s="6"/>
    </row>
    <row r="26" spans="1:16" ht="15.75" customHeight="1" thickBot="1" x14ac:dyDescent="0.35">
      <c r="J26" s="86"/>
      <c r="K26" s="86"/>
      <c r="L26" s="83"/>
      <c r="M26" s="6"/>
      <c r="N26" s="6"/>
      <c r="O26" s="6"/>
      <c r="P26" s="6"/>
    </row>
    <row r="27" spans="1:16" ht="15.75" customHeight="1" thickBot="1" x14ac:dyDescent="0.35">
      <c r="J27" s="86"/>
      <c r="K27" s="86"/>
      <c r="L27" s="83"/>
      <c r="M27" s="6"/>
      <c r="N27" s="6"/>
      <c r="O27" s="6"/>
      <c r="P27" s="6"/>
    </row>
    <row r="28" spans="1:16" ht="15.75" customHeight="1" thickBot="1" x14ac:dyDescent="0.35">
      <c r="J28" s="86"/>
      <c r="K28" s="86"/>
      <c r="L28" s="83"/>
      <c r="M28" s="6"/>
      <c r="N28" s="6"/>
      <c r="O28" s="6"/>
      <c r="P28" s="6"/>
    </row>
    <row r="29" spans="1:16" ht="15.75" customHeight="1" x14ac:dyDescent="0.3"/>
    <row r="30" spans="1:16" ht="15.75" customHeight="1" x14ac:dyDescent="0.3"/>
    <row r="31" spans="1:16" ht="15.75" customHeight="1" x14ac:dyDescent="0.3"/>
    <row r="32" spans="1:16" ht="15.75" customHeight="1" x14ac:dyDescent="0.3"/>
    <row r="33" ht="15.75" customHeight="1" x14ac:dyDescent="0.3"/>
    <row r="34" ht="15.75" customHeight="1" x14ac:dyDescent="0.3"/>
    <row r="35" ht="15.75" customHeight="1" x14ac:dyDescent="0.3"/>
    <row r="36" ht="15.75" customHeight="1" x14ac:dyDescent="0.3"/>
    <row r="37" ht="15.75" customHeight="1" x14ac:dyDescent="0.3"/>
    <row r="38" ht="15.75" customHeight="1" x14ac:dyDescent="0.3"/>
    <row r="39" ht="15.75" customHeight="1" x14ac:dyDescent="0.3"/>
    <row r="40" ht="15.75" customHeight="1" x14ac:dyDescent="0.3"/>
    <row r="41" ht="15.75" customHeight="1" x14ac:dyDescent="0.3"/>
    <row r="42" ht="15.75" customHeight="1" x14ac:dyDescent="0.3"/>
    <row r="43" ht="15.75" customHeight="1" x14ac:dyDescent="0.3"/>
    <row r="44" ht="15.75" customHeight="1" x14ac:dyDescent="0.3"/>
    <row r="45" ht="15.75" customHeight="1" x14ac:dyDescent="0.3"/>
    <row r="46" ht="15.75" customHeight="1" x14ac:dyDescent="0.3"/>
    <row r="47" ht="15.75" customHeight="1" x14ac:dyDescent="0.3"/>
    <row r="48" ht="15.75" customHeight="1" x14ac:dyDescent="0.3"/>
    <row r="49" ht="15.75" customHeight="1" x14ac:dyDescent="0.3"/>
    <row r="50" ht="15.75" customHeight="1" x14ac:dyDescent="0.3"/>
    <row r="51" ht="15.75" customHeight="1" x14ac:dyDescent="0.3"/>
    <row r="52" ht="15.75" customHeight="1" x14ac:dyDescent="0.3"/>
    <row r="53" ht="15.75" customHeight="1" x14ac:dyDescent="0.3"/>
    <row r="54" ht="15.75" customHeight="1" x14ac:dyDescent="0.3"/>
    <row r="55" ht="15.75" customHeight="1" x14ac:dyDescent="0.3"/>
    <row r="56" ht="15.75" customHeight="1" x14ac:dyDescent="0.3"/>
    <row r="57" ht="15.75" customHeight="1" x14ac:dyDescent="0.3"/>
    <row r="58" ht="15.75" customHeight="1" x14ac:dyDescent="0.3"/>
    <row r="59" ht="15.75" customHeight="1" x14ac:dyDescent="0.3"/>
    <row r="60" ht="15.75" customHeight="1" x14ac:dyDescent="0.3"/>
  </sheetData>
  <dataValidations count="3">
    <dataValidation type="list" allowBlank="1" showErrorMessage="1" sqref="C17" xr:uid="{00000000-0002-0000-0200-000001000000}">
      <formula1>"MASS,ELECTRICITY,EMISSIONS,ENERGY"</formula1>
    </dataValidation>
    <dataValidation type="list" allowBlank="1" showErrorMessage="1" sqref="C5:C12" xr:uid="{00000000-0002-0000-0200-000000000000}">
      <formula1>"ELECTRICITY,EMISSIONS,MASS"</formula1>
    </dataValidation>
    <dataValidation type="list" errorStyle="information" allowBlank="1" showInputMessage="1" showErrorMessage="1" sqref="D5:D11 F5:F11 H5:H11 D17 F17 H17" xr:uid="{358A3475-F054-48F8-9703-88D20B3D0251}">
      <formula1>"-,kg,s,m,K,°C,W,bar,kg/h,t/h,kW,kW/m2K,W/m2K,kJ/kgK,kJ/kg,m3/h,Nm3/t,kWh/Nm3,Nm3/h,%,kg/kmol,eur,eur/year,eur/kW,kWel/kWth,year, days"</formula1>
    </dataValidation>
  </dataValidations>
  <pageMargins left="0.7" right="0.7" top="0.75" bottom="0.75" header="0" footer="0"/>
  <pageSetup orientation="landscape"/>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L83"/>
  <sheetViews>
    <sheetView showGridLines="0" zoomScale="25" zoomScaleNormal="25" workbookViewId="0">
      <selection activeCell="L97" sqref="L97"/>
    </sheetView>
  </sheetViews>
  <sheetFormatPr defaultColWidth="14.44140625" defaultRowHeight="15" customHeight="1" x14ac:dyDescent="0.3"/>
  <cols>
    <col min="1" max="1" width="153.33203125" style="83" bestFit="1" customWidth="1"/>
    <col min="2" max="2" width="13.6640625" style="83" customWidth="1"/>
    <col min="3" max="3" width="36.44140625" style="83" bestFit="1" customWidth="1"/>
    <col min="4" max="4" width="14" style="83" customWidth="1"/>
    <col min="5" max="5" width="22.44140625" style="83" customWidth="1"/>
    <col min="6" max="6" width="13.109375" style="83" bestFit="1" customWidth="1"/>
    <col min="7" max="7" width="97.44140625" style="83" bestFit="1" customWidth="1"/>
    <col min="8" max="8" width="10.33203125" style="83" bestFit="1" customWidth="1"/>
    <col min="9" max="9" width="10.6640625" style="83" bestFit="1" customWidth="1"/>
    <col min="10" max="10" width="24.33203125" style="83" bestFit="1" customWidth="1"/>
    <col min="11" max="11" width="20.109375" style="83" bestFit="1" customWidth="1"/>
    <col min="12" max="12" width="96" style="83" bestFit="1" customWidth="1"/>
    <col min="13" max="13" width="29.77734375" style="83" customWidth="1"/>
    <col min="14" max="39" width="10.6640625" style="83" customWidth="1"/>
    <col min="40" max="16384" width="14.44140625" style="83"/>
  </cols>
  <sheetData>
    <row r="1" spans="1:12" customFormat="1" ht="14.4" x14ac:dyDescent="0.3">
      <c r="A1" s="23" t="s">
        <v>29</v>
      </c>
      <c r="B1" s="24"/>
      <c r="C1" s="24"/>
      <c r="D1" s="24"/>
      <c r="E1" s="24"/>
      <c r="F1" s="24"/>
      <c r="G1" s="24"/>
      <c r="H1" s="24"/>
      <c r="I1" s="24"/>
      <c r="J1" s="24"/>
      <c r="K1" s="24"/>
      <c r="L1" s="24"/>
    </row>
    <row r="2" spans="1:12" ht="14.4" x14ac:dyDescent="0.3">
      <c r="A2" s="25" t="s">
        <v>30</v>
      </c>
      <c r="B2" s="24"/>
      <c r="C2" s="24"/>
      <c r="D2" s="24"/>
      <c r="E2" s="24"/>
      <c r="F2" s="24"/>
      <c r="G2" s="24"/>
      <c r="H2" s="24"/>
      <c r="I2" s="24"/>
      <c r="J2" s="24"/>
      <c r="K2" s="24"/>
      <c r="L2" s="24"/>
    </row>
    <row r="3" spans="1:12" ht="14.4" x14ac:dyDescent="0.3">
      <c r="A3" s="26" t="s">
        <v>31</v>
      </c>
      <c r="B3" s="27"/>
      <c r="C3" s="27"/>
      <c r="D3" s="27"/>
      <c r="E3" s="27"/>
      <c r="F3" s="27"/>
      <c r="G3" s="27"/>
      <c r="H3" s="27"/>
      <c r="I3" s="27"/>
      <c r="J3" s="27"/>
      <c r="K3" s="24"/>
      <c r="L3" s="24"/>
    </row>
    <row r="4" spans="1:12" ht="14.4" x14ac:dyDescent="0.3">
      <c r="A4" s="26" t="s">
        <v>32</v>
      </c>
      <c r="B4" s="27"/>
      <c r="C4" s="27"/>
      <c r="D4" s="27"/>
      <c r="E4" s="27"/>
      <c r="F4" s="27"/>
      <c r="G4" s="27"/>
      <c r="H4" s="27"/>
      <c r="I4" s="27"/>
      <c r="J4" s="27"/>
      <c r="K4" s="24"/>
      <c r="L4" s="24"/>
    </row>
    <row r="5" spans="1:12" ht="14.4" x14ac:dyDescent="0.3">
      <c r="A5" s="26" t="s">
        <v>33</v>
      </c>
      <c r="B5" s="27"/>
      <c r="C5" s="27"/>
      <c r="D5" s="27"/>
      <c r="E5" s="27"/>
      <c r="F5" s="27"/>
      <c r="G5" s="27"/>
      <c r="H5" s="27"/>
      <c r="I5" s="27"/>
      <c r="J5" s="27"/>
      <c r="K5" s="24"/>
      <c r="L5" s="24"/>
    </row>
    <row r="6" spans="1:12" ht="14.4" x14ac:dyDescent="0.3">
      <c r="A6" s="141" t="s">
        <v>144</v>
      </c>
      <c r="B6" s="27"/>
      <c r="C6" s="27"/>
      <c r="D6" s="27"/>
      <c r="E6" s="27"/>
      <c r="F6" s="27"/>
      <c r="G6" s="27"/>
      <c r="H6" s="27"/>
      <c r="I6" s="27"/>
      <c r="J6" s="27"/>
      <c r="K6" s="24"/>
      <c r="L6" s="24"/>
    </row>
    <row r="7" spans="1:12" ht="14.4" x14ac:dyDescent="0.3">
      <c r="A7" s="28" t="s">
        <v>34</v>
      </c>
      <c r="B7" s="27"/>
      <c r="C7" s="27"/>
      <c r="D7" s="27"/>
      <c r="E7" s="27"/>
      <c r="F7" s="27"/>
      <c r="G7" s="27"/>
      <c r="H7" s="27"/>
      <c r="I7" s="27"/>
      <c r="J7" s="27"/>
      <c r="K7" s="24"/>
      <c r="L7" s="24"/>
    </row>
    <row r="8" spans="1:12" ht="14.4" x14ac:dyDescent="0.3">
      <c r="A8" s="27" t="s">
        <v>35</v>
      </c>
      <c r="B8" s="27"/>
      <c r="C8" s="27"/>
      <c r="D8" s="27"/>
      <c r="E8" s="27"/>
      <c r="F8" s="27"/>
      <c r="G8" s="27"/>
      <c r="H8" s="27"/>
      <c r="I8" s="27"/>
      <c r="J8" s="27"/>
      <c r="K8" s="24"/>
      <c r="L8" s="24"/>
    </row>
    <row r="9" spans="1:12" ht="14.4" x14ac:dyDescent="0.3">
      <c r="A9" s="29" t="s">
        <v>36</v>
      </c>
      <c r="B9" s="30"/>
      <c r="C9" s="30"/>
      <c r="D9" s="30"/>
      <c r="E9" s="30"/>
      <c r="F9" s="30"/>
      <c r="G9" s="30"/>
      <c r="H9" s="30"/>
      <c r="I9" s="30"/>
      <c r="J9" s="30"/>
      <c r="K9" s="31"/>
      <c r="L9" s="31"/>
    </row>
    <row r="10" spans="1:12" ht="14.4" x14ac:dyDescent="0.3">
      <c r="A10" s="32" t="s">
        <v>37</v>
      </c>
      <c r="B10" s="30"/>
      <c r="C10" s="30"/>
      <c r="D10" s="30"/>
      <c r="E10" s="30"/>
      <c r="F10" s="30"/>
      <c r="G10" s="30"/>
      <c r="H10" s="30"/>
      <c r="I10" s="30"/>
      <c r="J10" s="30"/>
      <c r="K10" s="31"/>
      <c r="L10" s="31"/>
    </row>
    <row r="11" spans="1:12" ht="14.4" x14ac:dyDescent="0.3">
      <c r="A11" s="27"/>
      <c r="B11" s="30"/>
      <c r="C11" s="30"/>
      <c r="D11" s="30"/>
      <c r="E11" s="30"/>
      <c r="F11" s="30"/>
      <c r="G11" s="30"/>
      <c r="H11" s="30"/>
      <c r="I11" s="30"/>
      <c r="J11" s="30"/>
      <c r="K11" s="31"/>
      <c r="L11" s="31"/>
    </row>
    <row r="12" spans="1:12" ht="17.25" customHeight="1" thickBot="1" x14ac:dyDescent="0.35">
      <c r="A12" s="33"/>
      <c r="B12" s="34"/>
      <c r="C12" s="34"/>
      <c r="D12" s="34"/>
      <c r="E12" s="34"/>
      <c r="F12" s="34"/>
      <c r="G12" s="81"/>
      <c r="H12" s="34"/>
      <c r="I12" s="34"/>
      <c r="J12" s="34"/>
      <c r="K12" s="34"/>
      <c r="L12" s="34"/>
    </row>
    <row r="13" spans="1:12" ht="14.4" x14ac:dyDescent="0.3">
      <c r="A13" s="35"/>
      <c r="B13" s="36"/>
      <c r="C13" s="36"/>
      <c r="D13" s="36"/>
      <c r="E13" s="36"/>
      <c r="F13" s="36"/>
      <c r="G13" s="82"/>
      <c r="H13" s="36"/>
      <c r="I13" s="36"/>
      <c r="J13" s="36"/>
      <c r="K13" s="36"/>
      <c r="L13" s="36"/>
    </row>
    <row r="14" spans="1:12" thickBot="1" x14ac:dyDescent="0.35">
      <c r="A14" s="89" t="s">
        <v>3</v>
      </c>
      <c r="B14" s="110"/>
      <c r="C14" s="110"/>
      <c r="D14" s="110"/>
      <c r="E14" s="110"/>
      <c r="F14" s="110"/>
      <c r="G14" s="98"/>
      <c r="H14" s="110"/>
      <c r="I14" s="110"/>
      <c r="J14" s="110"/>
      <c r="K14" s="110"/>
      <c r="L14" s="111"/>
    </row>
    <row r="15" spans="1:12" thickBot="1" x14ac:dyDescent="0.35">
      <c r="A15" s="112" t="s">
        <v>98</v>
      </c>
      <c r="B15" s="113" t="s">
        <v>18</v>
      </c>
      <c r="C15" s="113" t="s">
        <v>60</v>
      </c>
      <c r="D15" s="113" t="s">
        <v>34</v>
      </c>
      <c r="E15" s="113" t="s">
        <v>152</v>
      </c>
      <c r="F15" s="113" t="s">
        <v>19</v>
      </c>
      <c r="G15" s="113" t="s">
        <v>151</v>
      </c>
      <c r="H15" s="114" t="s">
        <v>61</v>
      </c>
      <c r="I15" s="113" t="s">
        <v>62</v>
      </c>
      <c r="J15" s="113" t="s">
        <v>63</v>
      </c>
      <c r="K15" s="143" t="s">
        <v>104</v>
      </c>
      <c r="L15" s="115" t="s">
        <v>15</v>
      </c>
    </row>
    <row r="16" spans="1:12" ht="14.4" x14ac:dyDescent="0.3">
      <c r="A16" s="204" t="s">
        <v>343</v>
      </c>
      <c r="B16" s="186" t="s">
        <v>160</v>
      </c>
      <c r="C16" s="186" t="s">
        <v>342</v>
      </c>
      <c r="D16" s="186" t="s">
        <v>159</v>
      </c>
      <c r="E16" s="205">
        <v>5</v>
      </c>
      <c r="F16" s="186" t="s">
        <v>367</v>
      </c>
      <c r="G16" s="186" t="s">
        <v>27</v>
      </c>
      <c r="H16" s="219">
        <v>2</v>
      </c>
      <c r="I16" s="219">
        <v>15</v>
      </c>
      <c r="J16" s="206" t="s">
        <v>341</v>
      </c>
      <c r="K16" s="219" t="s">
        <v>494</v>
      </c>
      <c r="L16" s="209" t="s">
        <v>342</v>
      </c>
    </row>
    <row r="17" spans="1:12" ht="14.4" x14ac:dyDescent="0.3">
      <c r="A17" s="201" t="s">
        <v>340</v>
      </c>
      <c r="B17" s="178" t="s">
        <v>160</v>
      </c>
      <c r="C17" s="178" t="s">
        <v>339</v>
      </c>
      <c r="D17" s="178" t="s">
        <v>159</v>
      </c>
      <c r="E17" s="202">
        <v>382.49799999999999</v>
      </c>
      <c r="F17" s="178" t="s">
        <v>173</v>
      </c>
      <c r="G17" s="178" t="s">
        <v>27</v>
      </c>
      <c r="H17" s="200">
        <v>0</v>
      </c>
      <c r="I17" s="200">
        <v>5000</v>
      </c>
      <c r="J17" s="203" t="s">
        <v>274</v>
      </c>
      <c r="K17" s="200" t="s">
        <v>494</v>
      </c>
      <c r="L17" s="210" t="s">
        <v>339</v>
      </c>
    </row>
    <row r="18" spans="1:12" ht="14.4" x14ac:dyDescent="0.3">
      <c r="A18" s="201" t="s">
        <v>338</v>
      </c>
      <c r="B18" s="178" t="s">
        <v>160</v>
      </c>
      <c r="C18" s="178" t="s">
        <v>337</v>
      </c>
      <c r="D18" s="178" t="s">
        <v>159</v>
      </c>
      <c r="E18" s="202">
        <v>2.4180000000000001</v>
      </c>
      <c r="F18" s="178" t="s">
        <v>231</v>
      </c>
      <c r="G18" s="178" t="s">
        <v>27</v>
      </c>
      <c r="H18" s="200">
        <v>0</v>
      </c>
      <c r="I18" s="200">
        <v>50</v>
      </c>
      <c r="J18" s="203" t="s">
        <v>336</v>
      </c>
      <c r="K18" s="200" t="s">
        <v>494</v>
      </c>
      <c r="L18" s="210" t="s">
        <v>337</v>
      </c>
    </row>
    <row r="19" spans="1:12" ht="14.4" x14ac:dyDescent="0.3">
      <c r="A19" s="201" t="s">
        <v>335</v>
      </c>
      <c r="B19" s="178" t="s">
        <v>160</v>
      </c>
      <c r="C19" s="178" t="s">
        <v>334</v>
      </c>
      <c r="D19" s="178" t="s">
        <v>159</v>
      </c>
      <c r="E19" s="202">
        <v>13.73</v>
      </c>
      <c r="F19" s="178" t="s">
        <v>173</v>
      </c>
      <c r="G19" s="178" t="s">
        <v>27</v>
      </c>
      <c r="H19" s="200">
        <v>0</v>
      </c>
      <c r="I19" s="200">
        <v>200</v>
      </c>
      <c r="J19" s="203" t="s">
        <v>333</v>
      </c>
      <c r="K19" s="200" t="s">
        <v>494</v>
      </c>
      <c r="L19" s="210" t="s">
        <v>334</v>
      </c>
    </row>
    <row r="20" spans="1:12" ht="14.4" x14ac:dyDescent="0.3">
      <c r="A20" s="201" t="s">
        <v>332</v>
      </c>
      <c r="B20" s="178" t="s">
        <v>160</v>
      </c>
      <c r="C20" s="178" t="s">
        <v>331</v>
      </c>
      <c r="D20" s="178" t="s">
        <v>159</v>
      </c>
      <c r="E20" s="202">
        <v>93.93</v>
      </c>
      <c r="F20" s="178" t="s">
        <v>173</v>
      </c>
      <c r="G20" s="178" t="s">
        <v>27</v>
      </c>
      <c r="H20" s="200">
        <v>0</v>
      </c>
      <c r="I20" s="200">
        <v>1000</v>
      </c>
      <c r="J20" s="203" t="s">
        <v>330</v>
      </c>
      <c r="K20" s="200" t="s">
        <v>494</v>
      </c>
      <c r="L20" s="210" t="s">
        <v>331</v>
      </c>
    </row>
    <row r="21" spans="1:12" ht="14.4" x14ac:dyDescent="0.3">
      <c r="A21" s="201" t="s">
        <v>329</v>
      </c>
      <c r="B21" s="178" t="s">
        <v>160</v>
      </c>
      <c r="C21" s="178" t="s">
        <v>328</v>
      </c>
      <c r="D21" s="178" t="s">
        <v>159</v>
      </c>
      <c r="E21" s="202">
        <v>100.31</v>
      </c>
      <c r="F21" s="178" t="s">
        <v>173</v>
      </c>
      <c r="G21" s="178" t="s">
        <v>27</v>
      </c>
      <c r="H21" s="200">
        <v>0</v>
      </c>
      <c r="I21" s="200">
        <v>1500</v>
      </c>
      <c r="J21" s="203" t="s">
        <v>327</v>
      </c>
      <c r="K21" s="200" t="s">
        <v>494</v>
      </c>
      <c r="L21" s="210" t="s">
        <v>328</v>
      </c>
    </row>
    <row r="22" spans="1:12" ht="14.4" x14ac:dyDescent="0.3">
      <c r="A22" s="201" t="s">
        <v>326</v>
      </c>
      <c r="B22" s="178" t="s">
        <v>160</v>
      </c>
      <c r="C22" s="178" t="s">
        <v>325</v>
      </c>
      <c r="D22" s="178" t="s">
        <v>159</v>
      </c>
      <c r="E22" s="202">
        <v>119.73</v>
      </c>
      <c r="F22" s="178" t="s">
        <v>173</v>
      </c>
      <c r="G22" s="178" t="s">
        <v>27</v>
      </c>
      <c r="H22" s="200">
        <v>0</v>
      </c>
      <c r="I22" s="200">
        <v>1500</v>
      </c>
      <c r="J22" s="203" t="s">
        <v>324</v>
      </c>
      <c r="K22" s="200" t="s">
        <v>494</v>
      </c>
      <c r="L22" s="210" t="s">
        <v>325</v>
      </c>
    </row>
    <row r="23" spans="1:12" ht="14.4" x14ac:dyDescent="0.3">
      <c r="A23" s="201" t="s">
        <v>323</v>
      </c>
      <c r="B23" s="178" t="s">
        <v>160</v>
      </c>
      <c r="C23" s="178" t="s">
        <v>322</v>
      </c>
      <c r="D23" s="178" t="s">
        <v>159</v>
      </c>
      <c r="E23" s="202">
        <v>114.48</v>
      </c>
      <c r="F23" s="178" t="s">
        <v>367</v>
      </c>
      <c r="G23" s="178" t="s">
        <v>27</v>
      </c>
      <c r="H23" s="200">
        <v>25</v>
      </c>
      <c r="I23" s="200">
        <v>200</v>
      </c>
      <c r="J23" s="203" t="s">
        <v>321</v>
      </c>
      <c r="K23" s="200" t="s">
        <v>494</v>
      </c>
      <c r="L23" s="210" t="s">
        <v>322</v>
      </c>
    </row>
    <row r="24" spans="1:12" ht="14.4" x14ac:dyDescent="0.3">
      <c r="A24" s="201" t="s">
        <v>320</v>
      </c>
      <c r="B24" s="178" t="s">
        <v>160</v>
      </c>
      <c r="C24" s="178" t="s">
        <v>319</v>
      </c>
      <c r="D24" s="178" t="s">
        <v>159</v>
      </c>
      <c r="E24" s="202">
        <v>95</v>
      </c>
      <c r="F24" s="178" t="s">
        <v>367</v>
      </c>
      <c r="G24" s="178" t="s">
        <v>27</v>
      </c>
      <c r="H24" s="200">
        <v>25</v>
      </c>
      <c r="I24" s="200">
        <v>150</v>
      </c>
      <c r="J24" s="203" t="s">
        <v>318</v>
      </c>
      <c r="K24" s="200" t="s">
        <v>494</v>
      </c>
      <c r="L24" s="210" t="s">
        <v>319</v>
      </c>
    </row>
    <row r="25" spans="1:12" ht="14.4" x14ac:dyDescent="0.3">
      <c r="A25" s="201" t="s">
        <v>317</v>
      </c>
      <c r="B25" s="178" t="s">
        <v>160</v>
      </c>
      <c r="C25" s="178" t="s">
        <v>316</v>
      </c>
      <c r="D25" s="178" t="s">
        <v>159</v>
      </c>
      <c r="E25" s="202">
        <v>234.2</v>
      </c>
      <c r="F25" s="178" t="s">
        <v>367</v>
      </c>
      <c r="G25" s="178" t="s">
        <v>27</v>
      </c>
      <c r="H25" s="200">
        <v>100</v>
      </c>
      <c r="I25" s="200">
        <v>400</v>
      </c>
      <c r="J25" s="203" t="s">
        <v>315</v>
      </c>
      <c r="K25" s="200" t="s">
        <v>494</v>
      </c>
      <c r="L25" s="210" t="s">
        <v>316</v>
      </c>
    </row>
    <row r="26" spans="1:12" ht="14.4" x14ac:dyDescent="0.3">
      <c r="A26" s="201" t="s">
        <v>314</v>
      </c>
      <c r="B26" s="178" t="s">
        <v>160</v>
      </c>
      <c r="C26" s="178" t="s">
        <v>313</v>
      </c>
      <c r="D26" s="178" t="s">
        <v>159</v>
      </c>
      <c r="E26" s="202">
        <v>110</v>
      </c>
      <c r="F26" s="178" t="s">
        <v>367</v>
      </c>
      <c r="G26" s="178" t="s">
        <v>27</v>
      </c>
      <c r="H26" s="200">
        <v>25</v>
      </c>
      <c r="I26" s="200">
        <v>200</v>
      </c>
      <c r="J26" s="203" t="s">
        <v>312</v>
      </c>
      <c r="K26" s="200" t="s">
        <v>494</v>
      </c>
      <c r="L26" s="210" t="s">
        <v>313</v>
      </c>
    </row>
    <row r="27" spans="1:12" ht="14.4" x14ac:dyDescent="0.3">
      <c r="A27" s="201" t="s">
        <v>311</v>
      </c>
      <c r="B27" s="178" t="s">
        <v>160</v>
      </c>
      <c r="C27" s="178" t="s">
        <v>310</v>
      </c>
      <c r="D27" s="178" t="s">
        <v>159</v>
      </c>
      <c r="E27" s="202">
        <v>253.934</v>
      </c>
      <c r="F27" s="178" t="s">
        <v>367</v>
      </c>
      <c r="G27" s="178" t="s">
        <v>27</v>
      </c>
      <c r="H27" s="200">
        <v>100</v>
      </c>
      <c r="I27" s="200">
        <v>400</v>
      </c>
      <c r="J27" s="203" t="s">
        <v>309</v>
      </c>
      <c r="K27" s="200" t="s">
        <v>494</v>
      </c>
      <c r="L27" s="210" t="s">
        <v>310</v>
      </c>
    </row>
    <row r="28" spans="1:12" ht="14.4" x14ac:dyDescent="0.3">
      <c r="A28" s="201" t="s">
        <v>308</v>
      </c>
      <c r="B28" s="178" t="s">
        <v>160</v>
      </c>
      <c r="C28" s="178" t="s">
        <v>307</v>
      </c>
      <c r="D28" s="178" t="s">
        <v>159</v>
      </c>
      <c r="E28" s="202">
        <v>130</v>
      </c>
      <c r="F28" s="178" t="s">
        <v>367</v>
      </c>
      <c r="G28" s="178" t="s">
        <v>27</v>
      </c>
      <c r="H28" s="200">
        <v>25</v>
      </c>
      <c r="I28" s="200">
        <v>200</v>
      </c>
      <c r="J28" s="203" t="s">
        <v>306</v>
      </c>
      <c r="K28" s="200" t="s">
        <v>494</v>
      </c>
      <c r="L28" s="210" t="s">
        <v>307</v>
      </c>
    </row>
    <row r="29" spans="1:12" ht="14.4" x14ac:dyDescent="0.3">
      <c r="A29" s="201" t="s">
        <v>305</v>
      </c>
      <c r="B29" s="178" t="s">
        <v>160</v>
      </c>
      <c r="C29" s="178" t="s">
        <v>304</v>
      </c>
      <c r="D29" s="178" t="s">
        <v>159</v>
      </c>
      <c r="E29" s="202">
        <v>280.66000000000003</v>
      </c>
      <c r="F29" s="178" t="s">
        <v>367</v>
      </c>
      <c r="G29" s="178" t="s">
        <v>27</v>
      </c>
      <c r="H29" s="200">
        <v>100</v>
      </c>
      <c r="I29" s="200">
        <v>450</v>
      </c>
      <c r="J29" s="203" t="s">
        <v>303</v>
      </c>
      <c r="K29" s="200" t="s">
        <v>494</v>
      </c>
      <c r="L29" s="210" t="s">
        <v>304</v>
      </c>
    </row>
    <row r="30" spans="1:12" ht="14.4" x14ac:dyDescent="0.3">
      <c r="A30" s="201" t="s">
        <v>302</v>
      </c>
      <c r="B30" s="178" t="s">
        <v>160</v>
      </c>
      <c r="C30" s="178" t="s">
        <v>301</v>
      </c>
      <c r="D30" s="178" t="s">
        <v>159</v>
      </c>
      <c r="E30" s="202">
        <v>144</v>
      </c>
      <c r="F30" s="178" t="s">
        <v>367</v>
      </c>
      <c r="G30" s="178" t="s">
        <v>27</v>
      </c>
      <c r="H30" s="200">
        <v>25</v>
      </c>
      <c r="I30" s="200">
        <v>200</v>
      </c>
      <c r="J30" s="203" t="s">
        <v>300</v>
      </c>
      <c r="K30" s="200" t="s">
        <v>494</v>
      </c>
      <c r="L30" s="210" t="s">
        <v>301</v>
      </c>
    </row>
    <row r="31" spans="1:12" ht="14.4" x14ac:dyDescent="0.3">
      <c r="A31" s="201" t="s">
        <v>299</v>
      </c>
      <c r="B31" s="178" t="s">
        <v>160</v>
      </c>
      <c r="C31" s="178" t="s">
        <v>298</v>
      </c>
      <c r="D31" s="178" t="s">
        <v>159</v>
      </c>
      <c r="E31" s="202">
        <v>25</v>
      </c>
      <c r="F31" s="178" t="s">
        <v>367</v>
      </c>
      <c r="G31" s="178" t="s">
        <v>27</v>
      </c>
      <c r="H31" s="200">
        <v>10</v>
      </c>
      <c r="I31" s="200">
        <v>50</v>
      </c>
      <c r="J31" s="203" t="s">
        <v>297</v>
      </c>
      <c r="K31" s="200" t="s">
        <v>494</v>
      </c>
      <c r="L31" s="210" t="s">
        <v>298</v>
      </c>
    </row>
    <row r="32" spans="1:12" ht="14.4" x14ac:dyDescent="0.3">
      <c r="A32" s="201" t="s">
        <v>296</v>
      </c>
      <c r="B32" s="178" t="s">
        <v>160</v>
      </c>
      <c r="C32" s="178" t="s">
        <v>295</v>
      </c>
      <c r="D32" s="178" t="s">
        <v>159</v>
      </c>
      <c r="E32" s="202">
        <v>600</v>
      </c>
      <c r="F32" s="178" t="s">
        <v>367</v>
      </c>
      <c r="G32" s="178" t="s">
        <v>27</v>
      </c>
      <c r="H32" s="200">
        <v>400</v>
      </c>
      <c r="I32" s="200">
        <v>800</v>
      </c>
      <c r="J32" s="203" t="s">
        <v>294</v>
      </c>
      <c r="K32" s="200" t="s">
        <v>494</v>
      </c>
      <c r="L32" s="210" t="s">
        <v>295</v>
      </c>
    </row>
    <row r="33" spans="1:12" ht="14.4" x14ac:dyDescent="0.3">
      <c r="A33" s="201" t="s">
        <v>293</v>
      </c>
      <c r="B33" s="178" t="s">
        <v>160</v>
      </c>
      <c r="C33" s="178" t="s">
        <v>292</v>
      </c>
      <c r="D33" s="178" t="s">
        <v>159</v>
      </c>
      <c r="E33" s="202">
        <v>484.5</v>
      </c>
      <c r="F33" s="178" t="s">
        <v>173</v>
      </c>
      <c r="G33" s="178" t="s">
        <v>27</v>
      </c>
      <c r="H33" s="200">
        <v>0</v>
      </c>
      <c r="I33" s="200">
        <v>5000</v>
      </c>
      <c r="J33" s="203" t="s">
        <v>261</v>
      </c>
      <c r="K33" s="200" t="s">
        <v>494</v>
      </c>
      <c r="L33" s="210" t="s">
        <v>292</v>
      </c>
    </row>
    <row r="34" spans="1:12" ht="14.4" x14ac:dyDescent="0.3">
      <c r="A34" s="201" t="s">
        <v>291</v>
      </c>
      <c r="B34" s="178" t="s">
        <v>160</v>
      </c>
      <c r="C34" s="178" t="s">
        <v>290</v>
      </c>
      <c r="D34" s="178" t="s">
        <v>159</v>
      </c>
      <c r="E34" s="202">
        <v>1</v>
      </c>
      <c r="F34" s="178" t="s">
        <v>231</v>
      </c>
      <c r="G34" s="178" t="s">
        <v>27</v>
      </c>
      <c r="H34" s="200">
        <v>0</v>
      </c>
      <c r="I34" s="200">
        <v>50</v>
      </c>
      <c r="J34" s="203" t="s">
        <v>289</v>
      </c>
      <c r="K34" s="200" t="s">
        <v>494</v>
      </c>
      <c r="L34" s="210" t="s">
        <v>290</v>
      </c>
    </row>
    <row r="35" spans="1:12" ht="14.4" x14ac:dyDescent="0.3">
      <c r="A35" s="302" t="s">
        <v>462</v>
      </c>
      <c r="B35" s="178" t="s">
        <v>160</v>
      </c>
      <c r="C35" s="178" t="s">
        <v>463</v>
      </c>
      <c r="D35" s="178" t="s">
        <v>159</v>
      </c>
      <c r="E35" s="202">
        <v>0.9</v>
      </c>
      <c r="F35" s="178" t="s">
        <v>231</v>
      </c>
      <c r="G35" s="178" t="s">
        <v>27</v>
      </c>
      <c r="H35" s="200">
        <v>0</v>
      </c>
      <c r="I35" s="200">
        <v>50</v>
      </c>
      <c r="J35" s="203" t="s">
        <v>464</v>
      </c>
      <c r="K35" s="200" t="s">
        <v>494</v>
      </c>
      <c r="L35" s="210" t="s">
        <v>463</v>
      </c>
    </row>
    <row r="36" spans="1:12" ht="14.4" x14ac:dyDescent="0.3">
      <c r="A36" s="302" t="s">
        <v>465</v>
      </c>
      <c r="B36" s="178" t="s">
        <v>160</v>
      </c>
      <c r="C36" s="178" t="s">
        <v>467</v>
      </c>
      <c r="D36" s="178" t="s">
        <v>159</v>
      </c>
      <c r="E36" s="202">
        <v>0.1</v>
      </c>
      <c r="F36" s="178" t="s">
        <v>231</v>
      </c>
      <c r="G36" s="178" t="s">
        <v>27</v>
      </c>
      <c r="H36" s="200">
        <v>0</v>
      </c>
      <c r="I36" s="200">
        <v>5</v>
      </c>
      <c r="J36" s="203" t="s">
        <v>469</v>
      </c>
      <c r="K36" s="200" t="s">
        <v>494</v>
      </c>
      <c r="L36" s="210" t="s">
        <v>467</v>
      </c>
    </row>
    <row r="37" spans="1:12" ht="14.4" x14ac:dyDescent="0.3">
      <c r="A37" s="302" t="s">
        <v>466</v>
      </c>
      <c r="B37" s="178" t="s">
        <v>160</v>
      </c>
      <c r="C37" s="178" t="s">
        <v>468</v>
      </c>
      <c r="D37" s="178" t="s">
        <v>159</v>
      </c>
      <c r="E37" s="202">
        <v>83</v>
      </c>
      <c r="F37" s="178" t="s">
        <v>173</v>
      </c>
      <c r="G37" s="178" t="s">
        <v>27</v>
      </c>
      <c r="H37" s="200">
        <v>0</v>
      </c>
      <c r="I37" s="200">
        <v>400</v>
      </c>
      <c r="J37" s="203" t="s">
        <v>470</v>
      </c>
      <c r="K37" s="200" t="s">
        <v>494</v>
      </c>
      <c r="L37" s="210" t="s">
        <v>468</v>
      </c>
    </row>
    <row r="38" spans="1:12" ht="14.4" x14ac:dyDescent="0.3">
      <c r="A38" s="201" t="s">
        <v>288</v>
      </c>
      <c r="B38" s="178" t="s">
        <v>160</v>
      </c>
      <c r="C38" s="178" t="s">
        <v>287</v>
      </c>
      <c r="D38" s="178" t="s">
        <v>159</v>
      </c>
      <c r="E38" s="202">
        <v>484.5</v>
      </c>
      <c r="F38" s="178" t="s">
        <v>173</v>
      </c>
      <c r="G38" s="178" t="s">
        <v>27</v>
      </c>
      <c r="H38" s="200">
        <v>0</v>
      </c>
      <c r="I38" s="200">
        <v>5000</v>
      </c>
      <c r="J38" s="203" t="s">
        <v>258</v>
      </c>
      <c r="K38" s="200" t="s">
        <v>494</v>
      </c>
      <c r="L38" s="210" t="s">
        <v>287</v>
      </c>
    </row>
    <row r="39" spans="1:12" ht="14.4" x14ac:dyDescent="0.3">
      <c r="A39" s="201" t="s">
        <v>286</v>
      </c>
      <c r="B39" s="178" t="s">
        <v>160</v>
      </c>
      <c r="C39" s="178" t="s">
        <v>285</v>
      </c>
      <c r="D39" s="178" t="s">
        <v>159</v>
      </c>
      <c r="E39" s="202">
        <v>29.7</v>
      </c>
      <c r="F39" s="178" t="s">
        <v>367</v>
      </c>
      <c r="G39" s="178" t="s">
        <v>27</v>
      </c>
      <c r="H39" s="200">
        <v>10</v>
      </c>
      <c r="I39" s="200">
        <v>60</v>
      </c>
      <c r="J39" s="203" t="s">
        <v>284</v>
      </c>
      <c r="K39" s="200" t="s">
        <v>494</v>
      </c>
      <c r="L39" s="210" t="s">
        <v>285</v>
      </c>
    </row>
    <row r="40" spans="1:12" ht="14.4" x14ac:dyDescent="0.3">
      <c r="A40" s="201" t="s">
        <v>283</v>
      </c>
      <c r="B40" s="178" t="s">
        <v>160</v>
      </c>
      <c r="C40" s="178" t="s">
        <v>282</v>
      </c>
      <c r="D40" s="178" t="s">
        <v>159</v>
      </c>
      <c r="E40" s="202">
        <v>155</v>
      </c>
      <c r="F40" s="178" t="s">
        <v>367</v>
      </c>
      <c r="G40" s="178" t="s">
        <v>27</v>
      </c>
      <c r="H40" s="200">
        <v>100</v>
      </c>
      <c r="I40" s="200">
        <v>250</v>
      </c>
      <c r="J40" s="203" t="s">
        <v>281</v>
      </c>
      <c r="K40" s="200" t="s">
        <v>494</v>
      </c>
      <c r="L40" s="210" t="s">
        <v>282</v>
      </c>
    </row>
    <row r="41" spans="1:12" ht="14.4" x14ac:dyDescent="0.3">
      <c r="A41" s="201" t="s">
        <v>280</v>
      </c>
      <c r="B41" s="178" t="s">
        <v>160</v>
      </c>
      <c r="C41" s="178" t="s">
        <v>279</v>
      </c>
      <c r="D41" s="178" t="s">
        <v>159</v>
      </c>
      <c r="E41" s="202">
        <v>109.72750000000001</v>
      </c>
      <c r="F41" s="178" t="s">
        <v>173</v>
      </c>
      <c r="G41" s="178" t="s">
        <v>27</v>
      </c>
      <c r="H41" s="200">
        <v>0</v>
      </c>
      <c r="I41" s="200">
        <v>2000</v>
      </c>
      <c r="J41" s="203" t="s">
        <v>255</v>
      </c>
      <c r="K41" s="200" t="s">
        <v>494</v>
      </c>
      <c r="L41" s="210" t="s">
        <v>279</v>
      </c>
    </row>
    <row r="42" spans="1:12" ht="14.4" x14ac:dyDescent="0.3">
      <c r="A42" s="201" t="s">
        <v>278</v>
      </c>
      <c r="B42" s="178" t="s">
        <v>160</v>
      </c>
      <c r="C42" s="178" t="s">
        <v>277</v>
      </c>
      <c r="D42" s="178" t="s">
        <v>159</v>
      </c>
      <c r="E42" s="202">
        <v>9.5779999999999994</v>
      </c>
      <c r="F42" s="178" t="s">
        <v>173</v>
      </c>
      <c r="G42" s="178" t="s">
        <v>27</v>
      </c>
      <c r="H42" s="200">
        <v>0</v>
      </c>
      <c r="I42" s="200">
        <v>200</v>
      </c>
      <c r="J42" s="203" t="s">
        <v>251</v>
      </c>
      <c r="K42" s="200" t="s">
        <v>494</v>
      </c>
      <c r="L42" s="210" t="s">
        <v>277</v>
      </c>
    </row>
    <row r="43" spans="1:12" ht="14.4" x14ac:dyDescent="0.3">
      <c r="A43" s="201" t="s">
        <v>276</v>
      </c>
      <c r="B43" s="178" t="s">
        <v>160</v>
      </c>
      <c r="C43" s="178" t="s">
        <v>275</v>
      </c>
      <c r="D43" s="178" t="s">
        <v>159</v>
      </c>
      <c r="E43" s="202">
        <f>MC_W/FG_M</f>
        <v>158.18775847808104</v>
      </c>
      <c r="F43" s="178" t="s">
        <v>173</v>
      </c>
      <c r="G43" s="178" t="s">
        <v>410</v>
      </c>
      <c r="H43" s="200">
        <v>10</v>
      </c>
      <c r="I43" s="200">
        <v>500</v>
      </c>
      <c r="J43" s="203" t="s">
        <v>274</v>
      </c>
      <c r="K43" s="200" t="s">
        <v>494</v>
      </c>
      <c r="L43" s="210" t="s">
        <v>275</v>
      </c>
    </row>
    <row r="44" spans="1:12" ht="14.4" x14ac:dyDescent="0.3">
      <c r="A44" s="201" t="s">
        <v>273</v>
      </c>
      <c r="B44" s="178" t="s">
        <v>160</v>
      </c>
      <c r="C44" s="178" t="s">
        <v>272</v>
      </c>
      <c r="D44" s="178" t="s">
        <v>159</v>
      </c>
      <c r="E44" s="202">
        <f>Air_Q1/FG_M</f>
        <v>5.6782464846980973</v>
      </c>
      <c r="F44" s="178" t="s">
        <v>252</v>
      </c>
      <c r="G44" s="178" t="s">
        <v>411</v>
      </c>
      <c r="H44" s="200">
        <v>0</v>
      </c>
      <c r="I44" s="200">
        <v>100</v>
      </c>
      <c r="J44" s="203" t="s">
        <v>271</v>
      </c>
      <c r="K44" s="200" t="s">
        <v>494</v>
      </c>
      <c r="L44" s="210" t="s">
        <v>272</v>
      </c>
    </row>
    <row r="45" spans="1:12" ht="14.4" x14ac:dyDescent="0.3">
      <c r="A45" s="201" t="s">
        <v>270</v>
      </c>
      <c r="B45" s="178" t="s">
        <v>160</v>
      </c>
      <c r="C45" s="178" t="s">
        <v>265</v>
      </c>
      <c r="D45" s="178" t="s">
        <v>159</v>
      </c>
      <c r="E45" s="202">
        <f>Air_Q2/FG_M</f>
        <v>38.846153846153847</v>
      </c>
      <c r="F45" s="178" t="s">
        <v>252</v>
      </c>
      <c r="G45" s="178" t="s">
        <v>412</v>
      </c>
      <c r="H45" s="200">
        <v>0</v>
      </c>
      <c r="I45" s="200">
        <v>100</v>
      </c>
      <c r="J45" s="203" t="s">
        <v>269</v>
      </c>
      <c r="K45" s="200" t="s">
        <v>494</v>
      </c>
      <c r="L45" s="210" t="s">
        <v>265</v>
      </c>
    </row>
    <row r="46" spans="1:12" ht="14.4" x14ac:dyDescent="0.3">
      <c r="A46" s="201" t="s">
        <v>268</v>
      </c>
      <c r="B46" s="178" t="s">
        <v>160</v>
      </c>
      <c r="C46" s="178" t="s">
        <v>265</v>
      </c>
      <c r="D46" s="178" t="s">
        <v>159</v>
      </c>
      <c r="E46" s="202">
        <f>Air_Q3/FG_M</f>
        <v>41.484698097601324</v>
      </c>
      <c r="F46" s="178" t="s">
        <v>252</v>
      </c>
      <c r="G46" s="178" t="s">
        <v>413</v>
      </c>
      <c r="H46" s="200">
        <v>0</v>
      </c>
      <c r="I46" s="200">
        <v>100</v>
      </c>
      <c r="J46" s="203" t="s">
        <v>267</v>
      </c>
      <c r="K46" s="200" t="s">
        <v>494</v>
      </c>
      <c r="L46" s="210" t="s">
        <v>265</v>
      </c>
    </row>
    <row r="47" spans="1:12" ht="14.4" x14ac:dyDescent="0.3">
      <c r="A47" s="201" t="s">
        <v>266</v>
      </c>
      <c r="B47" s="178" t="s">
        <v>160</v>
      </c>
      <c r="C47" s="178" t="s">
        <v>265</v>
      </c>
      <c r="D47" s="178" t="s">
        <v>159</v>
      </c>
      <c r="E47" s="202">
        <f>Air_Q4/FG_M</f>
        <v>49.516129032258064</v>
      </c>
      <c r="F47" s="178" t="s">
        <v>252</v>
      </c>
      <c r="G47" s="178" t="s">
        <v>414</v>
      </c>
      <c r="H47" s="200">
        <v>0</v>
      </c>
      <c r="I47" s="200">
        <v>100</v>
      </c>
      <c r="J47" s="203" t="s">
        <v>264</v>
      </c>
      <c r="K47" s="200" t="s">
        <v>494</v>
      </c>
      <c r="L47" s="210" t="s">
        <v>265</v>
      </c>
    </row>
    <row r="48" spans="1:12" ht="14.4" x14ac:dyDescent="0.3">
      <c r="A48" s="201" t="s">
        <v>263</v>
      </c>
      <c r="B48" s="178" t="s">
        <v>160</v>
      </c>
      <c r="C48" s="178" t="s">
        <v>262</v>
      </c>
      <c r="D48" s="178" t="s">
        <v>159</v>
      </c>
      <c r="E48" s="202">
        <f>B5_Q/Serp_M</f>
        <v>484.5</v>
      </c>
      <c r="F48" s="178" t="s">
        <v>252</v>
      </c>
      <c r="G48" s="178" t="s">
        <v>415</v>
      </c>
      <c r="H48" s="200">
        <v>10</v>
      </c>
      <c r="I48" s="200">
        <v>1000</v>
      </c>
      <c r="J48" s="203" t="s">
        <v>261</v>
      </c>
      <c r="K48" s="200" t="s">
        <v>494</v>
      </c>
      <c r="L48" s="210" t="s">
        <v>262</v>
      </c>
    </row>
    <row r="49" spans="1:12" ht="14.4" x14ac:dyDescent="0.3">
      <c r="A49" s="201" t="s">
        <v>260</v>
      </c>
      <c r="B49" s="178" t="s">
        <v>160</v>
      </c>
      <c r="C49" s="178" t="s">
        <v>259</v>
      </c>
      <c r="D49" s="178" t="s">
        <v>159</v>
      </c>
      <c r="E49" s="202">
        <f>Cooling_Q/Serp_M</f>
        <v>484.5</v>
      </c>
      <c r="F49" s="178" t="s">
        <v>252</v>
      </c>
      <c r="G49" s="178" t="s">
        <v>416</v>
      </c>
      <c r="H49" s="200">
        <v>10</v>
      </c>
      <c r="I49" s="200">
        <v>1000</v>
      </c>
      <c r="J49" s="203" t="s">
        <v>258</v>
      </c>
      <c r="K49" s="200" t="s">
        <v>494</v>
      </c>
      <c r="L49" s="210" t="s">
        <v>259</v>
      </c>
    </row>
    <row r="50" spans="1:12" ht="14.4" x14ac:dyDescent="0.3">
      <c r="A50" s="201" t="s">
        <v>257</v>
      </c>
      <c r="B50" s="178" t="s">
        <v>160</v>
      </c>
      <c r="C50" s="178" t="s">
        <v>256</v>
      </c>
      <c r="D50" s="178" t="s">
        <v>159</v>
      </c>
      <c r="E50" s="202">
        <f>H3_Q/Serp_M</f>
        <v>109.72750000000001</v>
      </c>
      <c r="F50" s="178" t="s">
        <v>252</v>
      </c>
      <c r="G50" s="178" t="s">
        <v>417</v>
      </c>
      <c r="H50" s="200">
        <v>1</v>
      </c>
      <c r="I50" s="200">
        <v>500</v>
      </c>
      <c r="J50" s="203" t="s">
        <v>255</v>
      </c>
      <c r="K50" s="200" t="s">
        <v>494</v>
      </c>
      <c r="L50" s="210" t="s">
        <v>256</v>
      </c>
    </row>
    <row r="51" spans="1:12" ht="14.4" x14ac:dyDescent="0.3">
      <c r="A51" s="201" t="s">
        <v>254</v>
      </c>
      <c r="B51" s="178" t="s">
        <v>160</v>
      </c>
      <c r="C51" s="178" t="s">
        <v>253</v>
      </c>
      <c r="D51" s="178" t="s">
        <v>159</v>
      </c>
      <c r="E51" s="202">
        <f>Pump_Serp/Serp_M</f>
        <v>9.5779999999999994</v>
      </c>
      <c r="F51" s="178" t="s">
        <v>252</v>
      </c>
      <c r="G51" s="178" t="s">
        <v>418</v>
      </c>
      <c r="H51" s="200">
        <v>0.1</v>
      </c>
      <c r="I51" s="200">
        <v>100</v>
      </c>
      <c r="J51" s="203" t="s">
        <v>251</v>
      </c>
      <c r="K51" s="200" t="s">
        <v>494</v>
      </c>
      <c r="L51" s="210" t="s">
        <v>253</v>
      </c>
    </row>
    <row r="52" spans="1:12" ht="14.4" x14ac:dyDescent="0.3">
      <c r="A52" s="201" t="s">
        <v>250</v>
      </c>
      <c r="B52" s="178" t="s">
        <v>160</v>
      </c>
      <c r="C52" s="178" t="s">
        <v>249</v>
      </c>
      <c r="D52" s="178" t="s">
        <v>159</v>
      </c>
      <c r="E52" s="202">
        <v>1</v>
      </c>
      <c r="F52" s="178" t="s">
        <v>231</v>
      </c>
      <c r="G52" s="178" t="s">
        <v>27</v>
      </c>
      <c r="H52" s="200">
        <v>100</v>
      </c>
      <c r="I52" s="200">
        <v>10000</v>
      </c>
      <c r="J52" s="203" t="s">
        <v>248</v>
      </c>
      <c r="K52" s="200" t="s">
        <v>494</v>
      </c>
      <c r="L52" s="210" t="s">
        <v>247</v>
      </c>
    </row>
    <row r="53" spans="1:12" ht="14.4" x14ac:dyDescent="0.3">
      <c r="A53" s="201" t="s">
        <v>246</v>
      </c>
      <c r="B53" s="178" t="s">
        <v>160</v>
      </c>
      <c r="C53" s="178" t="s">
        <v>245</v>
      </c>
      <c r="D53" s="178" t="s">
        <v>159</v>
      </c>
      <c r="E53" s="202">
        <v>50</v>
      </c>
      <c r="F53" s="178" t="s">
        <v>419</v>
      </c>
      <c r="G53" s="178" t="s">
        <v>27</v>
      </c>
      <c r="H53" s="200">
        <v>10</v>
      </c>
      <c r="I53" s="200">
        <v>60</v>
      </c>
      <c r="J53" s="203" t="s">
        <v>244</v>
      </c>
      <c r="K53" s="200" t="s">
        <v>494</v>
      </c>
      <c r="L53" s="210" t="s">
        <v>245</v>
      </c>
    </row>
    <row r="54" spans="1:12" ht="14.4" x14ac:dyDescent="0.3">
      <c r="A54" s="201" t="s">
        <v>243</v>
      </c>
      <c r="B54" s="178" t="s">
        <v>160</v>
      </c>
      <c r="C54" s="178" t="s">
        <v>388</v>
      </c>
      <c r="D54" s="178" t="s">
        <v>159</v>
      </c>
      <c r="E54" s="202">
        <v>150</v>
      </c>
      <c r="F54" s="178" t="s">
        <v>240</v>
      </c>
      <c r="G54" s="178" t="s">
        <v>27</v>
      </c>
      <c r="H54" s="200">
        <v>0</v>
      </c>
      <c r="I54" s="200">
        <v>1000</v>
      </c>
      <c r="J54" s="203" t="s">
        <v>242</v>
      </c>
      <c r="K54" s="200" t="s">
        <v>494</v>
      </c>
      <c r="L54" s="210" t="s">
        <v>388</v>
      </c>
    </row>
    <row r="55" spans="1:12" ht="14.4" x14ac:dyDescent="0.3">
      <c r="A55" s="201" t="s">
        <v>241</v>
      </c>
      <c r="B55" s="178" t="s">
        <v>160</v>
      </c>
      <c r="C55" s="178" t="s">
        <v>389</v>
      </c>
      <c r="D55" s="178" t="s">
        <v>159</v>
      </c>
      <c r="E55" s="202">
        <v>1500</v>
      </c>
      <c r="F55" s="178" t="s">
        <v>240</v>
      </c>
      <c r="G55" s="178" t="s">
        <v>27</v>
      </c>
      <c r="H55" s="200">
        <v>1000</v>
      </c>
      <c r="I55" s="200">
        <v>100000</v>
      </c>
      <c r="J55" s="203" t="s">
        <v>239</v>
      </c>
      <c r="K55" s="200" t="s">
        <v>494</v>
      </c>
      <c r="L55" s="210" t="s">
        <v>389</v>
      </c>
    </row>
    <row r="56" spans="1:12" ht="14.4" x14ac:dyDescent="0.3">
      <c r="A56" s="201" t="s">
        <v>238</v>
      </c>
      <c r="B56" s="178" t="s">
        <v>160</v>
      </c>
      <c r="C56" s="200" t="s">
        <v>420</v>
      </c>
      <c r="D56" s="178" t="s">
        <v>159</v>
      </c>
      <c r="E56" s="202">
        <v>100</v>
      </c>
      <c r="F56" s="178" t="s">
        <v>368</v>
      </c>
      <c r="G56" s="178" t="s">
        <v>27</v>
      </c>
      <c r="H56" s="200">
        <v>10</v>
      </c>
      <c r="I56" s="200">
        <v>300</v>
      </c>
      <c r="J56" s="203" t="s">
        <v>237</v>
      </c>
      <c r="K56" s="200" t="s">
        <v>494</v>
      </c>
      <c r="L56" s="210" t="s">
        <v>420</v>
      </c>
    </row>
    <row r="57" spans="1:12" ht="14.4" x14ac:dyDescent="0.3">
      <c r="A57" s="201" t="s">
        <v>236</v>
      </c>
      <c r="B57" s="178" t="s">
        <v>160</v>
      </c>
      <c r="C57" s="178" t="s">
        <v>235</v>
      </c>
      <c r="D57" s="178" t="s">
        <v>159</v>
      </c>
      <c r="E57" s="202">
        <v>0.5</v>
      </c>
      <c r="F57" s="178" t="s">
        <v>231</v>
      </c>
      <c r="G57" s="178" t="s">
        <v>27</v>
      </c>
      <c r="H57" s="200">
        <v>0</v>
      </c>
      <c r="I57" s="200">
        <v>5</v>
      </c>
      <c r="J57" s="203" t="s">
        <v>234</v>
      </c>
      <c r="K57" s="200" t="s">
        <v>494</v>
      </c>
      <c r="L57" s="210" t="s">
        <v>235</v>
      </c>
    </row>
    <row r="58" spans="1:12" ht="14.4" x14ac:dyDescent="0.3">
      <c r="A58" s="201" t="s">
        <v>233</v>
      </c>
      <c r="B58" s="178" t="s">
        <v>160</v>
      </c>
      <c r="C58" s="178" t="s">
        <v>232</v>
      </c>
      <c r="D58" s="178" t="s">
        <v>159</v>
      </c>
      <c r="E58" s="202">
        <v>30</v>
      </c>
      <c r="F58" s="178" t="s">
        <v>231</v>
      </c>
      <c r="G58" s="178" t="s">
        <v>27</v>
      </c>
      <c r="H58" s="200">
        <v>5</v>
      </c>
      <c r="I58" s="200">
        <v>100</v>
      </c>
      <c r="J58" s="203" t="s">
        <v>230</v>
      </c>
      <c r="K58" s="200" t="s">
        <v>494</v>
      </c>
      <c r="L58" s="210" t="s">
        <v>232</v>
      </c>
    </row>
    <row r="59" spans="1:12" ht="14.4" x14ac:dyDescent="0.3">
      <c r="A59" s="201" t="s">
        <v>229</v>
      </c>
      <c r="B59" s="178" t="s">
        <v>160</v>
      </c>
      <c r="C59" s="178" t="s">
        <v>228</v>
      </c>
      <c r="D59" s="178" t="s">
        <v>159</v>
      </c>
      <c r="E59" s="202">
        <v>0</v>
      </c>
      <c r="F59" s="178" t="s">
        <v>27</v>
      </c>
      <c r="G59" s="178" t="s">
        <v>27</v>
      </c>
      <c r="H59" s="200">
        <v>0</v>
      </c>
      <c r="I59" s="200">
        <v>1</v>
      </c>
      <c r="J59" s="203" t="s">
        <v>227</v>
      </c>
      <c r="K59" s="200" t="s">
        <v>494</v>
      </c>
      <c r="L59" s="210" t="s">
        <v>228</v>
      </c>
    </row>
    <row r="60" spans="1:12" ht="14.4" x14ac:dyDescent="0.3">
      <c r="A60" s="201" t="s">
        <v>226</v>
      </c>
      <c r="B60" s="178" t="s">
        <v>160</v>
      </c>
      <c r="C60" s="178" t="s">
        <v>225</v>
      </c>
      <c r="D60" s="178" t="s">
        <v>159</v>
      </c>
      <c r="E60" s="202">
        <v>10</v>
      </c>
      <c r="F60" s="178" t="s">
        <v>27</v>
      </c>
      <c r="G60" s="178" t="s">
        <v>27</v>
      </c>
      <c r="H60" s="200">
        <v>1</v>
      </c>
      <c r="I60" s="200">
        <v>100</v>
      </c>
      <c r="J60" s="203" t="s">
        <v>224</v>
      </c>
      <c r="K60" s="200" t="s">
        <v>494</v>
      </c>
      <c r="L60" s="210" t="s">
        <v>225</v>
      </c>
    </row>
    <row r="61" spans="1:12" ht="14.4" x14ac:dyDescent="0.3">
      <c r="A61" s="201" t="s">
        <v>223</v>
      </c>
      <c r="B61" s="178" t="s">
        <v>160</v>
      </c>
      <c r="C61" s="178" t="s">
        <v>222</v>
      </c>
      <c r="D61" s="178" t="s">
        <v>159</v>
      </c>
      <c r="E61" s="202">
        <v>0.06</v>
      </c>
      <c r="F61" s="178" t="s">
        <v>27</v>
      </c>
      <c r="G61" s="178" t="s">
        <v>27</v>
      </c>
      <c r="H61" s="200">
        <v>0.01</v>
      </c>
      <c r="I61" s="200">
        <v>0.2</v>
      </c>
      <c r="J61" s="203" t="s">
        <v>221</v>
      </c>
      <c r="K61" s="200" t="s">
        <v>494</v>
      </c>
      <c r="L61" s="210" t="s">
        <v>222</v>
      </c>
    </row>
    <row r="62" spans="1:12" ht="14.4" x14ac:dyDescent="0.3">
      <c r="A62" s="201" t="s">
        <v>220</v>
      </c>
      <c r="B62" s="178" t="s">
        <v>160</v>
      </c>
      <c r="C62" s="178" t="s">
        <v>219</v>
      </c>
      <c r="D62" s="178" t="s">
        <v>159</v>
      </c>
      <c r="E62" s="202">
        <v>40</v>
      </c>
      <c r="F62" s="178" t="s">
        <v>419</v>
      </c>
      <c r="G62" s="178" t="s">
        <v>27</v>
      </c>
      <c r="H62" s="200">
        <v>1</v>
      </c>
      <c r="I62" s="200">
        <v>60</v>
      </c>
      <c r="J62" s="203" t="s">
        <v>218</v>
      </c>
      <c r="K62" s="200" t="s">
        <v>494</v>
      </c>
      <c r="L62" s="210" t="s">
        <v>219</v>
      </c>
    </row>
    <row r="63" spans="1:12" ht="14.4" x14ac:dyDescent="0.3">
      <c r="A63" s="201" t="s">
        <v>217</v>
      </c>
      <c r="B63" s="178" t="s">
        <v>160</v>
      </c>
      <c r="C63" s="178" t="s">
        <v>216</v>
      </c>
      <c r="D63" s="178" t="s">
        <v>159</v>
      </c>
      <c r="E63" s="202">
        <v>8760</v>
      </c>
      <c r="F63" s="178" t="s">
        <v>215</v>
      </c>
      <c r="G63" s="178" t="s">
        <v>27</v>
      </c>
      <c r="H63" s="200">
        <v>1</v>
      </c>
      <c r="I63" s="200">
        <v>8760</v>
      </c>
      <c r="J63" s="203" t="s">
        <v>214</v>
      </c>
      <c r="K63" s="200" t="s">
        <v>494</v>
      </c>
      <c r="L63" s="210" t="s">
        <v>216</v>
      </c>
    </row>
    <row r="64" spans="1:12" ht="14.4" x14ac:dyDescent="0.3">
      <c r="A64" s="201" t="s">
        <v>213</v>
      </c>
      <c r="B64" s="178" t="s">
        <v>160</v>
      </c>
      <c r="C64" s="178" t="s">
        <v>212</v>
      </c>
      <c r="D64" s="178" t="s">
        <v>159</v>
      </c>
      <c r="E64" s="202" t="s">
        <v>211</v>
      </c>
      <c r="F64" s="178" t="s">
        <v>27</v>
      </c>
      <c r="G64" s="178" t="s">
        <v>27</v>
      </c>
      <c r="H64" s="200">
        <v>1</v>
      </c>
      <c r="I64" s="200">
        <v>5</v>
      </c>
      <c r="J64" s="203" t="s">
        <v>210</v>
      </c>
      <c r="K64" s="200" t="s">
        <v>494</v>
      </c>
      <c r="L64" s="210" t="s">
        <v>212</v>
      </c>
    </row>
    <row r="65" spans="1:12" ht="14.4" x14ac:dyDescent="0.3">
      <c r="A65" s="201" t="s">
        <v>209</v>
      </c>
      <c r="B65" s="178" t="s">
        <v>160</v>
      </c>
      <c r="C65" s="178" t="s">
        <v>208</v>
      </c>
      <c r="D65" s="178" t="s">
        <v>159</v>
      </c>
      <c r="E65" s="202">
        <f>(i*(i+1)^n)/((i+1)^n-1)</f>
        <v>6.6461535920675496E-2</v>
      </c>
      <c r="F65" s="178" t="s">
        <v>27</v>
      </c>
      <c r="G65" s="178" t="s">
        <v>396</v>
      </c>
      <c r="H65" s="200">
        <v>0.01</v>
      </c>
      <c r="I65" s="200">
        <v>1</v>
      </c>
      <c r="J65" s="203" t="s">
        <v>207</v>
      </c>
      <c r="K65" s="200" t="s">
        <v>494</v>
      </c>
      <c r="L65" s="210" t="s">
        <v>208</v>
      </c>
    </row>
    <row r="66" spans="1:12" ht="14.4" x14ac:dyDescent="0.3">
      <c r="A66" s="201" t="s">
        <v>206</v>
      </c>
      <c r="B66" s="178" t="s">
        <v>160</v>
      </c>
      <c r="C66" s="178" t="s">
        <v>205</v>
      </c>
      <c r="D66" s="178" t="s">
        <v>159</v>
      </c>
      <c r="E66" s="202">
        <f>PumpSerp*Mass_min_Pump</f>
        <v>4.7889999999999997</v>
      </c>
      <c r="F66" s="178" t="s">
        <v>173</v>
      </c>
      <c r="G66" s="178" t="s">
        <v>397</v>
      </c>
      <c r="H66" s="200">
        <v>0</v>
      </c>
      <c r="I66" s="200">
        <v>1000</v>
      </c>
      <c r="J66" s="203" t="s">
        <v>204</v>
      </c>
      <c r="K66" s="200" t="s">
        <v>494</v>
      </c>
      <c r="L66" s="210" t="s">
        <v>385</v>
      </c>
    </row>
    <row r="67" spans="1:12" ht="14.4" x14ac:dyDescent="0.3">
      <c r="A67" s="201" t="s">
        <v>203</v>
      </c>
      <c r="B67" s="178" t="s">
        <v>160</v>
      </c>
      <c r="C67" s="178" t="s">
        <v>202</v>
      </c>
      <c r="D67" s="178" t="s">
        <v>159</v>
      </c>
      <c r="E67" s="202">
        <f>PumpSerp*Mass_max_Pump</f>
        <v>287.33999999999997</v>
      </c>
      <c r="F67" s="178" t="s">
        <v>173</v>
      </c>
      <c r="G67" s="178" t="s">
        <v>398</v>
      </c>
      <c r="H67" s="200">
        <v>0</v>
      </c>
      <c r="I67" s="200">
        <v>10000</v>
      </c>
      <c r="J67" s="203" t="s">
        <v>201</v>
      </c>
      <c r="K67" s="200" t="s">
        <v>494</v>
      </c>
      <c r="L67" s="210" t="s">
        <v>386</v>
      </c>
    </row>
    <row r="68" spans="1:12" ht="14.4" x14ac:dyDescent="0.3">
      <c r="A68" s="213" t="s">
        <v>200</v>
      </c>
      <c r="B68" s="178" t="s">
        <v>160</v>
      </c>
      <c r="C68" s="178" t="s">
        <v>199</v>
      </c>
      <c r="D68" s="178" t="s">
        <v>159</v>
      </c>
      <c r="E68" s="214">
        <v>0</v>
      </c>
      <c r="F68" s="178" t="s">
        <v>382</v>
      </c>
      <c r="G68" s="178" t="s">
        <v>27</v>
      </c>
      <c r="H68" s="200">
        <v>0</v>
      </c>
      <c r="I68" s="200">
        <v>1000000</v>
      </c>
      <c r="J68" s="203" t="s">
        <v>198</v>
      </c>
      <c r="K68" s="200" t="s">
        <v>494</v>
      </c>
      <c r="L68" s="217" t="s">
        <v>199</v>
      </c>
    </row>
    <row r="69" spans="1:12" ht="14.4" x14ac:dyDescent="0.3">
      <c r="A69" s="213" t="s">
        <v>197</v>
      </c>
      <c r="B69" s="178" t="s">
        <v>160</v>
      </c>
      <c r="C69" s="178" t="s">
        <v>196</v>
      </c>
      <c r="D69" s="178" t="s">
        <v>159</v>
      </c>
      <c r="E69" s="214">
        <v>0</v>
      </c>
      <c r="F69" s="178" t="s">
        <v>382</v>
      </c>
      <c r="G69" s="178" t="s">
        <v>27</v>
      </c>
      <c r="H69" s="200">
        <v>0</v>
      </c>
      <c r="I69" s="200">
        <v>10000000</v>
      </c>
      <c r="J69" s="203" t="s">
        <v>195</v>
      </c>
      <c r="K69" s="200" t="s">
        <v>494</v>
      </c>
      <c r="L69" s="210" t="s">
        <v>196</v>
      </c>
    </row>
    <row r="70" spans="1:12" ht="14.4" x14ac:dyDescent="0.3">
      <c r="A70" s="212" t="s">
        <v>194</v>
      </c>
      <c r="B70" s="178" t="s">
        <v>160</v>
      </c>
      <c r="C70" s="178" t="s">
        <v>193</v>
      </c>
      <c r="D70" s="178" t="s">
        <v>159</v>
      </c>
      <c r="E70" s="214">
        <f>(costMax_Pump-costMin_Pump)/(Fmax_Pump-Fmin_Pump)</f>
        <v>0</v>
      </c>
      <c r="F70" s="178" t="s">
        <v>382</v>
      </c>
      <c r="G70" s="178" t="s">
        <v>399</v>
      </c>
      <c r="H70" s="200">
        <v>0</v>
      </c>
      <c r="I70" s="200">
        <v>1000000</v>
      </c>
      <c r="J70" s="203" t="s">
        <v>192</v>
      </c>
      <c r="K70" s="200" t="s">
        <v>494</v>
      </c>
      <c r="L70" s="210" t="s">
        <v>193</v>
      </c>
    </row>
    <row r="71" spans="1:12" ht="14.4" x14ac:dyDescent="0.3">
      <c r="A71" s="212" t="s">
        <v>191</v>
      </c>
      <c r="B71" s="178" t="s">
        <v>160</v>
      </c>
      <c r="C71" s="178" t="s">
        <v>190</v>
      </c>
      <c r="D71" s="178" t="s">
        <v>159</v>
      </c>
      <c r="E71" s="214">
        <f>costMin_Pump-Fmin_Pump*costinv2_Pump</f>
        <v>0</v>
      </c>
      <c r="F71" s="178" t="s">
        <v>382</v>
      </c>
      <c r="G71" s="178" t="s">
        <v>384</v>
      </c>
      <c r="H71" s="200">
        <v>0</v>
      </c>
      <c r="I71" s="200">
        <v>1000000</v>
      </c>
      <c r="J71" s="203" t="s">
        <v>189</v>
      </c>
      <c r="K71" s="200" t="s">
        <v>494</v>
      </c>
      <c r="L71" s="210" t="s">
        <v>190</v>
      </c>
    </row>
    <row r="72" spans="1:12" ht="14.4" x14ac:dyDescent="0.3">
      <c r="A72" s="212" t="s">
        <v>188</v>
      </c>
      <c r="B72" s="178" t="s">
        <v>160</v>
      </c>
      <c r="C72" s="178" t="s">
        <v>187</v>
      </c>
      <c r="D72" s="178" t="s">
        <v>159</v>
      </c>
      <c r="E72" s="214">
        <f>costinv1_Pump*Annuity</f>
        <v>0</v>
      </c>
      <c r="F72" s="178" t="s">
        <v>383</v>
      </c>
      <c r="G72" s="178" t="s">
        <v>400</v>
      </c>
      <c r="H72" s="200">
        <v>0</v>
      </c>
      <c r="I72" s="200">
        <v>1000000</v>
      </c>
      <c r="J72" s="203" t="s">
        <v>186</v>
      </c>
      <c r="K72" s="200" t="s">
        <v>494</v>
      </c>
      <c r="L72" s="210" t="s">
        <v>187</v>
      </c>
    </row>
    <row r="73" spans="1:12" ht="14.4" x14ac:dyDescent="0.3">
      <c r="A73" s="212" t="s">
        <v>185</v>
      </c>
      <c r="B73" s="178" t="s">
        <v>160</v>
      </c>
      <c r="C73" s="178" t="s">
        <v>184</v>
      </c>
      <c r="D73" s="178" t="s">
        <v>159</v>
      </c>
      <c r="E73" s="214">
        <f>costinv2_Pump*Annuity</f>
        <v>0</v>
      </c>
      <c r="F73" s="178" t="s">
        <v>383</v>
      </c>
      <c r="G73" s="178" t="s">
        <v>401</v>
      </c>
      <c r="H73" s="200">
        <v>0</v>
      </c>
      <c r="I73" s="200">
        <v>1000000</v>
      </c>
      <c r="J73" s="203" t="s">
        <v>183</v>
      </c>
      <c r="K73" s="200" t="s">
        <v>494</v>
      </c>
      <c r="L73" s="210" t="s">
        <v>184</v>
      </c>
    </row>
    <row r="74" spans="1:12" ht="14.4" x14ac:dyDescent="0.3">
      <c r="A74" s="201" t="s">
        <v>182</v>
      </c>
      <c r="B74" s="178" t="s">
        <v>160</v>
      </c>
      <c r="C74" s="178" t="s">
        <v>181</v>
      </c>
      <c r="D74" s="178" t="s">
        <v>159</v>
      </c>
      <c r="E74" s="214">
        <f>Mass_min_Pump*Scaling_min_Pump</f>
        <v>0</v>
      </c>
      <c r="F74" s="178" t="s">
        <v>173</v>
      </c>
      <c r="G74" s="178" t="s">
        <v>402</v>
      </c>
      <c r="H74" s="200">
        <v>0</v>
      </c>
      <c r="I74" s="200">
        <v>1000</v>
      </c>
      <c r="J74" s="203" t="s">
        <v>180</v>
      </c>
      <c r="K74" s="200" t="s">
        <v>494</v>
      </c>
      <c r="L74" s="210" t="s">
        <v>387</v>
      </c>
    </row>
    <row r="75" spans="1:12" ht="14.4" x14ac:dyDescent="0.3">
      <c r="A75" s="201" t="s">
        <v>179</v>
      </c>
      <c r="B75" s="178" t="s">
        <v>160</v>
      </c>
      <c r="C75" s="178" t="s">
        <v>178</v>
      </c>
      <c r="D75" s="178" t="s">
        <v>159</v>
      </c>
      <c r="E75" s="202">
        <f>Mass_max_Pump*Scaling_max_Pump</f>
        <v>300</v>
      </c>
      <c r="F75" s="178" t="s">
        <v>173</v>
      </c>
      <c r="G75" s="178" t="s">
        <v>403</v>
      </c>
      <c r="H75" s="200">
        <v>0</v>
      </c>
      <c r="I75" s="200">
        <v>10000</v>
      </c>
      <c r="J75" s="203" t="s">
        <v>177</v>
      </c>
      <c r="K75" s="200" t="s">
        <v>494</v>
      </c>
      <c r="L75" s="210" t="s">
        <v>387</v>
      </c>
    </row>
    <row r="76" spans="1:12" ht="14.4" x14ac:dyDescent="0.3">
      <c r="A76" s="201" t="s">
        <v>176</v>
      </c>
      <c r="B76" s="178" t="s">
        <v>160</v>
      </c>
      <c r="C76" s="178" t="s">
        <v>390</v>
      </c>
      <c r="D76" s="178" t="s">
        <v>159</v>
      </c>
      <c r="E76" s="202">
        <f>MCW*Mass_min_MC/1000</f>
        <v>23.728163771712154</v>
      </c>
      <c r="F76" s="178" t="s">
        <v>173</v>
      </c>
      <c r="G76" s="178" t="s">
        <v>404</v>
      </c>
      <c r="H76" s="200">
        <v>0</v>
      </c>
      <c r="I76" s="200">
        <v>1000</v>
      </c>
      <c r="J76" s="203" t="s">
        <v>175</v>
      </c>
      <c r="K76" s="200" t="s">
        <v>494</v>
      </c>
      <c r="L76" s="210" t="s">
        <v>390</v>
      </c>
    </row>
    <row r="77" spans="1:12" ht="14.4" x14ac:dyDescent="0.3">
      <c r="A77" s="201" t="s">
        <v>174</v>
      </c>
      <c r="B77" s="178" t="s">
        <v>160</v>
      </c>
      <c r="C77" s="178" t="s">
        <v>391</v>
      </c>
      <c r="D77" s="178" t="s">
        <v>159</v>
      </c>
      <c r="E77" s="202">
        <f>MCW*Mass_max_MC/1000</f>
        <v>237.28163771712155</v>
      </c>
      <c r="F77" s="178" t="s">
        <v>173</v>
      </c>
      <c r="G77" s="178" t="s">
        <v>405</v>
      </c>
      <c r="H77" s="200">
        <v>0</v>
      </c>
      <c r="I77" s="200">
        <v>10000</v>
      </c>
      <c r="J77" s="203" t="s">
        <v>172</v>
      </c>
      <c r="K77" s="200" t="s">
        <v>494</v>
      </c>
      <c r="L77" s="210" t="s">
        <v>391</v>
      </c>
    </row>
    <row r="78" spans="1:12" ht="14.4" x14ac:dyDescent="0.3">
      <c r="A78" s="212" t="s">
        <v>171</v>
      </c>
      <c r="B78" s="178" t="s">
        <v>160</v>
      </c>
      <c r="C78" s="178" t="s">
        <v>392</v>
      </c>
      <c r="D78" s="178" t="s">
        <v>159</v>
      </c>
      <c r="E78" s="214">
        <v>0</v>
      </c>
      <c r="F78" s="178" t="s">
        <v>382</v>
      </c>
      <c r="G78" s="178" t="s">
        <v>27</v>
      </c>
      <c r="H78" s="200">
        <v>0</v>
      </c>
      <c r="I78" s="200">
        <v>1000000</v>
      </c>
      <c r="J78" s="203" t="s">
        <v>170</v>
      </c>
      <c r="K78" s="200" t="s">
        <v>494</v>
      </c>
      <c r="L78" s="210" t="s">
        <v>392</v>
      </c>
    </row>
    <row r="79" spans="1:12" ht="14.4" x14ac:dyDescent="0.3">
      <c r="A79" s="212" t="s">
        <v>169</v>
      </c>
      <c r="B79" s="178" t="s">
        <v>160</v>
      </c>
      <c r="C79" s="178" t="s">
        <v>393</v>
      </c>
      <c r="D79" s="178" t="s">
        <v>159</v>
      </c>
      <c r="E79" s="214">
        <v>0</v>
      </c>
      <c r="F79" s="178" t="s">
        <v>382</v>
      </c>
      <c r="G79" s="178" t="s">
        <v>27</v>
      </c>
      <c r="H79" s="200">
        <v>0</v>
      </c>
      <c r="I79" s="200">
        <v>10000000</v>
      </c>
      <c r="J79" s="203" t="s">
        <v>168</v>
      </c>
      <c r="K79" s="200" t="s">
        <v>494</v>
      </c>
      <c r="L79" s="210" t="s">
        <v>393</v>
      </c>
    </row>
    <row r="80" spans="1:12" ht="14.4" x14ac:dyDescent="0.3">
      <c r="A80" s="212" t="s">
        <v>167</v>
      </c>
      <c r="B80" s="178" t="s">
        <v>160</v>
      </c>
      <c r="C80" s="178" t="s">
        <v>394</v>
      </c>
      <c r="D80" s="178" t="s">
        <v>159</v>
      </c>
      <c r="E80" s="214">
        <f>(costMax_MC-costMin_MC)/(Fmax_MC-Fmin_MC)</f>
        <v>0</v>
      </c>
      <c r="F80" s="178" t="s">
        <v>382</v>
      </c>
      <c r="G80" s="178" t="s">
        <v>406</v>
      </c>
      <c r="H80" s="200">
        <v>0</v>
      </c>
      <c r="I80" s="200">
        <v>1000000</v>
      </c>
      <c r="J80" s="203" t="s">
        <v>166</v>
      </c>
      <c r="K80" s="200" t="s">
        <v>494</v>
      </c>
      <c r="L80" s="210" t="s">
        <v>394</v>
      </c>
    </row>
    <row r="81" spans="1:12" ht="14.4" x14ac:dyDescent="0.3">
      <c r="A81" s="212" t="s">
        <v>165</v>
      </c>
      <c r="B81" s="178" t="s">
        <v>160</v>
      </c>
      <c r="C81" s="178" t="s">
        <v>395</v>
      </c>
      <c r="D81" s="178" t="s">
        <v>159</v>
      </c>
      <c r="E81" s="214">
        <f>IF(costMin_MC-Fmin_MC*costinv2_MC&lt;0,0,costMin_MC-Fmin_MC*costinv2_MC)</f>
        <v>0</v>
      </c>
      <c r="F81" s="178" t="s">
        <v>382</v>
      </c>
      <c r="G81" s="178" t="s">
        <v>407</v>
      </c>
      <c r="H81" s="200">
        <v>0</v>
      </c>
      <c r="I81" s="200">
        <v>1000000</v>
      </c>
      <c r="J81" s="203" t="s">
        <v>164</v>
      </c>
      <c r="K81" s="200" t="s">
        <v>494</v>
      </c>
      <c r="L81" s="210" t="s">
        <v>395</v>
      </c>
    </row>
    <row r="82" spans="1:12" ht="14.4" x14ac:dyDescent="0.3">
      <c r="A82" s="212" t="s">
        <v>163</v>
      </c>
      <c r="B82" s="178" t="s">
        <v>160</v>
      </c>
      <c r="C82" s="178" t="s">
        <v>395</v>
      </c>
      <c r="D82" s="178" t="s">
        <v>159</v>
      </c>
      <c r="E82" s="214">
        <f>costinv1_MC*Annuity</f>
        <v>0</v>
      </c>
      <c r="F82" s="178" t="s">
        <v>383</v>
      </c>
      <c r="G82" s="178" t="s">
        <v>408</v>
      </c>
      <c r="H82" s="200">
        <v>0</v>
      </c>
      <c r="I82" s="200">
        <v>1000000</v>
      </c>
      <c r="J82" s="203" t="s">
        <v>162</v>
      </c>
      <c r="K82" s="200" t="s">
        <v>494</v>
      </c>
      <c r="L82" s="210" t="s">
        <v>395</v>
      </c>
    </row>
    <row r="83" spans="1:12" thickBot="1" x14ac:dyDescent="0.35">
      <c r="A83" s="215" t="s">
        <v>161</v>
      </c>
      <c r="B83" s="182" t="s">
        <v>160</v>
      </c>
      <c r="C83" s="182" t="s">
        <v>394</v>
      </c>
      <c r="D83" s="182" t="s">
        <v>159</v>
      </c>
      <c r="E83" s="216">
        <f>costinv2_MC*Annuity</f>
        <v>0</v>
      </c>
      <c r="F83" s="182" t="s">
        <v>383</v>
      </c>
      <c r="G83" s="182" t="s">
        <v>409</v>
      </c>
      <c r="H83" s="220">
        <v>0</v>
      </c>
      <c r="I83" s="220">
        <v>1000000</v>
      </c>
      <c r="J83" s="208" t="s">
        <v>158</v>
      </c>
      <c r="K83" s="220" t="s">
        <v>494</v>
      </c>
      <c r="L83" s="211" t="s">
        <v>394</v>
      </c>
    </row>
  </sheetData>
  <phoneticPr fontId="18" type="noConversion"/>
  <dataValidations count="3">
    <dataValidation type="list" allowBlank="1" showErrorMessage="1" sqref="B16:B83" xr:uid="{00000000-0002-0000-0300-000000000000}">
      <formula1>"CONTEXT,LITERATURE,MEASURED,DECISION"</formula1>
    </dataValidation>
    <dataValidation type="list" allowBlank="1" showErrorMessage="1" sqref="D16:D83" xr:uid="{00000000-0002-0000-0300-000001000000}">
      <formula1>"MANDATORY,OPTIONAL,PRIVATE"</formula1>
    </dataValidation>
    <dataValidation type="list" errorStyle="information" allowBlank="1" showInputMessage="1" showErrorMessage="1" sqref="F16:F83" xr:uid="{727A929D-DE41-4C69-B67D-C76A0400F1FA}">
      <formula1>"-,kg,s,m,K,°C,W,bar,kg/h,t/h,kW,kW/m2K,W/m2K,kJ/kgK,kJ/kg,m3/h,Nm3/t,kWh/Nm3,Nm3/h,%,kg/kmol,eur,eur/year,eur/kW,kWel/kWth,year, days"</formula1>
    </dataValidation>
  </dataValidations>
  <pageMargins left="0.7" right="0.7" top="0.75" bottom="0.75" header="0" footer="0"/>
  <pageSetup orientation="landscape"/>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U46"/>
  <sheetViews>
    <sheetView showGridLines="0" zoomScale="50" zoomScaleNormal="25" workbookViewId="0">
      <selection activeCell="C40" sqref="C40"/>
    </sheetView>
  </sheetViews>
  <sheetFormatPr defaultColWidth="14.44140625" defaultRowHeight="15" customHeight="1" x14ac:dyDescent="0.3"/>
  <cols>
    <col min="1" max="1" width="59.109375" customWidth="1"/>
    <col min="2" max="2" width="43.77734375" customWidth="1"/>
    <col min="3" max="3" width="59.33203125" customWidth="1"/>
    <col min="4" max="4" width="45.33203125" customWidth="1"/>
    <col min="5" max="5" width="37.6640625" customWidth="1"/>
    <col min="6" max="6" width="42.109375" customWidth="1"/>
    <col min="7" max="7" width="34.33203125" customWidth="1"/>
    <col min="8" max="8" width="34.6640625" customWidth="1"/>
    <col min="9" max="9" width="29.109375" customWidth="1"/>
    <col min="10" max="10" width="35.33203125" customWidth="1"/>
    <col min="11" max="11" width="42.6640625" customWidth="1"/>
    <col min="12" max="12" width="43" customWidth="1"/>
    <col min="13" max="13" width="43.44140625" bestFit="1" customWidth="1"/>
    <col min="14" max="14" width="60.77734375" customWidth="1"/>
    <col min="15" max="15" width="22.33203125" bestFit="1" customWidth="1"/>
    <col min="16" max="16" width="19.77734375" customWidth="1"/>
    <col min="17" max="17" width="31.44140625" bestFit="1" customWidth="1"/>
    <col min="18" max="18" width="29" bestFit="1" customWidth="1"/>
    <col min="19" max="19" width="16.77734375" bestFit="1" customWidth="1"/>
    <col min="20" max="20" width="30.109375" customWidth="1"/>
    <col min="21" max="21" width="53.77734375" bestFit="1" customWidth="1"/>
    <col min="22" max="28" width="10.6640625" customWidth="1"/>
  </cols>
  <sheetData>
    <row r="1" spans="1:21" ht="14.25" customHeight="1" thickBot="1" x14ac:dyDescent="0.35">
      <c r="A1" s="108" t="s">
        <v>46</v>
      </c>
      <c r="B1" s="86"/>
      <c r="C1" s="86"/>
      <c r="D1" s="37"/>
      <c r="E1" s="38"/>
      <c r="F1" s="38"/>
      <c r="G1" s="38"/>
      <c r="H1" s="38"/>
      <c r="I1" s="6"/>
      <c r="J1" s="6"/>
      <c r="K1" s="7"/>
      <c r="L1" s="7"/>
      <c r="M1" s="7"/>
      <c r="N1" s="7"/>
    </row>
    <row r="2" spans="1:21" ht="48" customHeight="1" thickBot="1" x14ac:dyDescent="0.35">
      <c r="A2" s="251" t="s">
        <v>432</v>
      </c>
      <c r="B2" s="86"/>
      <c r="C2" s="86"/>
      <c r="D2" s="37"/>
      <c r="E2" s="38"/>
      <c r="F2" s="38"/>
      <c r="G2" s="38"/>
      <c r="H2" s="38"/>
      <c r="I2" s="6"/>
      <c r="J2" s="6"/>
      <c r="K2" s="7"/>
      <c r="L2" s="7"/>
      <c r="M2" s="7"/>
      <c r="N2" s="7"/>
    </row>
    <row r="3" spans="1:21" ht="14.25" customHeight="1" thickBot="1" x14ac:dyDescent="0.35">
      <c r="D3" s="37"/>
      <c r="E3" s="38"/>
      <c r="F3" s="38"/>
      <c r="G3" s="38"/>
      <c r="H3" s="38"/>
      <c r="I3" s="6"/>
      <c r="J3" s="6"/>
      <c r="K3" s="7"/>
      <c r="L3" s="7"/>
      <c r="M3" s="7"/>
      <c r="N3" s="7"/>
    </row>
    <row r="4" spans="1:21" thickBot="1" x14ac:dyDescent="0.35">
      <c r="A4" s="87"/>
      <c r="B4" s="39"/>
      <c r="C4" s="39"/>
      <c r="D4" s="6"/>
      <c r="E4" s="40"/>
      <c r="F4" s="40"/>
      <c r="G4" s="40"/>
      <c r="H4" s="41"/>
      <c r="I4" s="42"/>
      <c r="J4" s="42"/>
      <c r="K4" s="42"/>
      <c r="L4" s="42"/>
      <c r="M4" s="42"/>
      <c r="N4" s="42"/>
    </row>
    <row r="5" spans="1:21" thickBot="1" x14ac:dyDescent="0.35">
      <c r="A5" s="90" t="s">
        <v>48</v>
      </c>
      <c r="B5" s="91" t="s">
        <v>50</v>
      </c>
      <c r="C5" s="92" t="s">
        <v>49</v>
      </c>
      <c r="D5" s="67" t="s">
        <v>150</v>
      </c>
      <c r="E5" s="46"/>
      <c r="F5" s="46"/>
      <c r="G5" s="46"/>
      <c r="H5" s="44"/>
      <c r="I5" s="7"/>
      <c r="J5" s="7"/>
      <c r="K5" s="7"/>
      <c r="L5" s="7"/>
      <c r="M5" s="7"/>
      <c r="N5" s="7"/>
    </row>
    <row r="6" spans="1:21" thickBot="1" x14ac:dyDescent="0.35">
      <c r="A6" s="142" t="s">
        <v>362</v>
      </c>
      <c r="B6" s="151">
        <v>0</v>
      </c>
      <c r="C6" s="150">
        <v>10000</v>
      </c>
      <c r="D6" s="47"/>
      <c r="E6" s="48"/>
      <c r="F6" s="49"/>
      <c r="G6" s="49"/>
      <c r="H6" s="50"/>
      <c r="I6" s="38"/>
      <c r="J6" s="38"/>
      <c r="K6" s="38"/>
      <c r="L6" s="38"/>
      <c r="M6" s="38"/>
      <c r="N6" s="38"/>
    </row>
    <row r="7" spans="1:21" thickBot="1" x14ac:dyDescent="0.35">
      <c r="A7" s="51"/>
      <c r="B7" s="52"/>
      <c r="C7" s="52"/>
      <c r="D7" s="53"/>
      <c r="E7" s="5"/>
      <c r="F7" s="40"/>
      <c r="G7" s="40"/>
      <c r="H7" s="41"/>
      <c r="I7" s="40"/>
      <c r="J7" s="40"/>
      <c r="K7" s="40"/>
      <c r="L7" s="40"/>
      <c r="M7" s="40"/>
      <c r="N7" s="40"/>
    </row>
    <row r="8" spans="1:21" ht="17.25" customHeight="1" thickBot="1" x14ac:dyDescent="0.35">
      <c r="A8" s="104" t="s">
        <v>47</v>
      </c>
      <c r="B8" s="86"/>
      <c r="C8" s="86"/>
      <c r="D8" s="41"/>
      <c r="E8" s="5"/>
      <c r="F8" s="40"/>
      <c r="G8" s="40"/>
      <c r="H8" s="41"/>
      <c r="I8" s="40"/>
      <c r="J8" s="40"/>
      <c r="K8" s="40"/>
      <c r="L8" s="40"/>
      <c r="M8" s="40"/>
      <c r="N8" s="40"/>
    </row>
    <row r="9" spans="1:21" ht="61.2" customHeight="1" thickBot="1" x14ac:dyDescent="0.35">
      <c r="A9" s="251" t="s">
        <v>433</v>
      </c>
      <c r="B9" s="86"/>
      <c r="C9" s="86"/>
      <c r="D9" s="5"/>
      <c r="E9" s="5"/>
      <c r="F9" s="40"/>
      <c r="G9" s="40"/>
      <c r="H9" s="41"/>
      <c r="I9" s="40"/>
      <c r="J9" s="40"/>
      <c r="K9" s="40"/>
      <c r="L9" s="40"/>
      <c r="M9" s="40"/>
      <c r="N9" s="40"/>
    </row>
    <row r="10" spans="1:21" thickBot="1" x14ac:dyDescent="0.35">
      <c r="A10" s="54"/>
      <c r="B10" s="40"/>
      <c r="C10" s="40"/>
      <c r="D10" s="5"/>
      <c r="E10" s="5"/>
      <c r="F10" s="40"/>
      <c r="G10" s="40"/>
      <c r="H10" s="41"/>
      <c r="I10" s="40"/>
      <c r="J10" s="40"/>
      <c r="K10" s="40"/>
      <c r="L10" s="40"/>
      <c r="M10" s="40"/>
      <c r="N10" s="40"/>
    </row>
    <row r="11" spans="1:21" thickBot="1" x14ac:dyDescent="0.35">
      <c r="A11" s="55" t="s">
        <v>59</v>
      </c>
      <c r="B11" s="40"/>
      <c r="C11" s="40"/>
      <c r="D11" s="5"/>
      <c r="E11" s="5"/>
      <c r="F11" s="40"/>
      <c r="G11" s="40"/>
      <c r="H11" s="41"/>
      <c r="I11" s="40"/>
      <c r="J11" s="40"/>
      <c r="K11" s="40"/>
      <c r="L11" s="40"/>
      <c r="M11" s="40"/>
      <c r="N11" s="40"/>
    </row>
    <row r="12" spans="1:21" thickBot="1" x14ac:dyDescent="0.35">
      <c r="A12" s="56" t="s">
        <v>58</v>
      </c>
      <c r="B12" s="57"/>
      <c r="D12" s="57"/>
      <c r="E12" s="57"/>
      <c r="F12" s="57"/>
      <c r="G12" s="57"/>
      <c r="H12" s="57"/>
      <c r="I12" s="58"/>
      <c r="J12" s="57"/>
      <c r="K12" s="57"/>
      <c r="L12" s="57"/>
      <c r="M12" s="43"/>
      <c r="N12" s="43"/>
    </row>
    <row r="13" spans="1:21" ht="19.5" customHeight="1" thickBot="1" x14ac:dyDescent="0.35">
      <c r="A13" s="89" t="s">
        <v>2</v>
      </c>
      <c r="B13" s="93"/>
      <c r="C13" s="93"/>
      <c r="D13" s="93"/>
      <c r="E13" s="93"/>
      <c r="F13" s="93"/>
      <c r="G13" s="93"/>
      <c r="H13" s="93"/>
      <c r="I13" s="93"/>
      <c r="J13" s="93"/>
      <c r="K13" s="93"/>
      <c r="L13" s="96"/>
      <c r="M13" s="96"/>
      <c r="N13" s="103"/>
    </row>
    <row r="14" spans="1:21" thickBot="1" x14ac:dyDescent="0.35">
      <c r="A14" s="112" t="s">
        <v>17</v>
      </c>
      <c r="B14" s="113" t="s">
        <v>18</v>
      </c>
      <c r="C14" s="113" t="s">
        <v>38</v>
      </c>
      <c r="D14" s="113" t="s">
        <v>147</v>
      </c>
      <c r="E14" s="113" t="s">
        <v>148</v>
      </c>
      <c r="F14" s="113" t="s">
        <v>145</v>
      </c>
      <c r="G14" s="114" t="s">
        <v>21</v>
      </c>
      <c r="H14" s="113" t="s">
        <v>146</v>
      </c>
      <c r="I14" s="113" t="s">
        <v>23</v>
      </c>
      <c r="J14" s="113" t="s">
        <v>24</v>
      </c>
      <c r="K14" s="113" t="s">
        <v>25</v>
      </c>
      <c r="L14" s="143" t="s">
        <v>26</v>
      </c>
      <c r="M14" s="143" t="s">
        <v>121</v>
      </c>
      <c r="N14" s="133" t="s">
        <v>15</v>
      </c>
    </row>
    <row r="15" spans="1:21" ht="14.4" x14ac:dyDescent="0.3">
      <c r="A15" s="244" t="s">
        <v>351</v>
      </c>
      <c r="B15" s="186" t="s">
        <v>345</v>
      </c>
      <c r="C15" s="186" t="s">
        <v>360</v>
      </c>
      <c r="D15" s="228">
        <f>Captured_CO2</f>
        <v>1</v>
      </c>
      <c r="E15" s="186" t="s">
        <v>231</v>
      </c>
      <c r="F15" s="229">
        <v>25</v>
      </c>
      <c r="G15" s="229" t="s">
        <v>367</v>
      </c>
      <c r="H15" s="229">
        <v>1</v>
      </c>
      <c r="I15" s="229" t="s">
        <v>368</v>
      </c>
      <c r="J15" s="229">
        <v>1</v>
      </c>
      <c r="K15" s="229" t="s">
        <v>369</v>
      </c>
      <c r="L15" s="186" t="s">
        <v>370</v>
      </c>
      <c r="M15" s="245" t="s">
        <v>422</v>
      </c>
      <c r="N15" s="209" t="s">
        <v>371</v>
      </c>
      <c r="O15" s="1"/>
      <c r="P15" s="1"/>
      <c r="Q15" s="1"/>
      <c r="R15" s="1"/>
      <c r="S15" s="1"/>
      <c r="T15" s="1"/>
      <c r="U15" s="1"/>
    </row>
    <row r="16" spans="1:21" ht="14.4" x14ac:dyDescent="0.3">
      <c r="A16" s="223" t="s">
        <v>350</v>
      </c>
      <c r="B16" s="178" t="s">
        <v>345</v>
      </c>
      <c r="C16" s="178" t="s">
        <v>361</v>
      </c>
      <c r="D16" s="224">
        <f>Captured_CO2</f>
        <v>1</v>
      </c>
      <c r="E16" s="178" t="s">
        <v>231</v>
      </c>
      <c r="F16" s="225">
        <v>144</v>
      </c>
      <c r="G16" s="225" t="s">
        <v>367</v>
      </c>
      <c r="H16" s="225">
        <v>140</v>
      </c>
      <c r="I16" s="225" t="s">
        <v>368</v>
      </c>
      <c r="J16" s="225">
        <v>1</v>
      </c>
      <c r="K16" s="225" t="s">
        <v>369</v>
      </c>
      <c r="L16" s="178" t="s">
        <v>370</v>
      </c>
      <c r="M16" s="246" t="s">
        <v>423</v>
      </c>
      <c r="N16" s="210" t="s">
        <v>380</v>
      </c>
      <c r="O16" s="222"/>
      <c r="P16" s="222"/>
      <c r="Q16" s="222"/>
      <c r="R16" s="222"/>
      <c r="S16" s="222"/>
      <c r="T16" s="222"/>
      <c r="U16" s="222"/>
    </row>
    <row r="17" spans="1:21" thickBot="1" x14ac:dyDescent="0.35">
      <c r="A17" s="243" t="s">
        <v>381</v>
      </c>
      <c r="B17" s="182" t="s">
        <v>344</v>
      </c>
      <c r="C17" s="182" t="s">
        <v>360</v>
      </c>
      <c r="D17" s="231">
        <f>MCW</f>
        <v>158.18775847808104</v>
      </c>
      <c r="E17" s="182" t="s">
        <v>173</v>
      </c>
      <c r="F17" s="232" t="s">
        <v>27</v>
      </c>
      <c r="G17" s="232" t="s">
        <v>27</v>
      </c>
      <c r="H17" s="232" t="s">
        <v>27</v>
      </c>
      <c r="I17" s="232" t="s">
        <v>27</v>
      </c>
      <c r="J17" s="232" t="s">
        <v>27</v>
      </c>
      <c r="K17" s="232" t="s">
        <v>27</v>
      </c>
      <c r="L17" s="182" t="s">
        <v>27</v>
      </c>
      <c r="M17" s="247" t="s">
        <v>423</v>
      </c>
      <c r="N17" s="211" t="s">
        <v>379</v>
      </c>
      <c r="O17" s="222"/>
      <c r="P17" s="222"/>
      <c r="Q17" s="222"/>
      <c r="R17" s="222"/>
      <c r="S17" s="222"/>
      <c r="T17" s="222"/>
      <c r="U17" s="222"/>
    </row>
    <row r="18" spans="1:21" thickBot="1" x14ac:dyDescent="0.35">
      <c r="A18" s="60"/>
      <c r="B18" s="52"/>
      <c r="C18" s="52"/>
      <c r="D18" s="52"/>
      <c r="E18" s="61"/>
      <c r="F18" s="62"/>
      <c r="G18" s="62"/>
      <c r="H18" s="62"/>
      <c r="I18" s="62"/>
      <c r="J18" s="61"/>
      <c r="K18" s="63"/>
      <c r="L18" s="52"/>
      <c r="M18" s="64"/>
      <c r="N18" s="52"/>
      <c r="O18" s="64"/>
      <c r="P18" s="64"/>
      <c r="Q18" s="64"/>
      <c r="R18" s="64"/>
      <c r="S18" s="64"/>
      <c r="T18" s="64"/>
      <c r="U18" s="64"/>
    </row>
    <row r="19" spans="1:21" ht="14.25" customHeight="1" thickBot="1" x14ac:dyDescent="0.35">
      <c r="A19" s="106" t="s">
        <v>56</v>
      </c>
      <c r="C19" s="86"/>
      <c r="D19" s="37"/>
      <c r="E19" s="38"/>
      <c r="F19" s="38"/>
      <c r="G19" s="38"/>
      <c r="H19" s="38"/>
      <c r="I19" s="6"/>
      <c r="J19" s="6"/>
      <c r="K19" s="7"/>
      <c r="L19" s="7"/>
      <c r="M19" s="7"/>
      <c r="N19" s="7"/>
      <c r="O19" s="38"/>
      <c r="P19" s="38"/>
      <c r="Q19" s="38"/>
      <c r="R19" s="38"/>
      <c r="S19" s="38"/>
      <c r="T19" s="38"/>
      <c r="U19" s="38"/>
    </row>
    <row r="20" spans="1:21" ht="46.2" customHeight="1" thickBot="1" x14ac:dyDescent="0.35">
      <c r="A20" s="251" t="s">
        <v>434</v>
      </c>
      <c r="C20" s="86"/>
      <c r="D20" s="37"/>
      <c r="E20" s="38"/>
      <c r="F20" s="38"/>
      <c r="G20" s="38"/>
      <c r="H20" s="38"/>
      <c r="I20" s="6"/>
      <c r="J20" s="6"/>
      <c r="K20" s="7"/>
      <c r="L20" s="7"/>
      <c r="M20" s="7"/>
      <c r="N20" s="7"/>
      <c r="O20" s="38"/>
      <c r="P20" s="38"/>
      <c r="Q20" s="38"/>
      <c r="R20" s="38"/>
      <c r="S20" s="38"/>
      <c r="T20" s="38"/>
      <c r="U20" s="38"/>
    </row>
    <row r="21" spans="1:21" thickBot="1" x14ac:dyDescent="0.35">
      <c r="A21" s="65"/>
      <c r="B21" s="40"/>
      <c r="C21" s="40"/>
      <c r="D21" s="40"/>
      <c r="E21" s="5"/>
      <c r="F21" s="59"/>
      <c r="G21" s="59"/>
      <c r="H21" s="59"/>
      <c r="I21" s="59"/>
      <c r="J21" s="5"/>
      <c r="K21" s="41"/>
      <c r="L21" s="40"/>
      <c r="M21" s="40"/>
      <c r="N21" s="40"/>
      <c r="O21" s="40"/>
      <c r="P21" s="40"/>
      <c r="Q21" s="40"/>
      <c r="R21" s="40"/>
      <c r="S21" s="40"/>
      <c r="T21" s="40"/>
      <c r="U21" s="40"/>
    </row>
    <row r="22" spans="1:21" thickBot="1" x14ac:dyDescent="0.35">
      <c r="A22" s="94" t="s">
        <v>40</v>
      </c>
      <c r="B22" s="95"/>
      <c r="C22" s="95"/>
      <c r="D22" s="95"/>
      <c r="E22" s="95"/>
      <c r="F22" s="95"/>
      <c r="G22" s="95"/>
      <c r="H22" s="95"/>
      <c r="I22" s="95"/>
      <c r="J22" s="95"/>
      <c r="K22" s="95"/>
      <c r="L22" s="95"/>
      <c r="M22" s="95"/>
      <c r="N22" s="95"/>
      <c r="O22" s="95"/>
      <c r="P22" s="95"/>
      <c r="Q22" s="95"/>
      <c r="R22" s="95"/>
      <c r="S22" s="95"/>
      <c r="T22" s="95"/>
      <c r="U22" s="103"/>
    </row>
    <row r="23" spans="1:21" thickBot="1" x14ac:dyDescent="0.35">
      <c r="A23" s="144" t="s">
        <v>52</v>
      </c>
      <c r="B23" s="145" t="s">
        <v>18</v>
      </c>
      <c r="C23" s="145" t="s">
        <v>109</v>
      </c>
      <c r="D23" s="146" t="s">
        <v>105</v>
      </c>
      <c r="E23" s="145" t="s">
        <v>110</v>
      </c>
      <c r="F23" s="145" t="s">
        <v>106</v>
      </c>
      <c r="G23" s="145" t="s">
        <v>111</v>
      </c>
      <c r="H23" s="145" t="s">
        <v>112</v>
      </c>
      <c r="I23" s="145" t="s">
        <v>113</v>
      </c>
      <c r="J23" s="145" t="s">
        <v>107</v>
      </c>
      <c r="K23" s="145" t="s">
        <v>114</v>
      </c>
      <c r="L23" s="145" t="s">
        <v>108</v>
      </c>
      <c r="M23" s="145" t="s">
        <v>115</v>
      </c>
      <c r="N23" s="145" t="s">
        <v>116</v>
      </c>
      <c r="O23" s="145" t="s">
        <v>117</v>
      </c>
      <c r="P23" s="145" t="s">
        <v>118</v>
      </c>
      <c r="Q23" s="145" t="s">
        <v>119</v>
      </c>
      <c r="R23" s="145" t="s">
        <v>120</v>
      </c>
      <c r="S23" s="147" t="s">
        <v>51</v>
      </c>
      <c r="T23" s="147" t="s">
        <v>121</v>
      </c>
      <c r="U23" s="133" t="s">
        <v>15</v>
      </c>
    </row>
    <row r="24" spans="1:21" ht="15.75" customHeight="1" x14ac:dyDescent="0.3">
      <c r="A24" s="237" t="s">
        <v>359</v>
      </c>
      <c r="B24" s="186" t="s">
        <v>354</v>
      </c>
      <c r="C24" s="238">
        <f>MC_S1_Ti</f>
        <v>114.48</v>
      </c>
      <c r="D24" s="230" t="s">
        <v>367</v>
      </c>
      <c r="E24" s="238">
        <f>MC_S1_To</f>
        <v>95</v>
      </c>
      <c r="F24" s="230" t="s">
        <v>367</v>
      </c>
      <c r="G24" s="205">
        <v>0</v>
      </c>
      <c r="H24" s="230" t="s">
        <v>173</v>
      </c>
      <c r="I24" s="205">
        <f>CO2Q1</f>
        <v>5.6782464846980973</v>
      </c>
      <c r="J24" s="230" t="s">
        <v>173</v>
      </c>
      <c r="K24" s="218">
        <f>I24/M24/(C24-E24)*3.6</f>
        <v>1.049367933517102</v>
      </c>
      <c r="L24" s="239" t="s">
        <v>424</v>
      </c>
      <c r="M24" s="218">
        <f>Captured_CO2</f>
        <v>1</v>
      </c>
      <c r="N24" s="230" t="s">
        <v>231</v>
      </c>
      <c r="O24" s="186">
        <f>dtmin</f>
        <v>5</v>
      </c>
      <c r="P24" s="230" t="s">
        <v>425</v>
      </c>
      <c r="Q24" s="205">
        <v>1</v>
      </c>
      <c r="R24" s="239" t="s">
        <v>426</v>
      </c>
      <c r="S24" s="205" t="s">
        <v>427</v>
      </c>
      <c r="T24" s="205" t="s">
        <v>423</v>
      </c>
      <c r="U24" s="248" t="s">
        <v>428</v>
      </c>
    </row>
    <row r="25" spans="1:21" ht="15.75" customHeight="1" x14ac:dyDescent="0.3">
      <c r="A25" s="234" t="s">
        <v>358</v>
      </c>
      <c r="B25" s="178" t="s">
        <v>354</v>
      </c>
      <c r="C25" s="235">
        <f>MC_S2_Ti</f>
        <v>234.2</v>
      </c>
      <c r="D25" s="226" t="s">
        <v>367</v>
      </c>
      <c r="E25" s="235">
        <f>MC_S2_To</f>
        <v>110</v>
      </c>
      <c r="F25" s="226" t="s">
        <v>367</v>
      </c>
      <c r="G25" s="202">
        <v>0</v>
      </c>
      <c r="H25" s="226" t="s">
        <v>173</v>
      </c>
      <c r="I25" s="202">
        <f>CO2Q2</f>
        <v>38.846153846153847</v>
      </c>
      <c r="J25" s="226" t="s">
        <v>173</v>
      </c>
      <c r="K25" s="214">
        <f>I25/M25/(C25-E25)*3.6</f>
        <v>1.1259754738015608</v>
      </c>
      <c r="L25" s="236" t="s">
        <v>424</v>
      </c>
      <c r="M25" s="214">
        <f>Captured_CO2</f>
        <v>1</v>
      </c>
      <c r="N25" s="226" t="s">
        <v>231</v>
      </c>
      <c r="O25" s="178">
        <f>dtmin</f>
        <v>5</v>
      </c>
      <c r="P25" s="226" t="s">
        <v>425</v>
      </c>
      <c r="Q25" s="202">
        <v>1</v>
      </c>
      <c r="R25" s="236" t="s">
        <v>426</v>
      </c>
      <c r="S25" s="202" t="s">
        <v>427</v>
      </c>
      <c r="T25" s="202" t="s">
        <v>423</v>
      </c>
      <c r="U25" s="249" t="s">
        <v>429</v>
      </c>
    </row>
    <row r="26" spans="1:21" ht="15.75" customHeight="1" x14ac:dyDescent="0.3">
      <c r="A26" s="234" t="s">
        <v>357</v>
      </c>
      <c r="B26" s="178" t="s">
        <v>354</v>
      </c>
      <c r="C26" s="235">
        <f>MC_S3_Ti</f>
        <v>253.934</v>
      </c>
      <c r="D26" s="226" t="s">
        <v>367</v>
      </c>
      <c r="E26" s="235">
        <f>MC_S3_To</f>
        <v>130</v>
      </c>
      <c r="F26" s="226" t="s">
        <v>367</v>
      </c>
      <c r="G26" s="202">
        <v>0</v>
      </c>
      <c r="H26" s="226" t="s">
        <v>173</v>
      </c>
      <c r="I26" s="202">
        <f>CO2Q3</f>
        <v>41.484698097601324</v>
      </c>
      <c r="J26" s="226" t="s">
        <v>173</v>
      </c>
      <c r="K26" s="214">
        <f>I26/M26/(C26-E26)*3.6</f>
        <v>1.205035850947801</v>
      </c>
      <c r="L26" s="236" t="s">
        <v>424</v>
      </c>
      <c r="M26" s="214">
        <f>Captured_CO2</f>
        <v>1</v>
      </c>
      <c r="N26" s="226" t="s">
        <v>231</v>
      </c>
      <c r="O26" s="178">
        <f>dtmin</f>
        <v>5</v>
      </c>
      <c r="P26" s="226" t="s">
        <v>425</v>
      </c>
      <c r="Q26" s="202">
        <v>1</v>
      </c>
      <c r="R26" s="236" t="s">
        <v>426</v>
      </c>
      <c r="S26" s="202" t="s">
        <v>427</v>
      </c>
      <c r="T26" s="202" t="s">
        <v>423</v>
      </c>
      <c r="U26" s="249" t="s">
        <v>430</v>
      </c>
    </row>
    <row r="27" spans="1:21" ht="15.75" customHeight="1" thickBot="1" x14ac:dyDescent="0.35">
      <c r="A27" s="240" t="s">
        <v>355</v>
      </c>
      <c r="B27" s="182" t="s">
        <v>354</v>
      </c>
      <c r="C27" s="241">
        <f>MC_S4_Ti</f>
        <v>280.66000000000003</v>
      </c>
      <c r="D27" s="233" t="s">
        <v>367</v>
      </c>
      <c r="E27" s="241">
        <f>MC_S4_To</f>
        <v>144</v>
      </c>
      <c r="F27" s="233" t="s">
        <v>367</v>
      </c>
      <c r="G27" s="207">
        <v>0</v>
      </c>
      <c r="H27" s="233" t="s">
        <v>173</v>
      </c>
      <c r="I27" s="207">
        <f>CO2Q4</f>
        <v>49.516129032258064</v>
      </c>
      <c r="J27" s="233" t="s">
        <v>173</v>
      </c>
      <c r="K27" s="216">
        <f>I27/M27/(C27-E27)*3.6</f>
        <v>1.3043909301633909</v>
      </c>
      <c r="L27" s="242" t="s">
        <v>424</v>
      </c>
      <c r="M27" s="216">
        <f>Captured_CO2</f>
        <v>1</v>
      </c>
      <c r="N27" s="233" t="s">
        <v>231</v>
      </c>
      <c r="O27" s="182">
        <f>dtmin</f>
        <v>5</v>
      </c>
      <c r="P27" s="233" t="s">
        <v>425</v>
      </c>
      <c r="Q27" s="207">
        <v>1</v>
      </c>
      <c r="R27" s="242" t="s">
        <v>426</v>
      </c>
      <c r="S27" s="207" t="s">
        <v>427</v>
      </c>
      <c r="T27" s="207" t="s">
        <v>423</v>
      </c>
      <c r="U27" s="250" t="s">
        <v>431</v>
      </c>
    </row>
    <row r="28" spans="1:21" ht="14.25" customHeight="1" thickBot="1" x14ac:dyDescent="0.35">
      <c r="A28" s="152"/>
      <c r="B28" s="152"/>
      <c r="C28" s="152"/>
      <c r="D28" s="152"/>
      <c r="E28" s="152"/>
      <c r="F28" s="152"/>
      <c r="G28" s="152"/>
      <c r="H28" s="152"/>
      <c r="I28" s="152"/>
      <c r="J28" s="152"/>
      <c r="K28" s="152"/>
      <c r="L28" s="153"/>
      <c r="M28" s="153"/>
      <c r="N28" s="153"/>
      <c r="O28" s="81"/>
      <c r="P28" s="81"/>
      <c r="Q28" s="81"/>
      <c r="R28" s="81"/>
      <c r="S28" s="81"/>
      <c r="T28" s="81"/>
      <c r="U28" s="81"/>
    </row>
    <row r="29" spans="1:21" ht="14.25" customHeight="1" thickBot="1" x14ac:dyDescent="0.35">
      <c r="A29" s="108" t="s">
        <v>44</v>
      </c>
      <c r="B29" s="86"/>
      <c r="C29" s="86"/>
      <c r="D29" s="37"/>
      <c r="E29" s="38"/>
      <c r="F29" s="38"/>
      <c r="G29" s="38"/>
      <c r="H29" s="38"/>
      <c r="I29" s="88"/>
      <c r="J29" s="6"/>
      <c r="K29" s="7"/>
      <c r="L29" s="86"/>
      <c r="M29" s="86"/>
      <c r="N29" s="86"/>
      <c r="O29" s="38"/>
      <c r="P29" s="38"/>
      <c r="Q29" s="38"/>
      <c r="R29" s="38"/>
      <c r="S29" s="38"/>
      <c r="T29" s="38"/>
      <c r="U29" s="38"/>
    </row>
    <row r="30" spans="1:21" ht="57.45" customHeight="1" thickBot="1" x14ac:dyDescent="0.35">
      <c r="A30" s="252" t="s">
        <v>435</v>
      </c>
      <c r="B30" s="86"/>
      <c r="C30" s="86"/>
      <c r="D30" s="37"/>
      <c r="E30" s="38"/>
      <c r="F30" s="38"/>
      <c r="G30" s="38"/>
      <c r="H30" s="38"/>
      <c r="I30" s="6"/>
      <c r="J30" s="6"/>
      <c r="K30" s="7"/>
      <c r="L30" s="86"/>
      <c r="M30" s="86"/>
      <c r="N30" s="86"/>
      <c r="O30" s="38"/>
      <c r="P30" s="38"/>
      <c r="Q30" s="38"/>
      <c r="R30" s="38"/>
      <c r="S30" s="38"/>
      <c r="T30" s="38"/>
      <c r="U30" s="38"/>
    </row>
    <row r="31" spans="1:21" ht="15.75" customHeight="1" thickBot="1" x14ac:dyDescent="0.35">
      <c r="A31" s="68"/>
      <c r="B31" s="57"/>
      <c r="C31" s="57"/>
      <c r="D31" s="57"/>
      <c r="E31" s="69"/>
      <c r="F31" s="43"/>
      <c r="G31" s="43"/>
      <c r="H31" s="43"/>
      <c r="I31" s="43"/>
      <c r="J31" s="46"/>
      <c r="K31" s="46"/>
      <c r="L31" s="46"/>
      <c r="M31" s="66"/>
      <c r="O31" s="46"/>
      <c r="P31" s="46"/>
      <c r="Q31" s="46"/>
      <c r="R31" s="46"/>
      <c r="S31" s="46"/>
      <c r="T31" s="46"/>
      <c r="U31" s="46"/>
    </row>
    <row r="32" spans="1:21" ht="15.75" customHeight="1" thickBot="1" x14ac:dyDescent="0.35">
      <c r="A32" s="128" t="s">
        <v>41</v>
      </c>
      <c r="B32" s="129"/>
      <c r="C32" s="129"/>
      <c r="D32" s="129"/>
      <c r="E32" s="129"/>
      <c r="F32" s="129"/>
      <c r="G32" s="130"/>
      <c r="H32" s="70" t="s">
        <v>122</v>
      </c>
      <c r="I32" s="46"/>
      <c r="J32" s="46"/>
      <c r="K32" s="46"/>
      <c r="L32" s="46"/>
      <c r="M32" s="46"/>
      <c r="N32" s="43"/>
      <c r="O32" s="46"/>
      <c r="P32" s="46"/>
      <c r="Q32" s="46"/>
      <c r="R32" s="46"/>
      <c r="S32" s="46"/>
      <c r="T32" s="46"/>
      <c r="U32" s="46"/>
    </row>
    <row r="33" spans="1:21" ht="15.75" customHeight="1" thickBot="1" x14ac:dyDescent="0.35">
      <c r="A33" s="112" t="s">
        <v>52</v>
      </c>
      <c r="B33" s="113" t="s">
        <v>18</v>
      </c>
      <c r="C33" s="113" t="s">
        <v>103</v>
      </c>
      <c r="D33" s="113" t="s">
        <v>104</v>
      </c>
      <c r="E33" s="113" t="s">
        <v>53</v>
      </c>
      <c r="F33" s="113" t="s">
        <v>39</v>
      </c>
      <c r="G33" s="115" t="s">
        <v>149</v>
      </c>
      <c r="H33" s="72"/>
      <c r="I33" s="71"/>
      <c r="J33" s="73"/>
      <c r="K33" s="49"/>
      <c r="L33" s="49"/>
      <c r="M33" s="49"/>
      <c r="N33" s="46"/>
      <c r="O33" s="46"/>
      <c r="P33" s="46"/>
      <c r="Q33" s="46"/>
      <c r="R33" s="46"/>
      <c r="S33" s="46"/>
      <c r="T33" s="46"/>
      <c r="U33" s="46"/>
    </row>
    <row r="34" spans="1:21" ht="15.75" customHeight="1" x14ac:dyDescent="0.3">
      <c r="A34" s="265" t="s">
        <v>436</v>
      </c>
      <c r="B34" s="266" t="s">
        <v>437</v>
      </c>
      <c r="C34" s="266" t="s">
        <v>438</v>
      </c>
      <c r="D34" s="266" t="s">
        <v>439</v>
      </c>
      <c r="E34" s="267" t="s">
        <v>440</v>
      </c>
      <c r="F34" s="266">
        <v>1500</v>
      </c>
      <c r="G34" s="268" t="s">
        <v>441</v>
      </c>
      <c r="H34" s="164"/>
      <c r="I34" s="164"/>
      <c r="J34" s="164"/>
      <c r="K34" s="165"/>
      <c r="L34" s="165"/>
      <c r="M34" s="152"/>
      <c r="N34" s="152"/>
      <c r="O34" s="152"/>
      <c r="P34" s="152"/>
      <c r="Q34" s="152"/>
      <c r="R34" s="152"/>
      <c r="S34" s="152"/>
      <c r="T34" s="152"/>
      <c r="U34" s="152"/>
    </row>
    <row r="35" spans="1:21" ht="15.75" customHeight="1" x14ac:dyDescent="0.3">
      <c r="A35" s="269"/>
      <c r="B35" s="258"/>
      <c r="C35" s="258"/>
      <c r="D35" s="258"/>
      <c r="E35" s="259" t="s">
        <v>442</v>
      </c>
      <c r="F35" s="258">
        <v>382.5</v>
      </c>
      <c r="G35" s="270" t="s">
        <v>173</v>
      </c>
      <c r="H35" s="164"/>
      <c r="I35" s="164"/>
      <c r="J35" s="164"/>
      <c r="K35" s="165"/>
      <c r="L35" s="165"/>
      <c r="M35" s="152"/>
      <c r="N35" s="152"/>
      <c r="O35" s="152"/>
      <c r="P35" s="152"/>
      <c r="Q35" s="152"/>
      <c r="R35" s="152"/>
      <c r="S35" s="152"/>
      <c r="T35" s="152"/>
      <c r="U35" s="152"/>
    </row>
    <row r="36" spans="1:21" ht="15.75" customHeight="1" x14ac:dyDescent="0.3">
      <c r="A36" s="269"/>
      <c r="B36" s="258"/>
      <c r="C36" s="258"/>
      <c r="D36" s="258"/>
      <c r="E36" s="259" t="s">
        <v>443</v>
      </c>
      <c r="F36" s="258">
        <v>7.0000000000000007E-2</v>
      </c>
      <c r="G36" s="270" t="s">
        <v>27</v>
      </c>
      <c r="H36" s="164"/>
      <c r="I36" s="164"/>
      <c r="J36" s="164"/>
      <c r="K36" s="165"/>
      <c r="L36" s="165"/>
      <c r="M36" s="152"/>
      <c r="N36" s="152"/>
      <c r="O36" s="152"/>
      <c r="P36" s="152"/>
      <c r="Q36" s="152"/>
      <c r="R36" s="152"/>
      <c r="S36" s="152"/>
      <c r="T36" s="152"/>
      <c r="U36" s="152"/>
    </row>
    <row r="37" spans="1:21" ht="15.75" customHeight="1" x14ac:dyDescent="0.3">
      <c r="A37" s="269" t="s">
        <v>444</v>
      </c>
      <c r="B37" s="258" t="s">
        <v>437</v>
      </c>
      <c r="C37" s="258" t="s">
        <v>445</v>
      </c>
      <c r="D37" s="258" t="s">
        <v>446</v>
      </c>
      <c r="E37" s="259" t="s">
        <v>440</v>
      </c>
      <c r="F37" s="258">
        <v>450</v>
      </c>
      <c r="G37" s="270" t="s">
        <v>441</v>
      </c>
      <c r="H37" s="164"/>
      <c r="I37" s="164"/>
      <c r="J37" s="164"/>
      <c r="K37" s="165"/>
      <c r="L37" s="165"/>
      <c r="M37" s="152"/>
      <c r="N37" s="152"/>
      <c r="O37" s="152"/>
      <c r="P37" s="152"/>
      <c r="Q37" s="152"/>
      <c r="R37" s="152"/>
      <c r="S37" s="152"/>
      <c r="T37" s="152"/>
      <c r="U37" s="152"/>
    </row>
    <row r="38" spans="1:21" ht="15.75" customHeight="1" x14ac:dyDescent="0.3">
      <c r="A38" s="269"/>
      <c r="B38" s="258"/>
      <c r="C38" s="258"/>
      <c r="D38" s="258"/>
      <c r="E38" s="259" t="s">
        <v>447</v>
      </c>
      <c r="F38" s="258">
        <v>327.7</v>
      </c>
      <c r="G38" s="270" t="s">
        <v>173</v>
      </c>
      <c r="H38" s="164"/>
      <c r="I38" s="164"/>
      <c r="J38" s="164"/>
      <c r="K38" s="165"/>
      <c r="L38" s="165"/>
      <c r="M38" s="152"/>
      <c r="N38" s="152"/>
      <c r="O38" s="152"/>
      <c r="P38" s="152"/>
      <c r="Q38" s="152"/>
      <c r="R38" s="152"/>
      <c r="S38" s="152"/>
      <c r="T38" s="152"/>
      <c r="U38" s="152"/>
    </row>
    <row r="39" spans="1:21" ht="15.75" customHeight="1" thickBot="1" x14ac:dyDescent="0.35">
      <c r="A39" s="271"/>
      <c r="B39" s="272"/>
      <c r="C39" s="272"/>
      <c r="D39" s="272"/>
      <c r="E39" s="273" t="s">
        <v>443</v>
      </c>
      <c r="F39" s="272">
        <v>7.0000000000000007E-2</v>
      </c>
      <c r="G39" s="274" t="s">
        <v>27</v>
      </c>
      <c r="H39" s="164"/>
      <c r="I39" s="164"/>
      <c r="J39" s="164"/>
      <c r="K39" s="165"/>
      <c r="L39" s="165"/>
      <c r="M39" s="152"/>
      <c r="N39" s="152"/>
      <c r="O39" s="152"/>
      <c r="P39" s="152"/>
      <c r="Q39" s="152"/>
      <c r="R39" s="152"/>
      <c r="S39" s="152"/>
      <c r="T39" s="152"/>
      <c r="U39" s="152"/>
    </row>
    <row r="40" spans="1:21" ht="42" customHeight="1" thickBot="1" x14ac:dyDescent="0.35">
      <c r="A40" s="109"/>
      <c r="B40" s="75"/>
      <c r="C40" s="154"/>
      <c r="D40" s="75"/>
      <c r="E40" s="75"/>
      <c r="F40" s="75"/>
      <c r="G40" s="75"/>
      <c r="H40" s="71"/>
    </row>
    <row r="41" spans="1:21" ht="15.75" customHeight="1" thickBot="1" x14ac:dyDescent="0.35">
      <c r="A41" s="108" t="s">
        <v>45</v>
      </c>
      <c r="B41" s="86"/>
      <c r="C41" s="86"/>
      <c r="D41" s="71"/>
      <c r="E41" s="71"/>
      <c r="F41" s="71"/>
      <c r="G41" s="71"/>
      <c r="H41" s="77"/>
    </row>
    <row r="42" spans="1:21" ht="34.799999999999997" customHeight="1" thickBot="1" x14ac:dyDescent="0.35">
      <c r="A42" s="107" t="s">
        <v>42</v>
      </c>
      <c r="B42" s="86"/>
      <c r="C42" s="86"/>
      <c r="D42" s="71"/>
      <c r="E42" s="71"/>
      <c r="F42" s="71"/>
      <c r="G42" s="71"/>
      <c r="H42" s="71"/>
    </row>
    <row r="43" spans="1:21" ht="15.75" customHeight="1" thickBot="1" x14ac:dyDescent="0.35">
      <c r="A43" s="76"/>
      <c r="B43" s="77"/>
      <c r="C43" s="61"/>
      <c r="D43" s="77"/>
      <c r="E43" s="77"/>
      <c r="F43" s="77"/>
      <c r="G43" s="77"/>
      <c r="H43" s="71"/>
    </row>
    <row r="44" spans="1:21" ht="15.75" customHeight="1" thickBot="1" x14ac:dyDescent="0.35">
      <c r="A44" s="78" t="s">
        <v>57</v>
      </c>
      <c r="B44" s="79"/>
      <c r="C44" s="80"/>
      <c r="D44" s="71"/>
      <c r="E44" s="71"/>
      <c r="F44" s="71"/>
      <c r="G44" s="71"/>
      <c r="H44" s="71"/>
    </row>
    <row r="45" spans="1:21" ht="15.75" customHeight="1" thickBot="1" x14ac:dyDescent="0.35">
      <c r="A45" s="148" t="s">
        <v>54</v>
      </c>
      <c r="B45" s="149" t="s">
        <v>55</v>
      </c>
      <c r="C45" s="71"/>
      <c r="D45" s="71"/>
      <c r="E45" s="71"/>
      <c r="F45" s="71"/>
      <c r="G45" s="71"/>
      <c r="H45" s="71"/>
    </row>
    <row r="46" spans="1:21" ht="15.75" customHeight="1" thickBot="1" x14ac:dyDescent="0.35">
      <c r="A46" s="142">
        <v>0</v>
      </c>
      <c r="B46" s="150">
        <v>0</v>
      </c>
      <c r="C46" s="71"/>
      <c r="D46" s="71"/>
      <c r="E46" s="71"/>
      <c r="F46" s="71"/>
      <c r="G46" s="71"/>
      <c r="H46" s="71"/>
    </row>
  </sheetData>
  <dataValidations count="4">
    <dataValidation type="list" allowBlank="1" showErrorMessage="1" sqref="B24:B27" xr:uid="{00000000-0002-0000-0400-000002000000}">
      <formula1>"Cold,Hot"</formula1>
    </dataValidation>
    <dataValidation type="list" allowBlank="1" showErrorMessage="1" sqref="C15:C17" xr:uid="{00000000-0002-0000-0400-000000000000}">
      <formula1>"IN,OUT"</formula1>
    </dataValidation>
    <dataValidation type="list" allowBlank="1" showErrorMessage="1" sqref="B15:B17" xr:uid="{00000000-0002-0000-0400-000001000000}">
      <formula1>"MASS,ELECTRICITY,EMISSIONS,ENERGY"</formula1>
    </dataValidation>
    <dataValidation type="list" errorStyle="information" allowBlank="1" showInputMessage="1" showErrorMessage="1" sqref="E15:E17 G15:G17 I15:I17 D24:D27 F24:F27 H24:H27 J24:J27 L24:L27 N24:N27 P24:P27 R24:R27 G34:G39" xr:uid="{71A77499-A10C-46FC-B7CC-8A7A2791863F}">
      <formula1>"-,kg,s,m,K,°C,W,bar,kg/h,t/h,kW,kW/m2K,W/m2K,kJ/kgK,kJ/kg,m3/h,Nm3/t,kWh/Nm3,Nm3/h,%,kg/kmol,eur,eur/year,eur/kW,kWel/kWth,year, days"</formula1>
    </dataValidation>
  </dataValidations>
  <pageMargins left="0.7" right="0.7" top="0.75" bottom="0.75" header="0" footer="0"/>
  <pageSetup orientation="landscape"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2DB64-DE43-4E44-8231-30B82BEB192A}">
  <sheetPr codeName="Sheet6"/>
  <dimension ref="A1:U44"/>
  <sheetViews>
    <sheetView showGridLines="0" topLeftCell="A10" zoomScale="50" zoomScaleNormal="25" workbookViewId="0">
      <selection activeCell="C21" sqref="C21"/>
    </sheetView>
  </sheetViews>
  <sheetFormatPr defaultColWidth="14.44140625" defaultRowHeight="15" customHeight="1" x14ac:dyDescent="0.3"/>
  <cols>
    <col min="1" max="1" width="59.109375" customWidth="1"/>
    <col min="2" max="2" width="43.77734375" customWidth="1"/>
    <col min="3" max="3" width="59.33203125" customWidth="1"/>
    <col min="4" max="4" width="45.33203125" customWidth="1"/>
    <col min="5" max="5" width="37.6640625" customWidth="1"/>
    <col min="6" max="6" width="42.109375" customWidth="1"/>
    <col min="7" max="7" width="34.33203125" customWidth="1"/>
    <col min="8" max="8" width="34.6640625" customWidth="1"/>
    <col min="9" max="9" width="29.109375" customWidth="1"/>
    <col min="10" max="10" width="35.33203125" customWidth="1"/>
    <col min="11" max="11" width="42.6640625" customWidth="1"/>
    <col min="12" max="12" width="43" customWidth="1"/>
    <col min="13" max="13" width="43.44140625" bestFit="1" customWidth="1"/>
    <col min="14" max="14" width="60.77734375" customWidth="1"/>
    <col min="15" max="15" width="22.33203125" bestFit="1" customWidth="1"/>
    <col min="16" max="16" width="19.77734375" customWidth="1"/>
    <col min="17" max="17" width="31.44140625" bestFit="1" customWidth="1"/>
    <col min="18" max="18" width="29" bestFit="1" customWidth="1"/>
    <col min="19" max="19" width="16.77734375" bestFit="1" customWidth="1"/>
    <col min="20" max="20" width="30.109375" customWidth="1"/>
    <col min="21" max="21" width="53.77734375" bestFit="1" customWidth="1"/>
    <col min="22" max="28" width="10.6640625" customWidth="1"/>
  </cols>
  <sheetData>
    <row r="1" spans="1:21" ht="14.25" customHeight="1" thickBot="1" x14ac:dyDescent="0.35">
      <c r="A1" s="108" t="s">
        <v>46</v>
      </c>
      <c r="B1" s="86"/>
      <c r="C1" s="86"/>
      <c r="D1" s="37"/>
      <c r="E1" s="38"/>
      <c r="F1" s="38"/>
      <c r="G1" s="38"/>
      <c r="H1" s="38"/>
      <c r="I1" s="6"/>
      <c r="J1" s="6"/>
      <c r="K1" s="7"/>
      <c r="L1" s="7"/>
      <c r="M1" s="7"/>
      <c r="N1" s="7"/>
    </row>
    <row r="2" spans="1:21" ht="48" customHeight="1" thickBot="1" x14ac:dyDescent="0.35">
      <c r="A2" s="251" t="s">
        <v>449</v>
      </c>
      <c r="B2" s="86"/>
      <c r="C2" s="86"/>
      <c r="D2" s="37"/>
      <c r="E2" s="38"/>
      <c r="F2" s="38"/>
      <c r="G2" s="38"/>
      <c r="H2" s="38"/>
      <c r="I2" s="6"/>
      <c r="J2" s="6"/>
      <c r="K2" s="7"/>
      <c r="L2" s="7"/>
      <c r="M2" s="7"/>
      <c r="N2" s="7"/>
    </row>
    <row r="3" spans="1:21" ht="14.25" customHeight="1" thickBot="1" x14ac:dyDescent="0.35">
      <c r="D3" s="37"/>
      <c r="E3" s="38"/>
      <c r="F3" s="38"/>
      <c r="G3" s="38"/>
      <c r="H3" s="38"/>
      <c r="I3" s="6"/>
      <c r="J3" s="6"/>
      <c r="K3" s="7"/>
      <c r="L3" s="7"/>
      <c r="M3" s="7"/>
      <c r="N3" s="7"/>
    </row>
    <row r="4" spans="1:21" thickBot="1" x14ac:dyDescent="0.35">
      <c r="A4" s="87"/>
      <c r="B4" s="39"/>
      <c r="C4" s="39"/>
      <c r="D4" s="6"/>
      <c r="E4" s="40"/>
      <c r="F4" s="40"/>
      <c r="G4" s="40"/>
      <c r="H4" s="41"/>
      <c r="I4" s="42"/>
      <c r="J4" s="42"/>
      <c r="K4" s="42"/>
      <c r="L4" s="42"/>
      <c r="M4" s="42"/>
      <c r="N4" s="42"/>
    </row>
    <row r="5" spans="1:21" thickBot="1" x14ac:dyDescent="0.35">
      <c r="A5" s="90" t="s">
        <v>48</v>
      </c>
      <c r="B5" s="91" t="s">
        <v>50</v>
      </c>
      <c r="C5" s="92" t="s">
        <v>49</v>
      </c>
      <c r="D5" s="67" t="s">
        <v>150</v>
      </c>
      <c r="E5" s="46"/>
      <c r="F5" s="46"/>
      <c r="G5" s="46"/>
      <c r="H5" s="44"/>
      <c r="I5" s="7"/>
      <c r="J5" s="7"/>
      <c r="K5" s="7"/>
      <c r="L5" s="7"/>
      <c r="M5" s="7"/>
      <c r="N5" s="7"/>
    </row>
    <row r="6" spans="1:21" thickBot="1" x14ac:dyDescent="0.35">
      <c r="A6" s="142" t="s">
        <v>363</v>
      </c>
      <c r="B6" s="151">
        <v>0</v>
      </c>
      <c r="C6" s="150">
        <v>10000</v>
      </c>
      <c r="D6" s="47"/>
      <c r="E6" s="48"/>
      <c r="F6" s="49"/>
      <c r="G6" s="49"/>
      <c r="H6" s="50"/>
      <c r="I6" s="38"/>
      <c r="J6" s="38"/>
      <c r="K6" s="38"/>
      <c r="L6" s="38"/>
      <c r="M6" s="38"/>
      <c r="N6" s="38"/>
    </row>
    <row r="7" spans="1:21" thickBot="1" x14ac:dyDescent="0.35">
      <c r="A7" s="51"/>
      <c r="B7" s="52"/>
      <c r="C7" s="52"/>
      <c r="D7" s="53"/>
      <c r="E7" s="5"/>
      <c r="F7" s="40"/>
      <c r="G7" s="40"/>
      <c r="H7" s="41"/>
      <c r="I7" s="40"/>
      <c r="J7" s="40"/>
      <c r="K7" s="40"/>
      <c r="L7" s="40"/>
      <c r="M7" s="40"/>
      <c r="N7" s="40"/>
    </row>
    <row r="8" spans="1:21" ht="17.25" customHeight="1" thickBot="1" x14ac:dyDescent="0.35">
      <c r="A8" s="104" t="s">
        <v>47</v>
      </c>
      <c r="B8" s="86"/>
      <c r="C8" s="86"/>
      <c r="D8" s="41"/>
      <c r="E8" s="5"/>
      <c r="F8" s="40"/>
      <c r="G8" s="40"/>
      <c r="H8" s="41"/>
      <c r="I8" s="40"/>
      <c r="J8" s="40"/>
      <c r="K8" s="40"/>
      <c r="L8" s="40"/>
      <c r="M8" s="40"/>
      <c r="N8" s="40"/>
    </row>
    <row r="9" spans="1:21" ht="61.2" customHeight="1" thickBot="1" x14ac:dyDescent="0.35">
      <c r="A9" s="251" t="s">
        <v>450</v>
      </c>
      <c r="B9" s="86"/>
      <c r="C9" s="86"/>
      <c r="D9" s="5"/>
      <c r="E9" s="5"/>
      <c r="F9" s="40"/>
      <c r="G9" s="40"/>
      <c r="H9" s="41"/>
      <c r="I9" s="40"/>
      <c r="J9" s="40"/>
      <c r="K9" s="40"/>
      <c r="L9" s="40"/>
      <c r="M9" s="40"/>
      <c r="N9" s="40"/>
    </row>
    <row r="10" spans="1:21" thickBot="1" x14ac:dyDescent="0.35">
      <c r="A10" s="54"/>
      <c r="B10" s="40"/>
      <c r="C10" s="40"/>
      <c r="D10" s="5"/>
      <c r="E10" s="5"/>
      <c r="F10" s="40"/>
      <c r="G10" s="40"/>
      <c r="H10" s="41"/>
      <c r="I10" s="40"/>
      <c r="J10" s="40"/>
      <c r="K10" s="40"/>
      <c r="L10" s="40"/>
      <c r="M10" s="40"/>
      <c r="N10" s="40"/>
    </row>
    <row r="11" spans="1:21" thickBot="1" x14ac:dyDescent="0.35">
      <c r="A11" s="55" t="s">
        <v>59</v>
      </c>
      <c r="B11" s="40"/>
      <c r="C11" s="40"/>
      <c r="D11" s="5"/>
      <c r="E11" s="5"/>
      <c r="F11" s="40"/>
      <c r="G11" s="40"/>
      <c r="H11" s="41"/>
      <c r="I11" s="40"/>
      <c r="J11" s="40"/>
      <c r="K11" s="40"/>
      <c r="L11" s="40"/>
      <c r="M11" s="40"/>
      <c r="N11" s="40"/>
    </row>
    <row r="12" spans="1:21" thickBot="1" x14ac:dyDescent="0.35">
      <c r="A12" s="56" t="s">
        <v>58</v>
      </c>
      <c r="B12" s="57"/>
      <c r="D12" s="57"/>
      <c r="E12" s="57"/>
      <c r="F12" s="57"/>
      <c r="G12" s="57"/>
      <c r="H12" s="57"/>
      <c r="I12" s="58"/>
      <c r="J12" s="57"/>
      <c r="K12" s="57"/>
      <c r="L12" s="57"/>
      <c r="M12" s="43"/>
      <c r="N12" s="43"/>
    </row>
    <row r="13" spans="1:21" ht="19.5" customHeight="1" thickBot="1" x14ac:dyDescent="0.35">
      <c r="A13" s="89" t="s">
        <v>2</v>
      </c>
      <c r="B13" s="93"/>
      <c r="C13" s="93"/>
      <c r="D13" s="93"/>
      <c r="E13" s="93"/>
      <c r="F13" s="93"/>
      <c r="G13" s="93"/>
      <c r="H13" s="93"/>
      <c r="I13" s="93"/>
      <c r="J13" s="93"/>
      <c r="K13" s="93"/>
      <c r="L13" s="96"/>
      <c r="M13" s="96"/>
      <c r="N13" s="103"/>
    </row>
    <row r="14" spans="1:21" thickBot="1" x14ac:dyDescent="0.35">
      <c r="A14" s="112" t="s">
        <v>17</v>
      </c>
      <c r="B14" s="113" t="s">
        <v>18</v>
      </c>
      <c r="C14" s="113" t="s">
        <v>38</v>
      </c>
      <c r="D14" s="113" t="s">
        <v>147</v>
      </c>
      <c r="E14" s="113" t="s">
        <v>148</v>
      </c>
      <c r="F14" s="113" t="s">
        <v>145</v>
      </c>
      <c r="G14" s="114" t="s">
        <v>21</v>
      </c>
      <c r="H14" s="113" t="s">
        <v>146</v>
      </c>
      <c r="I14" s="113" t="s">
        <v>23</v>
      </c>
      <c r="J14" s="113" t="s">
        <v>24</v>
      </c>
      <c r="K14" s="113" t="s">
        <v>25</v>
      </c>
      <c r="L14" s="143" t="s">
        <v>26</v>
      </c>
      <c r="M14" s="143" t="s">
        <v>121</v>
      </c>
      <c r="N14" s="133" t="s">
        <v>15</v>
      </c>
    </row>
    <row r="15" spans="1:21" ht="14.4" x14ac:dyDescent="0.3">
      <c r="A15" s="227" t="s">
        <v>349</v>
      </c>
      <c r="B15" s="186" t="s">
        <v>345</v>
      </c>
      <c r="C15" s="186" t="s">
        <v>353</v>
      </c>
      <c r="D15" s="228">
        <f>Serp_M</f>
        <v>1</v>
      </c>
      <c r="E15" s="186" t="s">
        <v>231</v>
      </c>
      <c r="F15" s="229">
        <v>25</v>
      </c>
      <c r="G15" s="229" t="s">
        <v>367</v>
      </c>
      <c r="H15" s="229">
        <v>1</v>
      </c>
      <c r="I15" s="229" t="s">
        <v>368</v>
      </c>
      <c r="J15" s="229">
        <v>0</v>
      </c>
      <c r="K15" s="229" t="s">
        <v>372</v>
      </c>
      <c r="L15" s="186" t="s">
        <v>373</v>
      </c>
      <c r="M15" s="245" t="s">
        <v>422</v>
      </c>
      <c r="N15" s="209" t="s">
        <v>374</v>
      </c>
      <c r="O15" s="1"/>
      <c r="P15" s="1"/>
      <c r="Q15" s="1"/>
      <c r="R15" s="1"/>
      <c r="S15" s="1"/>
      <c r="T15" s="1"/>
      <c r="U15" s="1"/>
    </row>
    <row r="16" spans="1:21" ht="14.4" x14ac:dyDescent="0.3">
      <c r="A16" s="223" t="s">
        <v>348</v>
      </c>
      <c r="B16" s="178" t="s">
        <v>345</v>
      </c>
      <c r="C16" s="178" t="s">
        <v>352</v>
      </c>
      <c r="D16" s="224">
        <f>Grd_Serp_M</f>
        <v>0.9</v>
      </c>
      <c r="E16" s="178" t="s">
        <v>231</v>
      </c>
      <c r="F16" s="225">
        <v>25</v>
      </c>
      <c r="G16" s="225" t="s">
        <v>367</v>
      </c>
      <c r="H16" s="225">
        <v>1</v>
      </c>
      <c r="I16" s="225" t="s">
        <v>368</v>
      </c>
      <c r="J16" s="225">
        <v>0</v>
      </c>
      <c r="K16" s="225" t="s">
        <v>372</v>
      </c>
      <c r="L16" s="178" t="s">
        <v>373</v>
      </c>
      <c r="M16" s="246" t="s">
        <v>423</v>
      </c>
      <c r="N16" s="210" t="s">
        <v>375</v>
      </c>
      <c r="O16" s="222"/>
      <c r="P16" s="222"/>
      <c r="Q16" s="222"/>
      <c r="R16" s="222"/>
      <c r="S16" s="222"/>
      <c r="T16" s="222"/>
      <c r="U16" s="222"/>
    </row>
    <row r="17" spans="1:21" ht="14.4" x14ac:dyDescent="0.3">
      <c r="A17" s="223" t="s">
        <v>347</v>
      </c>
      <c r="B17" s="178" t="s">
        <v>345</v>
      </c>
      <c r="C17" s="178" t="s">
        <v>352</v>
      </c>
      <c r="D17" s="224">
        <f>Magnetite_M</f>
        <v>0.1</v>
      </c>
      <c r="E17" s="178" t="s">
        <v>231</v>
      </c>
      <c r="F17" s="225">
        <v>25</v>
      </c>
      <c r="G17" s="225" t="s">
        <v>367</v>
      </c>
      <c r="H17" s="225">
        <v>1</v>
      </c>
      <c r="I17" s="225" t="s">
        <v>368</v>
      </c>
      <c r="J17" s="225">
        <v>0</v>
      </c>
      <c r="K17" s="225" t="s">
        <v>372</v>
      </c>
      <c r="L17" s="178" t="s">
        <v>376</v>
      </c>
      <c r="M17" s="246" t="s">
        <v>423</v>
      </c>
      <c r="N17" s="210" t="s">
        <v>377</v>
      </c>
      <c r="O17" s="222"/>
      <c r="P17" s="222"/>
      <c r="Q17" s="222"/>
      <c r="R17" s="222"/>
      <c r="S17" s="222"/>
      <c r="T17" s="222"/>
      <c r="U17" s="222"/>
    </row>
    <row r="18" spans="1:21" thickBot="1" x14ac:dyDescent="0.35">
      <c r="A18" s="243" t="s">
        <v>381</v>
      </c>
      <c r="B18" s="182" t="s">
        <v>344</v>
      </c>
      <c r="C18" s="182" t="s">
        <v>353</v>
      </c>
      <c r="D18" s="231">
        <f>Elec_grd</f>
        <v>83</v>
      </c>
      <c r="E18" s="182" t="s">
        <v>173</v>
      </c>
      <c r="F18" s="232" t="s">
        <v>27</v>
      </c>
      <c r="G18" s="232" t="s">
        <v>27</v>
      </c>
      <c r="H18" s="232" t="s">
        <v>27</v>
      </c>
      <c r="I18" s="232" t="s">
        <v>27</v>
      </c>
      <c r="J18" s="232" t="s">
        <v>27</v>
      </c>
      <c r="K18" s="232" t="s">
        <v>27</v>
      </c>
      <c r="L18" s="182" t="s">
        <v>27</v>
      </c>
      <c r="M18" s="247" t="s">
        <v>423</v>
      </c>
      <c r="N18" s="211" t="s">
        <v>379</v>
      </c>
      <c r="O18" s="222"/>
      <c r="P18" s="222"/>
      <c r="Q18" s="222"/>
      <c r="R18" s="222"/>
      <c r="S18" s="222"/>
      <c r="T18" s="222"/>
      <c r="U18" s="222"/>
    </row>
    <row r="19" spans="1:21" thickBot="1" x14ac:dyDescent="0.35">
      <c r="A19" s="60"/>
      <c r="B19" s="52"/>
      <c r="C19" s="52"/>
      <c r="D19" s="52"/>
      <c r="E19" s="61"/>
      <c r="F19" s="62"/>
      <c r="G19" s="62"/>
      <c r="H19" s="62"/>
      <c r="I19" s="62"/>
      <c r="J19" s="61"/>
      <c r="K19" s="63"/>
      <c r="L19" s="52"/>
      <c r="M19" s="64"/>
      <c r="N19" s="52"/>
      <c r="O19" s="64"/>
      <c r="P19" s="64"/>
      <c r="Q19" s="64"/>
      <c r="R19" s="64"/>
      <c r="S19" s="64"/>
      <c r="T19" s="64"/>
      <c r="U19" s="64"/>
    </row>
    <row r="20" spans="1:21" ht="14.25" customHeight="1" thickBot="1" x14ac:dyDescent="0.35">
      <c r="A20" s="106" t="s">
        <v>56</v>
      </c>
      <c r="C20" s="86"/>
      <c r="D20" s="37"/>
      <c r="E20" s="38"/>
      <c r="F20" s="38"/>
      <c r="G20" s="38"/>
      <c r="H20" s="38"/>
      <c r="I20" s="6"/>
      <c r="J20" s="6"/>
      <c r="K20" s="7"/>
      <c r="L20" s="7"/>
      <c r="M20" s="7"/>
      <c r="N20" s="7"/>
      <c r="O20" s="38"/>
      <c r="P20" s="38"/>
      <c r="Q20" s="38"/>
      <c r="R20" s="38"/>
      <c r="S20" s="38"/>
      <c r="T20" s="38"/>
      <c r="U20" s="38"/>
    </row>
    <row r="21" spans="1:21" ht="39.450000000000003" customHeight="1" thickBot="1" x14ac:dyDescent="0.35">
      <c r="A21" s="105" t="s">
        <v>448</v>
      </c>
      <c r="C21" s="86"/>
      <c r="D21" s="37"/>
      <c r="E21" s="38"/>
      <c r="F21" s="38"/>
      <c r="G21" s="38"/>
      <c r="H21" s="38"/>
      <c r="I21" s="6"/>
      <c r="J21" s="6"/>
      <c r="K21" s="7"/>
      <c r="L21" s="7"/>
      <c r="M21" s="7"/>
      <c r="N21" s="7"/>
      <c r="O21" s="38"/>
      <c r="P21" s="38"/>
      <c r="Q21" s="38"/>
      <c r="R21" s="38"/>
      <c r="S21" s="38"/>
      <c r="T21" s="38"/>
      <c r="U21" s="38"/>
    </row>
    <row r="22" spans="1:21" thickBot="1" x14ac:dyDescent="0.35">
      <c r="A22" s="65"/>
      <c r="B22" s="40"/>
      <c r="C22" s="40"/>
      <c r="D22" s="40"/>
      <c r="E22" s="5"/>
      <c r="F22" s="59"/>
      <c r="G22" s="59"/>
      <c r="H22" s="59"/>
      <c r="I22" s="59"/>
      <c r="J22" s="5"/>
      <c r="K22" s="41"/>
      <c r="L22" s="40"/>
      <c r="M22" s="40"/>
      <c r="N22" s="40"/>
      <c r="O22" s="40"/>
      <c r="P22" s="40"/>
      <c r="Q22" s="40"/>
      <c r="R22" s="40"/>
      <c r="S22" s="40"/>
      <c r="T22" s="40"/>
      <c r="U22" s="40"/>
    </row>
    <row r="23" spans="1:21" thickBot="1" x14ac:dyDescent="0.35">
      <c r="A23" s="94" t="s">
        <v>40</v>
      </c>
      <c r="B23" s="95"/>
      <c r="C23" s="95"/>
      <c r="D23" s="95"/>
      <c r="E23" s="95"/>
      <c r="F23" s="95"/>
      <c r="G23" s="95"/>
      <c r="H23" s="95"/>
      <c r="I23" s="95"/>
      <c r="J23" s="95"/>
      <c r="K23" s="95"/>
      <c r="L23" s="95"/>
      <c r="M23" s="95"/>
      <c r="N23" s="95"/>
      <c r="O23" s="95"/>
      <c r="P23" s="95"/>
      <c r="Q23" s="95"/>
      <c r="R23" s="95"/>
      <c r="S23" s="95"/>
      <c r="T23" s="95"/>
      <c r="U23" s="103"/>
    </row>
    <row r="24" spans="1:21" thickBot="1" x14ac:dyDescent="0.35">
      <c r="A24" s="144" t="s">
        <v>52</v>
      </c>
      <c r="B24" s="145" t="s">
        <v>18</v>
      </c>
      <c r="C24" s="145" t="s">
        <v>109</v>
      </c>
      <c r="D24" s="146" t="s">
        <v>105</v>
      </c>
      <c r="E24" s="145" t="s">
        <v>110</v>
      </c>
      <c r="F24" s="145" t="s">
        <v>106</v>
      </c>
      <c r="G24" s="145" t="s">
        <v>111</v>
      </c>
      <c r="H24" s="145" t="s">
        <v>112</v>
      </c>
      <c r="I24" s="145" t="s">
        <v>113</v>
      </c>
      <c r="J24" s="145" t="s">
        <v>107</v>
      </c>
      <c r="K24" s="145" t="s">
        <v>114</v>
      </c>
      <c r="L24" s="145" t="s">
        <v>108</v>
      </c>
      <c r="M24" s="145" t="s">
        <v>115</v>
      </c>
      <c r="N24" s="145" t="s">
        <v>116</v>
      </c>
      <c r="O24" s="145" t="s">
        <v>117</v>
      </c>
      <c r="P24" s="145" t="s">
        <v>118</v>
      </c>
      <c r="Q24" s="145" t="s">
        <v>119</v>
      </c>
      <c r="R24" s="145" t="s">
        <v>120</v>
      </c>
      <c r="S24" s="147" t="s">
        <v>51</v>
      </c>
      <c r="T24" s="147" t="s">
        <v>121</v>
      </c>
      <c r="U24" s="133" t="s">
        <v>15</v>
      </c>
    </row>
    <row r="25" spans="1:21" ht="15.75" customHeight="1" thickBot="1" x14ac:dyDescent="0.35">
      <c r="A25" s="275" t="s">
        <v>27</v>
      </c>
      <c r="B25" s="276" t="s">
        <v>27</v>
      </c>
      <c r="C25" s="277" t="s">
        <v>27</v>
      </c>
      <c r="D25" s="278" t="s">
        <v>27</v>
      </c>
      <c r="E25" s="277" t="s">
        <v>27</v>
      </c>
      <c r="F25" s="278" t="s">
        <v>27</v>
      </c>
      <c r="G25" s="279" t="s">
        <v>27</v>
      </c>
      <c r="H25" s="278" t="s">
        <v>27</v>
      </c>
      <c r="I25" s="279" t="s">
        <v>27</v>
      </c>
      <c r="J25" s="278" t="s">
        <v>27</v>
      </c>
      <c r="K25" s="279" t="s">
        <v>27</v>
      </c>
      <c r="L25" s="280" t="s">
        <v>27</v>
      </c>
      <c r="M25" s="279" t="s">
        <v>27</v>
      </c>
      <c r="N25" s="278" t="s">
        <v>27</v>
      </c>
      <c r="O25" s="276" t="s">
        <v>27</v>
      </c>
      <c r="P25" s="278" t="s">
        <v>27</v>
      </c>
      <c r="Q25" s="279" t="s">
        <v>27</v>
      </c>
      <c r="R25" s="280" t="s">
        <v>27</v>
      </c>
      <c r="S25" s="279" t="s">
        <v>27</v>
      </c>
      <c r="T25" s="279" t="s">
        <v>27</v>
      </c>
      <c r="U25" s="281" t="s">
        <v>27</v>
      </c>
    </row>
    <row r="26" spans="1:21" ht="14.25" customHeight="1" thickBot="1" x14ac:dyDescent="0.35">
      <c r="A26" s="152"/>
      <c r="B26" s="152"/>
      <c r="C26" s="152"/>
      <c r="D26" s="152"/>
      <c r="E26" s="152"/>
      <c r="F26" s="152"/>
      <c r="G26" s="152"/>
      <c r="H26" s="152"/>
      <c r="I26" s="152"/>
      <c r="J26" s="152"/>
      <c r="K26" s="152"/>
      <c r="L26" s="153"/>
      <c r="M26" s="153"/>
      <c r="N26" s="153"/>
      <c r="O26" s="81"/>
      <c r="P26" s="81"/>
      <c r="Q26" s="81"/>
      <c r="R26" s="81"/>
      <c r="S26" s="81"/>
      <c r="T26" s="81"/>
      <c r="U26" s="81"/>
    </row>
    <row r="27" spans="1:21" ht="14.25" customHeight="1" thickBot="1" x14ac:dyDescent="0.35">
      <c r="A27" s="108" t="s">
        <v>44</v>
      </c>
      <c r="B27" s="86"/>
      <c r="C27" s="86"/>
      <c r="D27" s="37"/>
      <c r="E27" s="38"/>
      <c r="F27" s="38"/>
      <c r="G27" s="38"/>
      <c r="H27" s="38"/>
      <c r="I27" s="88"/>
      <c r="J27" s="6"/>
      <c r="K27" s="7"/>
      <c r="L27" s="86"/>
      <c r="M27" s="86"/>
      <c r="N27" s="86"/>
      <c r="O27" s="38"/>
      <c r="P27" s="38"/>
      <c r="Q27" s="38"/>
      <c r="R27" s="38"/>
      <c r="S27" s="38"/>
      <c r="T27" s="38"/>
      <c r="U27" s="38"/>
    </row>
    <row r="28" spans="1:21" ht="57.45" customHeight="1" thickBot="1" x14ac:dyDescent="0.35">
      <c r="A28" s="252" t="s">
        <v>451</v>
      </c>
      <c r="B28" s="86"/>
      <c r="C28" s="86"/>
      <c r="D28" s="37"/>
      <c r="E28" s="38"/>
      <c r="F28" s="38"/>
      <c r="G28" s="38"/>
      <c r="H28" s="38"/>
      <c r="I28" s="6"/>
      <c r="J28" s="6"/>
      <c r="K28" s="7"/>
      <c r="L28" s="86"/>
      <c r="M28" s="86"/>
      <c r="N28" s="86"/>
      <c r="O28" s="38"/>
      <c r="P28" s="38"/>
      <c r="Q28" s="38"/>
      <c r="R28" s="38"/>
      <c r="S28" s="38"/>
      <c r="T28" s="38"/>
      <c r="U28" s="38"/>
    </row>
    <row r="29" spans="1:21" ht="15.75" customHeight="1" thickBot="1" x14ac:dyDescent="0.35">
      <c r="A29" s="68"/>
      <c r="B29" s="57"/>
      <c r="C29" s="57"/>
      <c r="D29" s="57"/>
      <c r="E29" s="69"/>
      <c r="F29" s="43"/>
      <c r="G29" s="43"/>
      <c r="H29" s="43"/>
      <c r="I29" s="43"/>
      <c r="J29" s="46"/>
      <c r="K29" s="46"/>
      <c r="L29" s="46"/>
      <c r="M29" s="66"/>
      <c r="O29" s="46"/>
      <c r="P29" s="46"/>
      <c r="Q29" s="46"/>
      <c r="R29" s="46"/>
      <c r="S29" s="46"/>
      <c r="T29" s="46"/>
      <c r="U29" s="46"/>
    </row>
    <row r="30" spans="1:21" ht="15.75" customHeight="1" thickBot="1" x14ac:dyDescent="0.35">
      <c r="A30" s="128" t="s">
        <v>41</v>
      </c>
      <c r="B30" s="129"/>
      <c r="C30" s="129"/>
      <c r="D30" s="129"/>
      <c r="E30" s="129"/>
      <c r="F30" s="129"/>
      <c r="G30" s="130"/>
      <c r="H30" s="70" t="s">
        <v>122</v>
      </c>
      <c r="I30" s="46"/>
      <c r="J30" s="46"/>
      <c r="K30" s="46"/>
      <c r="L30" s="46"/>
      <c r="M30" s="46"/>
      <c r="N30" s="43"/>
      <c r="O30" s="46"/>
      <c r="P30" s="46"/>
      <c r="Q30" s="46"/>
      <c r="R30" s="46"/>
      <c r="S30" s="46"/>
      <c r="T30" s="46"/>
      <c r="U30" s="46"/>
    </row>
    <row r="31" spans="1:21" ht="15.75" customHeight="1" thickBot="1" x14ac:dyDescent="0.35">
      <c r="A31" s="112" t="s">
        <v>52</v>
      </c>
      <c r="B31" s="113" t="s">
        <v>18</v>
      </c>
      <c r="C31" s="113" t="s">
        <v>103</v>
      </c>
      <c r="D31" s="113" t="s">
        <v>104</v>
      </c>
      <c r="E31" s="113" t="s">
        <v>53</v>
      </c>
      <c r="F31" s="113" t="s">
        <v>39</v>
      </c>
      <c r="G31" s="115" t="s">
        <v>149</v>
      </c>
      <c r="H31" s="72"/>
      <c r="I31" s="71"/>
      <c r="J31" s="73"/>
      <c r="K31" s="49"/>
      <c r="L31" s="49"/>
      <c r="M31" s="49"/>
      <c r="N31" s="46"/>
      <c r="O31" s="46"/>
      <c r="P31" s="46"/>
      <c r="Q31" s="46"/>
      <c r="R31" s="46"/>
      <c r="S31" s="46"/>
      <c r="T31" s="46"/>
      <c r="U31" s="46"/>
    </row>
    <row r="32" spans="1:21" ht="15.75" customHeight="1" thickBot="1" x14ac:dyDescent="0.35">
      <c r="A32" s="253" t="s">
        <v>452</v>
      </c>
      <c r="B32" s="254" t="s">
        <v>437</v>
      </c>
      <c r="C32" s="254" t="s">
        <v>453</v>
      </c>
      <c r="D32" s="254" t="s">
        <v>454</v>
      </c>
      <c r="E32" s="255" t="s">
        <v>440</v>
      </c>
      <c r="F32" s="254">
        <v>1100</v>
      </c>
      <c r="G32" s="256" t="s">
        <v>441</v>
      </c>
      <c r="H32" s="72"/>
      <c r="I32" s="74"/>
      <c r="J32" s="38"/>
      <c r="K32" s="5"/>
      <c r="L32" s="5"/>
      <c r="M32" s="40"/>
      <c r="N32" s="45"/>
      <c r="O32" s="46"/>
      <c r="P32" s="46"/>
      <c r="Q32" s="46"/>
      <c r="R32" s="46"/>
      <c r="S32" s="46"/>
      <c r="T32" s="46"/>
      <c r="U32" s="46"/>
    </row>
    <row r="33" spans="1:21" ht="15.75" customHeight="1" x14ac:dyDescent="0.3">
      <c r="A33" s="257"/>
      <c r="B33" s="258"/>
      <c r="C33" s="258"/>
      <c r="D33" s="258"/>
      <c r="E33" s="259" t="s">
        <v>455</v>
      </c>
      <c r="F33" s="258">
        <v>83</v>
      </c>
      <c r="G33" s="260" t="s">
        <v>173</v>
      </c>
      <c r="H33" s="164"/>
      <c r="I33" s="164"/>
      <c r="J33" s="164"/>
      <c r="K33" s="165"/>
      <c r="L33" s="165"/>
      <c r="M33" s="152"/>
      <c r="N33" s="152"/>
      <c r="O33" s="152"/>
      <c r="P33" s="152"/>
      <c r="Q33" s="152"/>
      <c r="R33" s="152"/>
      <c r="S33" s="152"/>
      <c r="T33" s="152"/>
      <c r="U33" s="152"/>
    </row>
    <row r="34" spans="1:21" ht="15.75" customHeight="1" x14ac:dyDescent="0.3">
      <c r="A34" s="257"/>
      <c r="B34" s="258"/>
      <c r="C34" s="258"/>
      <c r="D34" s="258"/>
      <c r="E34" s="259" t="s">
        <v>443</v>
      </c>
      <c r="F34" s="258">
        <v>7.0000000000000007E-2</v>
      </c>
      <c r="G34" s="260" t="s">
        <v>27</v>
      </c>
      <c r="H34" s="164"/>
      <c r="I34" s="164"/>
      <c r="J34" s="164"/>
      <c r="K34" s="165"/>
      <c r="L34" s="165"/>
      <c r="M34" s="152"/>
      <c r="N34" s="152"/>
      <c r="O34" s="152"/>
      <c r="P34" s="152"/>
      <c r="Q34" s="152"/>
      <c r="R34" s="152"/>
      <c r="S34" s="152"/>
      <c r="T34" s="152"/>
      <c r="U34" s="152"/>
    </row>
    <row r="35" spans="1:21" ht="15.75" customHeight="1" x14ac:dyDescent="0.3">
      <c r="A35" s="257" t="s">
        <v>456</v>
      </c>
      <c r="B35" s="258" t="s">
        <v>437</v>
      </c>
      <c r="C35" s="258" t="s">
        <v>457</v>
      </c>
      <c r="D35" s="258" t="s">
        <v>458</v>
      </c>
      <c r="E35" s="259" t="s">
        <v>440</v>
      </c>
      <c r="F35" s="258">
        <v>15000</v>
      </c>
      <c r="G35" s="260" t="s">
        <v>459</v>
      </c>
      <c r="H35" s="164"/>
      <c r="I35" s="164"/>
      <c r="J35" s="164"/>
      <c r="K35" s="165"/>
      <c r="L35" s="165"/>
      <c r="M35" s="152"/>
      <c r="N35" s="152"/>
      <c r="O35" s="152"/>
      <c r="P35" s="152"/>
      <c r="Q35" s="152"/>
      <c r="R35" s="152"/>
      <c r="S35" s="152"/>
      <c r="T35" s="152"/>
      <c r="U35" s="152"/>
    </row>
    <row r="36" spans="1:21" ht="15.75" customHeight="1" x14ac:dyDescent="0.3">
      <c r="A36" s="257"/>
      <c r="B36" s="258"/>
      <c r="C36" s="258"/>
      <c r="D36" s="258"/>
      <c r="E36" s="259" t="s">
        <v>460</v>
      </c>
      <c r="F36" s="258">
        <v>1</v>
      </c>
      <c r="G36" s="260" t="s">
        <v>231</v>
      </c>
      <c r="H36" s="164"/>
      <c r="I36" s="164"/>
      <c r="J36" s="164"/>
      <c r="K36" s="165"/>
      <c r="L36" s="165"/>
      <c r="M36" s="152"/>
      <c r="N36" s="152"/>
      <c r="O36" s="152"/>
      <c r="P36" s="152"/>
      <c r="Q36" s="152"/>
      <c r="R36" s="152"/>
      <c r="S36" s="152"/>
      <c r="T36" s="152"/>
      <c r="U36" s="152"/>
    </row>
    <row r="37" spans="1:21" ht="15.75" customHeight="1" thickBot="1" x14ac:dyDescent="0.35">
      <c r="A37" s="261"/>
      <c r="B37" s="262"/>
      <c r="C37" s="262"/>
      <c r="D37" s="262"/>
      <c r="E37" s="263" t="s">
        <v>443</v>
      </c>
      <c r="F37" s="262">
        <v>7.0000000000000007E-2</v>
      </c>
      <c r="G37" s="264" t="s">
        <v>27</v>
      </c>
      <c r="H37" s="164"/>
      <c r="I37" s="164"/>
      <c r="J37" s="164"/>
      <c r="K37" s="165"/>
      <c r="L37" s="165"/>
      <c r="M37" s="152"/>
      <c r="N37" s="152"/>
      <c r="O37" s="152"/>
      <c r="P37" s="152"/>
      <c r="Q37" s="152"/>
      <c r="R37" s="152"/>
      <c r="S37" s="152"/>
      <c r="T37" s="152"/>
      <c r="U37" s="152"/>
    </row>
    <row r="38" spans="1:21" ht="42" customHeight="1" thickBot="1" x14ac:dyDescent="0.35">
      <c r="A38" s="109"/>
      <c r="B38" s="75"/>
      <c r="C38" s="154"/>
      <c r="D38" s="75"/>
      <c r="E38" s="75"/>
      <c r="F38" s="75"/>
      <c r="G38" s="75"/>
      <c r="H38" s="71"/>
    </row>
    <row r="39" spans="1:21" ht="15.75" customHeight="1" thickBot="1" x14ac:dyDescent="0.35">
      <c r="A39" s="108" t="s">
        <v>45</v>
      </c>
      <c r="B39" s="86"/>
      <c r="C39" s="86"/>
      <c r="D39" s="71"/>
      <c r="E39" s="71"/>
      <c r="F39" s="71"/>
      <c r="G39" s="71"/>
      <c r="H39" s="77"/>
    </row>
    <row r="40" spans="1:21" ht="34.799999999999997" customHeight="1" thickBot="1" x14ac:dyDescent="0.35">
      <c r="A40" s="107" t="s">
        <v>42</v>
      </c>
      <c r="B40" s="86"/>
      <c r="C40" s="86"/>
      <c r="D40" s="71"/>
      <c r="E40" s="71"/>
      <c r="F40" s="71"/>
      <c r="G40" s="71"/>
      <c r="H40" s="71"/>
    </row>
    <row r="41" spans="1:21" ht="15.75" customHeight="1" thickBot="1" x14ac:dyDescent="0.35">
      <c r="A41" s="76"/>
      <c r="B41" s="77"/>
      <c r="C41" s="61"/>
      <c r="D41" s="77"/>
      <c r="E41" s="77"/>
      <c r="F41" s="77"/>
      <c r="G41" s="77"/>
      <c r="H41" s="71"/>
    </row>
    <row r="42" spans="1:21" ht="15.75" customHeight="1" thickBot="1" x14ac:dyDescent="0.35">
      <c r="A42" s="78" t="s">
        <v>57</v>
      </c>
      <c r="B42" s="79"/>
      <c r="C42" s="80"/>
      <c r="D42" s="71"/>
      <c r="E42" s="71"/>
      <c r="F42" s="71"/>
      <c r="G42" s="71"/>
      <c r="H42" s="71"/>
    </row>
    <row r="43" spans="1:21" ht="15.75" customHeight="1" thickBot="1" x14ac:dyDescent="0.35">
      <c r="A43" s="148" t="s">
        <v>54</v>
      </c>
      <c r="B43" s="149" t="s">
        <v>55</v>
      </c>
      <c r="C43" s="71"/>
      <c r="D43" s="71"/>
      <c r="E43" s="71"/>
      <c r="F43" s="71"/>
      <c r="G43" s="71"/>
      <c r="H43" s="71"/>
    </row>
    <row r="44" spans="1:21" ht="15.75" customHeight="1" thickBot="1" x14ac:dyDescent="0.35">
      <c r="A44" s="142">
        <v>0</v>
      </c>
      <c r="B44" s="150">
        <v>0</v>
      </c>
      <c r="C44" s="71"/>
      <c r="D44" s="71"/>
      <c r="E44" s="71"/>
      <c r="F44" s="71"/>
      <c r="G44" s="71"/>
      <c r="H44" s="71"/>
    </row>
  </sheetData>
  <dataValidations count="4">
    <dataValidation type="list" errorStyle="information" allowBlank="1" showInputMessage="1" showErrorMessage="1" sqref="E15:E18 G15:G18 I15:I18 D25 F25 H25 J25 L25 N25 P25 R25 G32:G37" xr:uid="{199DCC1C-F7B0-442D-B995-137FD47E3614}">
      <formula1>"-,kg,s,m,K,°C,W,bar,kg/h,t/h,kW,kW/m2K,W/m2K,kJ/kgK,kJ/kg,m3/h,Nm3/t,kWh/Nm3,Nm3/h,%,kg/kmol,eur,eur/year,eur/kW,kWel/kWth,year, days"</formula1>
    </dataValidation>
    <dataValidation type="list" allowBlank="1" showErrorMessage="1" sqref="B15:B18" xr:uid="{56F84DA2-AD07-40BB-B1D5-17876C8D46F0}">
      <formula1>"MASS,ELECTRICITY,EMISSIONS,ENERGY"</formula1>
    </dataValidation>
    <dataValidation type="list" allowBlank="1" showErrorMessage="1" sqref="C15:C18" xr:uid="{6C8400C4-17A7-4FF1-AFAD-6C8C56815EB8}">
      <formula1>"IN,OUT"</formula1>
    </dataValidation>
    <dataValidation type="list" allowBlank="1" showErrorMessage="1" sqref="B25" xr:uid="{2C00C0A7-AF6F-49A1-8712-E939195004D9}">
      <formula1>"Cold,Hot"</formula1>
    </dataValidation>
  </dataValidations>
  <pageMargins left="0.7" right="0.7" top="0.75" bottom="0.75" header="0" footer="0"/>
  <pageSetup orientation="landscape"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977E4B-A208-4C4F-AFBC-8CFA77A57A02}">
  <sheetPr codeName="Sheet11"/>
  <dimension ref="A1:U45"/>
  <sheetViews>
    <sheetView showGridLines="0" zoomScale="50" zoomScaleNormal="25" workbookViewId="0">
      <selection activeCell="Q30" sqref="Q30"/>
    </sheetView>
  </sheetViews>
  <sheetFormatPr defaultColWidth="14.44140625" defaultRowHeight="15" customHeight="1" x14ac:dyDescent="0.3"/>
  <cols>
    <col min="1" max="1" width="59.109375" customWidth="1"/>
    <col min="2" max="2" width="43.77734375" customWidth="1"/>
    <col min="3" max="3" width="59.33203125" customWidth="1"/>
    <col min="4" max="4" width="45.33203125" customWidth="1"/>
    <col min="5" max="5" width="37.6640625" customWidth="1"/>
    <col min="6" max="6" width="42.109375" customWidth="1"/>
    <col min="7" max="7" width="34.33203125" customWidth="1"/>
    <col min="8" max="8" width="34.6640625" customWidth="1"/>
    <col min="9" max="9" width="29.109375" customWidth="1"/>
    <col min="10" max="10" width="35.33203125" customWidth="1"/>
    <col min="11" max="11" width="42.6640625" customWidth="1"/>
    <col min="12" max="12" width="43" customWidth="1"/>
    <col min="13" max="13" width="43.44140625" bestFit="1" customWidth="1"/>
    <col min="14" max="14" width="60.77734375" customWidth="1"/>
    <col min="15" max="15" width="22.33203125" bestFit="1" customWidth="1"/>
    <col min="16" max="16" width="19.77734375" customWidth="1"/>
    <col min="17" max="17" width="31.44140625" bestFit="1" customWidth="1"/>
    <col min="18" max="18" width="29" bestFit="1" customWidth="1"/>
    <col min="19" max="19" width="16.77734375" bestFit="1" customWidth="1"/>
    <col min="20" max="20" width="30.109375" customWidth="1"/>
    <col min="21" max="21" width="53.77734375" bestFit="1" customWidth="1"/>
    <col min="22" max="28" width="10.6640625" customWidth="1"/>
  </cols>
  <sheetData>
    <row r="1" spans="1:21" ht="14.25" customHeight="1" thickBot="1" x14ac:dyDescent="0.35">
      <c r="A1" s="108" t="s">
        <v>46</v>
      </c>
      <c r="B1" s="86"/>
      <c r="C1" s="86"/>
      <c r="D1" s="37"/>
      <c r="E1" s="38"/>
      <c r="F1" s="38"/>
      <c r="G1" s="38"/>
      <c r="H1" s="38"/>
      <c r="I1" s="6"/>
      <c r="J1" s="6"/>
      <c r="K1" s="7"/>
      <c r="L1" s="7"/>
      <c r="M1" s="7"/>
      <c r="N1" s="7"/>
    </row>
    <row r="2" spans="1:21" ht="48" customHeight="1" thickBot="1" x14ac:dyDescent="0.35">
      <c r="A2" s="251" t="s">
        <v>472</v>
      </c>
      <c r="B2" s="86"/>
      <c r="C2" s="86"/>
      <c r="D2" s="37"/>
      <c r="E2" s="38"/>
      <c r="F2" s="38"/>
      <c r="G2" s="38"/>
      <c r="H2" s="38"/>
      <c r="I2" s="6"/>
      <c r="J2" s="6"/>
      <c r="K2" s="7"/>
      <c r="L2" s="7"/>
      <c r="M2" s="7"/>
      <c r="N2" s="7"/>
    </row>
    <row r="3" spans="1:21" ht="14.25" customHeight="1" thickBot="1" x14ac:dyDescent="0.35">
      <c r="D3" s="37"/>
      <c r="E3" s="38"/>
      <c r="F3" s="38"/>
      <c r="G3" s="38"/>
      <c r="H3" s="38"/>
      <c r="I3" s="6"/>
      <c r="J3" s="6"/>
      <c r="K3" s="7"/>
      <c r="L3" s="7"/>
      <c r="M3" s="7"/>
      <c r="N3" s="7"/>
    </row>
    <row r="4" spans="1:21" thickBot="1" x14ac:dyDescent="0.35">
      <c r="A4" s="87"/>
      <c r="B4" s="39"/>
      <c r="C4" s="39"/>
      <c r="D4" s="6"/>
      <c r="E4" s="40"/>
      <c r="F4" s="40"/>
      <c r="G4" s="40"/>
      <c r="H4" s="41"/>
      <c r="I4" s="42"/>
      <c r="J4" s="42"/>
      <c r="K4" s="42"/>
      <c r="L4" s="42"/>
      <c r="M4" s="42"/>
      <c r="N4" s="42"/>
    </row>
    <row r="5" spans="1:21" thickBot="1" x14ac:dyDescent="0.35">
      <c r="A5" s="90" t="s">
        <v>48</v>
      </c>
      <c r="B5" s="91" t="s">
        <v>50</v>
      </c>
      <c r="C5" s="92" t="s">
        <v>49</v>
      </c>
      <c r="D5" s="67" t="s">
        <v>150</v>
      </c>
      <c r="E5" s="46"/>
      <c r="F5" s="46"/>
      <c r="G5" s="46"/>
      <c r="H5" s="44"/>
      <c r="I5" s="7"/>
      <c r="J5" s="7"/>
      <c r="K5" s="7"/>
      <c r="L5" s="7"/>
      <c r="M5" s="7"/>
      <c r="N5" s="7"/>
    </row>
    <row r="6" spans="1:21" thickBot="1" x14ac:dyDescent="0.35">
      <c r="A6" s="142" t="s">
        <v>461</v>
      </c>
      <c r="B6" s="151">
        <v>0</v>
      </c>
      <c r="C6" s="150">
        <v>100</v>
      </c>
      <c r="D6" s="47"/>
      <c r="E6" s="48"/>
      <c r="F6" s="49"/>
      <c r="G6" s="49"/>
      <c r="H6" s="50"/>
      <c r="I6" s="38"/>
      <c r="J6" s="38"/>
      <c r="K6" s="38"/>
      <c r="L6" s="38"/>
      <c r="M6" s="38"/>
      <c r="N6" s="38"/>
    </row>
    <row r="7" spans="1:21" thickBot="1" x14ac:dyDescent="0.35">
      <c r="A7" s="51"/>
      <c r="B7" s="52"/>
      <c r="C7" s="52"/>
      <c r="D7" s="53"/>
      <c r="E7" s="5"/>
      <c r="F7" s="40"/>
      <c r="G7" s="40"/>
      <c r="H7" s="41"/>
      <c r="I7" s="40"/>
      <c r="J7" s="40"/>
      <c r="K7" s="40"/>
      <c r="L7" s="40"/>
      <c r="M7" s="40"/>
      <c r="N7" s="40"/>
    </row>
    <row r="8" spans="1:21" ht="17.25" customHeight="1" thickBot="1" x14ac:dyDescent="0.35">
      <c r="A8" s="104" t="s">
        <v>47</v>
      </c>
      <c r="B8" s="86"/>
      <c r="C8" s="86"/>
      <c r="D8" s="41"/>
      <c r="E8" s="5"/>
      <c r="F8" s="40"/>
      <c r="G8" s="40"/>
      <c r="H8" s="41"/>
      <c r="I8" s="40"/>
      <c r="J8" s="40"/>
      <c r="K8" s="40"/>
      <c r="L8" s="40"/>
      <c r="M8" s="40"/>
      <c r="N8" s="40"/>
    </row>
    <row r="9" spans="1:21" ht="61.2" customHeight="1" thickBot="1" x14ac:dyDescent="0.35">
      <c r="A9" s="251" t="s">
        <v>473</v>
      </c>
      <c r="B9" s="86"/>
      <c r="C9" s="86"/>
      <c r="D9" s="5"/>
      <c r="E9" s="5"/>
      <c r="F9" s="40"/>
      <c r="G9" s="40"/>
      <c r="H9" s="41"/>
      <c r="I9" s="40"/>
      <c r="J9" s="40"/>
      <c r="K9" s="40"/>
      <c r="L9" s="40"/>
      <c r="M9" s="40"/>
      <c r="N9" s="40"/>
    </row>
    <row r="10" spans="1:21" thickBot="1" x14ac:dyDescent="0.35">
      <c r="A10" s="54"/>
      <c r="B10" s="40"/>
      <c r="C10" s="40"/>
      <c r="D10" s="5"/>
      <c r="E10" s="5"/>
      <c r="F10" s="40"/>
      <c r="G10" s="40"/>
      <c r="H10" s="41"/>
      <c r="I10" s="40"/>
      <c r="J10" s="40"/>
      <c r="K10" s="40"/>
      <c r="L10" s="40"/>
      <c r="M10" s="40"/>
      <c r="N10" s="40"/>
    </row>
    <row r="11" spans="1:21" thickBot="1" x14ac:dyDescent="0.35">
      <c r="A11" s="55" t="s">
        <v>59</v>
      </c>
      <c r="B11" s="40"/>
      <c r="C11" s="40"/>
      <c r="D11" s="5"/>
      <c r="E11" s="5"/>
      <c r="F11" s="40"/>
      <c r="G11" s="40"/>
      <c r="H11" s="41"/>
      <c r="I11" s="40"/>
      <c r="J11" s="40"/>
      <c r="K11" s="40"/>
      <c r="L11" s="40"/>
      <c r="M11" s="40"/>
      <c r="N11" s="40"/>
    </row>
    <row r="12" spans="1:21" thickBot="1" x14ac:dyDescent="0.35">
      <c r="A12" s="56" t="s">
        <v>58</v>
      </c>
      <c r="B12" s="57"/>
      <c r="D12" s="57"/>
      <c r="E12" s="57"/>
      <c r="F12" s="57"/>
      <c r="G12" s="57"/>
      <c r="H12" s="57"/>
      <c r="I12" s="58"/>
      <c r="J12" s="57"/>
      <c r="K12" s="57"/>
      <c r="L12" s="57"/>
      <c r="M12" s="43"/>
      <c r="N12" s="43"/>
    </row>
    <row r="13" spans="1:21" ht="19.5" customHeight="1" thickBot="1" x14ac:dyDescent="0.35">
      <c r="A13" s="89" t="s">
        <v>2</v>
      </c>
      <c r="B13" s="93"/>
      <c r="C13" s="93"/>
      <c r="D13" s="93"/>
      <c r="E13" s="93"/>
      <c r="F13" s="93"/>
      <c r="G13" s="93"/>
      <c r="H13" s="93"/>
      <c r="I13" s="93"/>
      <c r="J13" s="93"/>
      <c r="K13" s="93"/>
      <c r="L13" s="96"/>
      <c r="M13" s="96"/>
      <c r="N13" s="103"/>
    </row>
    <row r="14" spans="1:21" thickBot="1" x14ac:dyDescent="0.35">
      <c r="A14" s="112" t="s">
        <v>17</v>
      </c>
      <c r="B14" s="113" t="s">
        <v>18</v>
      </c>
      <c r="C14" s="113" t="s">
        <v>38</v>
      </c>
      <c r="D14" s="113" t="s">
        <v>147</v>
      </c>
      <c r="E14" s="113" t="s">
        <v>148</v>
      </c>
      <c r="F14" s="113" t="s">
        <v>145</v>
      </c>
      <c r="G14" s="114" t="s">
        <v>21</v>
      </c>
      <c r="H14" s="113" t="s">
        <v>146</v>
      </c>
      <c r="I14" s="113" t="s">
        <v>23</v>
      </c>
      <c r="J14" s="113" t="s">
        <v>24</v>
      </c>
      <c r="K14" s="113" t="s">
        <v>25</v>
      </c>
      <c r="L14" s="143" t="s">
        <v>26</v>
      </c>
      <c r="M14" s="143" t="s">
        <v>121</v>
      </c>
      <c r="N14" s="133" t="s">
        <v>15</v>
      </c>
    </row>
    <row r="15" spans="1:21" ht="14.4" x14ac:dyDescent="0.3">
      <c r="A15" s="244" t="s">
        <v>348</v>
      </c>
      <c r="B15" s="186" t="s">
        <v>345</v>
      </c>
      <c r="C15" s="186" t="s">
        <v>353</v>
      </c>
      <c r="D15" s="228">
        <f>Grd_Serp_M</f>
        <v>0.9</v>
      </c>
      <c r="E15" s="186" t="s">
        <v>231</v>
      </c>
      <c r="F15" s="229">
        <v>25</v>
      </c>
      <c r="G15" s="229" t="s">
        <v>367</v>
      </c>
      <c r="H15" s="229">
        <v>1</v>
      </c>
      <c r="I15" s="229" t="s">
        <v>368</v>
      </c>
      <c r="J15" s="229">
        <v>0</v>
      </c>
      <c r="K15" s="229" t="s">
        <v>372</v>
      </c>
      <c r="L15" s="186" t="s">
        <v>373</v>
      </c>
      <c r="M15" s="304" t="s">
        <v>423</v>
      </c>
      <c r="N15" s="209" t="s">
        <v>375</v>
      </c>
      <c r="O15" s="1"/>
      <c r="P15" s="1"/>
      <c r="Q15" s="1"/>
      <c r="R15" s="1"/>
      <c r="S15" s="1"/>
      <c r="T15" s="1"/>
      <c r="U15" s="1"/>
    </row>
    <row r="16" spans="1:21" ht="14.4" x14ac:dyDescent="0.3">
      <c r="A16" s="223" t="s">
        <v>346</v>
      </c>
      <c r="B16" s="178" t="s">
        <v>345</v>
      </c>
      <c r="C16" s="178" t="s">
        <v>352</v>
      </c>
      <c r="D16" s="224">
        <f>Grd_Serp_M</f>
        <v>0.9</v>
      </c>
      <c r="E16" s="178" t="s">
        <v>231</v>
      </c>
      <c r="F16" s="225">
        <v>155</v>
      </c>
      <c r="G16" s="225" t="s">
        <v>367</v>
      </c>
      <c r="H16" s="225">
        <v>1</v>
      </c>
      <c r="I16" s="225" t="s">
        <v>368</v>
      </c>
      <c r="J16" s="225">
        <v>0</v>
      </c>
      <c r="K16" s="225" t="s">
        <v>372</v>
      </c>
      <c r="L16" s="178" t="s">
        <v>373</v>
      </c>
      <c r="M16" s="303" t="s">
        <v>422</v>
      </c>
      <c r="N16" s="210" t="s">
        <v>378</v>
      </c>
      <c r="O16" s="222"/>
      <c r="P16" s="222"/>
      <c r="Q16" s="222"/>
      <c r="R16" s="222"/>
      <c r="S16" s="222"/>
      <c r="T16" s="222"/>
      <c r="U16" s="222"/>
    </row>
    <row r="17" spans="1:21" thickBot="1" x14ac:dyDescent="0.35">
      <c r="A17" s="243" t="s">
        <v>381</v>
      </c>
      <c r="B17" s="182" t="s">
        <v>344</v>
      </c>
      <c r="C17" s="182" t="s">
        <v>353</v>
      </c>
      <c r="D17" s="231">
        <f>Pump_Serp</f>
        <v>9.5779999999999994</v>
      </c>
      <c r="E17" s="182" t="s">
        <v>173</v>
      </c>
      <c r="F17" s="232" t="s">
        <v>27</v>
      </c>
      <c r="G17" s="232" t="s">
        <v>27</v>
      </c>
      <c r="H17" s="232" t="s">
        <v>27</v>
      </c>
      <c r="I17" s="232" t="s">
        <v>27</v>
      </c>
      <c r="J17" s="232" t="s">
        <v>27</v>
      </c>
      <c r="K17" s="232" t="s">
        <v>27</v>
      </c>
      <c r="L17" s="182" t="s">
        <v>27</v>
      </c>
      <c r="M17" s="247" t="s">
        <v>423</v>
      </c>
      <c r="N17" s="211" t="s">
        <v>379</v>
      </c>
      <c r="O17" s="222"/>
      <c r="P17" s="222"/>
      <c r="Q17" s="222"/>
      <c r="R17" s="222"/>
      <c r="S17" s="222"/>
      <c r="T17" s="222"/>
      <c r="U17" s="222"/>
    </row>
    <row r="18" spans="1:21" thickBot="1" x14ac:dyDescent="0.35">
      <c r="A18" s="60"/>
      <c r="B18" s="52"/>
      <c r="C18" s="52"/>
      <c r="D18" s="52"/>
      <c r="E18" s="61"/>
      <c r="F18" s="62"/>
      <c r="G18" s="62"/>
      <c r="H18" s="62"/>
      <c r="I18" s="62"/>
      <c r="J18" s="61"/>
      <c r="K18" s="63"/>
      <c r="L18" s="52"/>
      <c r="M18" s="64"/>
      <c r="N18" s="52"/>
      <c r="O18" s="64"/>
      <c r="P18" s="64"/>
      <c r="Q18" s="64"/>
      <c r="R18" s="64"/>
      <c r="S18" s="64"/>
      <c r="T18" s="64"/>
      <c r="U18" s="64"/>
    </row>
    <row r="19" spans="1:21" ht="14.25" customHeight="1" thickBot="1" x14ac:dyDescent="0.35">
      <c r="A19" s="106" t="s">
        <v>56</v>
      </c>
      <c r="C19" s="86"/>
      <c r="D19" s="37"/>
      <c r="E19" s="38"/>
      <c r="F19" s="38"/>
      <c r="G19" s="38"/>
      <c r="H19" s="38"/>
      <c r="I19" s="6"/>
      <c r="J19" s="6"/>
      <c r="K19" s="7"/>
      <c r="L19" s="7"/>
      <c r="M19" s="7"/>
      <c r="N19" s="7"/>
      <c r="O19" s="38"/>
      <c r="P19" s="38"/>
      <c r="Q19" s="38"/>
      <c r="R19" s="38"/>
      <c r="S19" s="38"/>
      <c r="T19" s="38"/>
      <c r="U19" s="38"/>
    </row>
    <row r="20" spans="1:21" ht="48.6" customHeight="1" thickBot="1" x14ac:dyDescent="0.35">
      <c r="A20" s="251" t="s">
        <v>482</v>
      </c>
      <c r="C20" s="86"/>
      <c r="D20" s="37"/>
      <c r="E20" s="38"/>
      <c r="F20" s="38"/>
      <c r="G20" s="38"/>
      <c r="H20" s="38"/>
      <c r="I20" s="6"/>
      <c r="J20" s="6"/>
      <c r="K20" s="7"/>
      <c r="L20" s="7"/>
      <c r="M20" s="7"/>
      <c r="N20" s="7"/>
      <c r="O20" s="38"/>
      <c r="P20" s="38"/>
      <c r="Q20" s="38"/>
      <c r="R20" s="38"/>
      <c r="S20" s="38"/>
      <c r="T20" s="38"/>
      <c r="U20" s="38"/>
    </row>
    <row r="21" spans="1:21" thickBot="1" x14ac:dyDescent="0.35">
      <c r="A21" s="65"/>
      <c r="B21" s="40"/>
      <c r="C21" s="40"/>
      <c r="D21" s="40"/>
      <c r="E21" s="5"/>
      <c r="F21" s="59"/>
      <c r="G21" s="59"/>
      <c r="H21" s="59"/>
      <c r="I21" s="59"/>
      <c r="J21" s="5"/>
      <c r="K21" s="41"/>
      <c r="L21" s="40"/>
      <c r="M21" s="40"/>
      <c r="N21" s="40"/>
      <c r="O21" s="40"/>
      <c r="P21" s="40"/>
      <c r="Q21" s="40"/>
      <c r="R21" s="40"/>
      <c r="S21" s="40"/>
      <c r="T21" s="40"/>
      <c r="U21" s="40"/>
    </row>
    <row r="22" spans="1:21" thickBot="1" x14ac:dyDescent="0.35">
      <c r="A22" s="94" t="s">
        <v>40</v>
      </c>
      <c r="B22" s="95"/>
      <c r="C22" s="95"/>
      <c r="D22" s="95"/>
      <c r="E22" s="95"/>
      <c r="F22" s="95"/>
      <c r="G22" s="95"/>
      <c r="H22" s="95"/>
      <c r="I22" s="95"/>
      <c r="J22" s="95"/>
      <c r="K22" s="95"/>
      <c r="L22" s="95"/>
      <c r="M22" s="95"/>
      <c r="N22" s="95"/>
      <c r="O22" s="95"/>
      <c r="P22" s="95"/>
      <c r="Q22" s="95"/>
      <c r="R22" s="95"/>
      <c r="S22" s="95"/>
      <c r="T22" s="95"/>
      <c r="U22" s="103"/>
    </row>
    <row r="23" spans="1:21" thickBot="1" x14ac:dyDescent="0.35">
      <c r="A23" s="144" t="s">
        <v>52</v>
      </c>
      <c r="B23" s="145" t="s">
        <v>18</v>
      </c>
      <c r="C23" s="145" t="s">
        <v>109</v>
      </c>
      <c r="D23" s="146" t="s">
        <v>105</v>
      </c>
      <c r="E23" s="145" t="s">
        <v>110</v>
      </c>
      <c r="F23" s="145" t="s">
        <v>106</v>
      </c>
      <c r="G23" s="145" t="s">
        <v>111</v>
      </c>
      <c r="H23" s="145" t="s">
        <v>112</v>
      </c>
      <c r="I23" s="145" t="s">
        <v>113</v>
      </c>
      <c r="J23" s="145" t="s">
        <v>107</v>
      </c>
      <c r="K23" s="145" t="s">
        <v>114</v>
      </c>
      <c r="L23" s="145" t="s">
        <v>108</v>
      </c>
      <c r="M23" s="145" t="s">
        <v>115</v>
      </c>
      <c r="N23" s="145" t="s">
        <v>116</v>
      </c>
      <c r="O23" s="145" t="s">
        <v>117</v>
      </c>
      <c r="P23" s="145" t="s">
        <v>118</v>
      </c>
      <c r="Q23" s="145" t="s">
        <v>119</v>
      </c>
      <c r="R23" s="145" t="s">
        <v>120</v>
      </c>
      <c r="S23" s="147" t="s">
        <v>51</v>
      </c>
      <c r="T23" s="147" t="s">
        <v>121</v>
      </c>
      <c r="U23" s="133" t="s">
        <v>15</v>
      </c>
    </row>
    <row r="24" spans="1:21" ht="15.75" customHeight="1" x14ac:dyDescent="0.3">
      <c r="A24" s="237" t="s">
        <v>366</v>
      </c>
      <c r="B24" s="186" t="s">
        <v>356</v>
      </c>
      <c r="C24" s="238">
        <f>B5_Ti</f>
        <v>25</v>
      </c>
      <c r="D24" s="230" t="s">
        <v>367</v>
      </c>
      <c r="E24" s="238">
        <f>B5_To</f>
        <v>600</v>
      </c>
      <c r="F24" s="230" t="s">
        <v>367</v>
      </c>
      <c r="G24" s="205">
        <v>0</v>
      </c>
      <c r="H24" s="230" t="s">
        <v>173</v>
      </c>
      <c r="I24" s="205">
        <f>B5Q</f>
        <v>484.5</v>
      </c>
      <c r="J24" s="230" t="s">
        <v>252</v>
      </c>
      <c r="K24" s="218">
        <f>I24/M24/(E24-C24)*3.6</f>
        <v>3.370434782608696</v>
      </c>
      <c r="L24" s="239" t="s">
        <v>424</v>
      </c>
      <c r="M24" s="205">
        <f>Grd_Serp_M</f>
        <v>0.9</v>
      </c>
      <c r="N24" s="230" t="s">
        <v>231</v>
      </c>
      <c r="O24" s="186">
        <f>dtmin</f>
        <v>5</v>
      </c>
      <c r="P24" s="230" t="s">
        <v>367</v>
      </c>
      <c r="Q24" s="205">
        <v>1</v>
      </c>
      <c r="R24" s="239" t="s">
        <v>426</v>
      </c>
      <c r="S24" s="205" t="s">
        <v>427</v>
      </c>
      <c r="T24" s="205" t="s">
        <v>423</v>
      </c>
      <c r="U24" s="248" t="s">
        <v>471</v>
      </c>
    </row>
    <row r="25" spans="1:21" ht="15.75" customHeight="1" x14ac:dyDescent="0.3">
      <c r="A25" s="234" t="s">
        <v>365</v>
      </c>
      <c r="B25" s="178" t="s">
        <v>356</v>
      </c>
      <c r="C25" s="235">
        <f>H3_Ti</f>
        <v>29.7</v>
      </c>
      <c r="D25" s="226" t="s">
        <v>367</v>
      </c>
      <c r="E25" s="235">
        <f>H3_To</f>
        <v>155</v>
      </c>
      <c r="F25" s="226" t="s">
        <v>367</v>
      </c>
      <c r="G25" s="202">
        <v>0</v>
      </c>
      <c r="H25" s="226" t="s">
        <v>173</v>
      </c>
      <c r="I25" s="202">
        <f>H3Q</f>
        <v>109.72750000000001</v>
      </c>
      <c r="J25" s="226" t="s">
        <v>252</v>
      </c>
      <c r="K25" s="214">
        <f>I25/M25/(E25-C25)*3.6</f>
        <v>3.5028731045490828</v>
      </c>
      <c r="L25" s="236" t="s">
        <v>424</v>
      </c>
      <c r="M25" s="202">
        <f>Grd_Serp_M</f>
        <v>0.9</v>
      </c>
      <c r="N25" s="226" t="s">
        <v>231</v>
      </c>
      <c r="O25" s="178">
        <f>dtmin</f>
        <v>5</v>
      </c>
      <c r="P25" s="226" t="s">
        <v>367</v>
      </c>
      <c r="Q25" s="202">
        <v>1</v>
      </c>
      <c r="R25" s="236" t="s">
        <v>426</v>
      </c>
      <c r="S25" s="202" t="s">
        <v>427</v>
      </c>
      <c r="T25" s="202" t="s">
        <v>423</v>
      </c>
      <c r="U25" s="249" t="s">
        <v>488</v>
      </c>
    </row>
    <row r="26" spans="1:21" ht="15.75" customHeight="1" thickBot="1" x14ac:dyDescent="0.35">
      <c r="A26" s="240" t="s">
        <v>364</v>
      </c>
      <c r="B26" s="182" t="s">
        <v>354</v>
      </c>
      <c r="C26" s="241">
        <f>B5_To</f>
        <v>600</v>
      </c>
      <c r="D26" s="233" t="s">
        <v>367</v>
      </c>
      <c r="E26" s="241">
        <f>B5_Ti</f>
        <v>25</v>
      </c>
      <c r="F26" s="233" t="s">
        <v>367</v>
      </c>
      <c r="G26" s="207">
        <f>CoolingQ</f>
        <v>484.5</v>
      </c>
      <c r="H26" s="233" t="s">
        <v>252</v>
      </c>
      <c r="I26" s="207">
        <v>0</v>
      </c>
      <c r="J26" s="233" t="s">
        <v>173</v>
      </c>
      <c r="K26" s="216">
        <f>G26/M26/(C26-E26)*3.6</f>
        <v>3.370434782608696</v>
      </c>
      <c r="L26" s="242" t="s">
        <v>424</v>
      </c>
      <c r="M26" s="207">
        <f>Grd_Serp_M</f>
        <v>0.9</v>
      </c>
      <c r="N26" s="233" t="s">
        <v>231</v>
      </c>
      <c r="O26" s="182">
        <f>dtmin</f>
        <v>5</v>
      </c>
      <c r="P26" s="233" t="s">
        <v>367</v>
      </c>
      <c r="Q26" s="207">
        <v>1</v>
      </c>
      <c r="R26" s="242" t="s">
        <v>426</v>
      </c>
      <c r="S26" s="207" t="s">
        <v>427</v>
      </c>
      <c r="T26" s="207" t="s">
        <v>423</v>
      </c>
      <c r="U26" s="250" t="s">
        <v>287</v>
      </c>
    </row>
    <row r="27" spans="1:21" ht="14.25" customHeight="1" thickBot="1" x14ac:dyDescent="0.35">
      <c r="A27" s="152"/>
      <c r="B27" s="152"/>
      <c r="C27" s="152"/>
      <c r="D27" s="152"/>
      <c r="E27" s="152"/>
      <c r="F27" s="152"/>
      <c r="G27" s="152"/>
      <c r="H27" s="152"/>
      <c r="I27" s="152"/>
      <c r="J27" s="152"/>
      <c r="K27" s="152"/>
      <c r="L27" s="153"/>
      <c r="M27" s="153"/>
      <c r="N27" s="153"/>
      <c r="O27" s="81"/>
      <c r="P27" s="81"/>
      <c r="Q27" s="81"/>
      <c r="R27" s="81"/>
      <c r="S27" s="81"/>
      <c r="T27" s="81"/>
      <c r="U27" s="81"/>
    </row>
    <row r="28" spans="1:21" ht="14.25" customHeight="1" thickBot="1" x14ac:dyDescent="0.35">
      <c r="A28" s="108" t="s">
        <v>44</v>
      </c>
      <c r="B28" s="86"/>
      <c r="C28" s="86"/>
      <c r="D28" s="37"/>
      <c r="E28" s="38"/>
      <c r="F28" s="38"/>
      <c r="G28" s="38"/>
      <c r="H28" s="38"/>
      <c r="I28" s="88"/>
      <c r="J28" s="6"/>
      <c r="K28" s="7"/>
      <c r="L28" s="86"/>
      <c r="M28" s="86"/>
      <c r="N28" s="86"/>
      <c r="O28" s="38"/>
      <c r="P28" s="38"/>
      <c r="Q28" s="38"/>
      <c r="R28" s="38"/>
      <c r="S28" s="38"/>
      <c r="T28" s="38"/>
      <c r="U28" s="38"/>
    </row>
    <row r="29" spans="1:21" ht="57.45" customHeight="1" thickBot="1" x14ac:dyDescent="0.35">
      <c r="A29" s="252" t="s">
        <v>474</v>
      </c>
      <c r="B29" s="86"/>
      <c r="C29" s="86"/>
      <c r="D29" s="37"/>
      <c r="E29" s="38"/>
      <c r="F29" s="38"/>
      <c r="G29" s="38"/>
      <c r="H29" s="38"/>
      <c r="I29" s="6"/>
      <c r="J29" s="6"/>
      <c r="K29" s="7"/>
      <c r="L29" s="86"/>
      <c r="M29" s="86"/>
      <c r="N29" s="86"/>
      <c r="O29" s="38"/>
      <c r="P29" s="38"/>
      <c r="Q29" s="38"/>
      <c r="R29" s="38"/>
      <c r="S29" s="38"/>
      <c r="T29" s="38"/>
      <c r="U29" s="38"/>
    </row>
    <row r="30" spans="1:21" ht="15.75" customHeight="1" thickBot="1" x14ac:dyDescent="0.35">
      <c r="A30" s="68"/>
      <c r="B30" s="57"/>
      <c r="C30" s="57"/>
      <c r="D30" s="57"/>
      <c r="E30" s="69"/>
      <c r="F30" s="43"/>
      <c r="G30" s="43"/>
      <c r="H30" s="43"/>
      <c r="I30" s="43"/>
      <c r="J30" s="46"/>
      <c r="K30" s="46"/>
      <c r="L30" s="46"/>
      <c r="M30" s="66"/>
      <c r="O30" s="46"/>
      <c r="P30" s="46"/>
      <c r="Q30" s="46"/>
      <c r="R30" s="46"/>
      <c r="S30" s="46"/>
      <c r="T30" s="46"/>
      <c r="U30" s="46"/>
    </row>
    <row r="31" spans="1:21" ht="15.75" customHeight="1" thickBot="1" x14ac:dyDescent="0.35">
      <c r="A31" s="284" t="s">
        <v>41</v>
      </c>
      <c r="B31" s="285"/>
      <c r="C31" s="285"/>
      <c r="D31" s="285"/>
      <c r="E31" s="285"/>
      <c r="F31" s="285"/>
      <c r="G31" s="286"/>
      <c r="H31" s="70" t="s">
        <v>122</v>
      </c>
      <c r="I31" s="46"/>
      <c r="J31" s="46"/>
      <c r="K31" s="46"/>
      <c r="L31" s="46"/>
      <c r="M31" s="46"/>
      <c r="N31" s="43"/>
      <c r="O31" s="46"/>
      <c r="P31" s="46"/>
      <c r="Q31" s="46"/>
      <c r="R31" s="46"/>
      <c r="S31" s="46"/>
      <c r="T31" s="46"/>
      <c r="U31" s="46"/>
    </row>
    <row r="32" spans="1:21" ht="15.75" customHeight="1" thickBot="1" x14ac:dyDescent="0.35">
      <c r="A32" s="287" t="s">
        <v>52</v>
      </c>
      <c r="B32" s="288" t="s">
        <v>18</v>
      </c>
      <c r="C32" s="288" t="s">
        <v>103</v>
      </c>
      <c r="D32" s="288" t="s">
        <v>104</v>
      </c>
      <c r="E32" s="288" t="s">
        <v>53</v>
      </c>
      <c r="F32" s="288" t="s">
        <v>39</v>
      </c>
      <c r="G32" s="289" t="s">
        <v>149</v>
      </c>
      <c r="H32" s="72"/>
      <c r="I32" s="71"/>
      <c r="J32" s="73"/>
      <c r="K32" s="49"/>
      <c r="L32" s="49"/>
      <c r="M32" s="49"/>
      <c r="N32" s="46"/>
      <c r="O32" s="46"/>
      <c r="P32" s="46"/>
      <c r="Q32" s="46"/>
      <c r="R32" s="46"/>
      <c r="S32" s="46"/>
      <c r="T32" s="46"/>
      <c r="U32" s="46"/>
    </row>
    <row r="33" spans="1:21" ht="15.75" customHeight="1" x14ac:dyDescent="0.3">
      <c r="A33" s="290" t="s">
        <v>475</v>
      </c>
      <c r="B33" s="291" t="s">
        <v>437</v>
      </c>
      <c r="C33" s="291" t="s">
        <v>476</v>
      </c>
      <c r="D33" s="291" t="s">
        <v>477</v>
      </c>
      <c r="E33" s="291" t="s">
        <v>440</v>
      </c>
      <c r="F33" s="291">
        <v>2100</v>
      </c>
      <c r="G33" s="292" t="s">
        <v>441</v>
      </c>
      <c r="H33" s="164"/>
      <c r="I33" s="164"/>
      <c r="J33" s="164"/>
      <c r="K33" s="152"/>
      <c r="L33" s="152"/>
      <c r="M33" s="152"/>
      <c r="N33" s="152"/>
      <c r="O33" s="152"/>
      <c r="P33" s="152"/>
      <c r="Q33" s="152"/>
      <c r="R33" s="152"/>
      <c r="S33" s="152"/>
      <c r="T33" s="152"/>
      <c r="U33" s="152"/>
    </row>
    <row r="34" spans="1:21" ht="15.75" customHeight="1" x14ac:dyDescent="0.3">
      <c r="A34" s="293"/>
      <c r="B34" s="294"/>
      <c r="C34" s="294"/>
      <c r="D34" s="294"/>
      <c r="E34" s="294" t="s">
        <v>478</v>
      </c>
      <c r="F34" s="294">
        <v>436</v>
      </c>
      <c r="G34" s="295" t="s">
        <v>173</v>
      </c>
      <c r="H34" s="164"/>
      <c r="I34" s="164"/>
      <c r="J34" s="164"/>
      <c r="K34" s="152"/>
      <c r="L34" s="152"/>
      <c r="M34" s="152"/>
      <c r="N34" s="152"/>
      <c r="O34" s="152"/>
      <c r="P34" s="152"/>
      <c r="Q34" s="152"/>
      <c r="R34" s="152"/>
      <c r="S34" s="152"/>
      <c r="T34" s="152"/>
      <c r="U34" s="152"/>
    </row>
    <row r="35" spans="1:21" ht="15.75" customHeight="1" x14ac:dyDescent="0.3">
      <c r="A35" s="293"/>
      <c r="B35" s="294"/>
      <c r="C35" s="294"/>
      <c r="D35" s="294"/>
      <c r="E35" s="294" t="s">
        <v>443</v>
      </c>
      <c r="F35" s="294">
        <v>7.0000000000000007E-2</v>
      </c>
      <c r="G35" s="295" t="s">
        <v>27</v>
      </c>
      <c r="H35" s="164"/>
      <c r="I35" s="164"/>
      <c r="J35" s="164"/>
      <c r="K35" s="152"/>
      <c r="L35" s="152"/>
      <c r="M35" s="152"/>
      <c r="N35" s="152"/>
      <c r="O35" s="152"/>
      <c r="P35" s="152"/>
      <c r="Q35" s="152"/>
      <c r="R35" s="152"/>
      <c r="S35" s="152"/>
      <c r="T35" s="152"/>
      <c r="U35" s="152"/>
    </row>
    <row r="36" spans="1:21" ht="15.75" customHeight="1" x14ac:dyDescent="0.3">
      <c r="A36" s="293" t="s">
        <v>479</v>
      </c>
      <c r="B36" s="294" t="s">
        <v>437</v>
      </c>
      <c r="C36" s="294" t="s">
        <v>480</v>
      </c>
      <c r="D36" s="294" t="s">
        <v>446</v>
      </c>
      <c r="E36" s="294" t="s">
        <v>440</v>
      </c>
      <c r="F36" s="294">
        <v>850</v>
      </c>
      <c r="G36" s="295" t="s">
        <v>459</v>
      </c>
      <c r="H36" s="164"/>
      <c r="I36" s="164"/>
      <c r="J36" s="164"/>
      <c r="K36" s="152"/>
      <c r="L36" s="152"/>
      <c r="M36" s="152"/>
      <c r="N36" s="152"/>
      <c r="O36" s="152"/>
      <c r="P36" s="152"/>
      <c r="Q36" s="152"/>
      <c r="R36" s="152"/>
      <c r="S36" s="152"/>
      <c r="T36" s="152"/>
      <c r="U36" s="152"/>
    </row>
    <row r="37" spans="1:21" ht="15.75" customHeight="1" x14ac:dyDescent="0.3">
      <c r="A37" s="293"/>
      <c r="B37" s="294"/>
      <c r="C37" s="294"/>
      <c r="D37" s="294"/>
      <c r="E37" s="294" t="s">
        <v>481</v>
      </c>
      <c r="F37" s="294">
        <v>0.9</v>
      </c>
      <c r="G37" s="295" t="s">
        <v>231</v>
      </c>
      <c r="H37" s="164"/>
      <c r="I37" s="164"/>
      <c r="J37" s="164"/>
      <c r="K37" s="152"/>
      <c r="L37" s="152"/>
      <c r="M37" s="152"/>
      <c r="N37" s="152"/>
      <c r="O37" s="152"/>
      <c r="P37" s="152"/>
      <c r="Q37" s="152"/>
      <c r="R37" s="152"/>
      <c r="S37" s="152"/>
      <c r="T37" s="152"/>
      <c r="U37" s="152"/>
    </row>
    <row r="38" spans="1:21" ht="15.75" customHeight="1" thickBot="1" x14ac:dyDescent="0.35">
      <c r="A38" s="282"/>
      <c r="B38" s="262"/>
      <c r="C38" s="262"/>
      <c r="D38" s="262"/>
      <c r="E38" s="263" t="s">
        <v>443</v>
      </c>
      <c r="F38" s="262">
        <v>7.0000000000000007E-2</v>
      </c>
      <c r="G38" s="283" t="s">
        <v>27</v>
      </c>
      <c r="H38" s="164"/>
      <c r="I38" s="164"/>
      <c r="J38" s="164"/>
      <c r="K38" s="165"/>
      <c r="L38" s="165"/>
      <c r="M38" s="152"/>
      <c r="N38" s="152"/>
      <c r="O38" s="152"/>
      <c r="P38" s="152"/>
      <c r="Q38" s="152"/>
      <c r="R38" s="152"/>
      <c r="S38" s="152"/>
      <c r="T38" s="152"/>
      <c r="U38" s="152"/>
    </row>
    <row r="39" spans="1:21" ht="42" customHeight="1" thickBot="1" x14ac:dyDescent="0.35">
      <c r="A39" s="109"/>
      <c r="B39" s="75"/>
      <c r="C39" s="154"/>
      <c r="D39" s="75"/>
      <c r="E39" s="75"/>
      <c r="F39" s="75"/>
      <c r="G39" s="75"/>
      <c r="H39" s="71"/>
    </row>
    <row r="40" spans="1:21" ht="15.75" customHeight="1" thickBot="1" x14ac:dyDescent="0.35">
      <c r="A40" s="108" t="s">
        <v>45</v>
      </c>
      <c r="B40" s="86"/>
      <c r="C40" s="86"/>
      <c r="D40" s="71"/>
      <c r="E40" s="71"/>
      <c r="F40" s="71"/>
      <c r="G40" s="71"/>
      <c r="H40" s="77"/>
    </row>
    <row r="41" spans="1:21" ht="34.799999999999997" customHeight="1" thickBot="1" x14ac:dyDescent="0.35">
      <c r="A41" s="107" t="s">
        <v>42</v>
      </c>
      <c r="B41" s="86"/>
      <c r="C41" s="86"/>
      <c r="D41" s="71"/>
      <c r="E41" s="71"/>
      <c r="F41" s="71"/>
      <c r="G41" s="71"/>
      <c r="H41" s="71"/>
    </row>
    <row r="42" spans="1:21" ht="15.75" customHeight="1" thickBot="1" x14ac:dyDescent="0.35">
      <c r="A42" s="76"/>
      <c r="B42" s="77"/>
      <c r="C42" s="61"/>
      <c r="D42" s="77"/>
      <c r="E42" s="77"/>
      <c r="F42" s="77"/>
      <c r="G42" s="77"/>
      <c r="H42" s="71"/>
    </row>
    <row r="43" spans="1:21" ht="15.75" customHeight="1" thickBot="1" x14ac:dyDescent="0.35">
      <c r="A43" s="78" t="s">
        <v>57</v>
      </c>
      <c r="B43" s="79"/>
      <c r="C43" s="80"/>
      <c r="D43" s="71"/>
      <c r="E43" s="71"/>
      <c r="F43" s="71"/>
      <c r="G43" s="71"/>
      <c r="H43" s="71"/>
    </row>
    <row r="44" spans="1:21" ht="15.75" customHeight="1" thickBot="1" x14ac:dyDescent="0.35">
      <c r="A44" s="148" t="s">
        <v>54</v>
      </c>
      <c r="B44" s="149" t="s">
        <v>55</v>
      </c>
      <c r="C44" s="71"/>
      <c r="D44" s="71"/>
      <c r="E44" s="71"/>
      <c r="F44" s="71"/>
      <c r="G44" s="71"/>
      <c r="H44" s="71"/>
    </row>
    <row r="45" spans="1:21" ht="15.75" customHeight="1" thickBot="1" x14ac:dyDescent="0.35">
      <c r="A45" s="142">
        <v>0</v>
      </c>
      <c r="B45" s="150">
        <v>0</v>
      </c>
      <c r="C45" s="71"/>
      <c r="D45" s="71"/>
      <c r="E45" s="71"/>
      <c r="F45" s="71"/>
      <c r="G45" s="71"/>
      <c r="H45" s="71"/>
    </row>
  </sheetData>
  <dataValidations count="4">
    <dataValidation type="list" allowBlank="1" showErrorMessage="1" sqref="B24:B26" xr:uid="{55510C98-DC7B-424F-BD0B-A6729D928694}">
      <formula1>"Cold,Hot"</formula1>
    </dataValidation>
    <dataValidation type="list" allowBlank="1" showErrorMessage="1" sqref="C15:C17" xr:uid="{B94890D5-5778-4FDF-BC3A-A32F9C1D385C}">
      <formula1>"IN,OUT"</formula1>
    </dataValidation>
    <dataValidation type="list" allowBlank="1" showErrorMessage="1" sqref="B15:B17" xr:uid="{3247D291-2398-403E-AA8F-BB32C5743476}">
      <formula1>"MASS,ELECTRICITY,EMISSIONS,ENERGY"</formula1>
    </dataValidation>
    <dataValidation type="list" errorStyle="information" allowBlank="1" showInputMessage="1" showErrorMessage="1" sqref="E15:E17 G15:G17 I15:I17 D24:D26 F24:F26 H24:H26 J24:J26 L24:L26 N24:N26 P24:P26 R24:R26 G38" xr:uid="{60457D82-1FFA-4B7D-94F1-2B290ADAC07E}">
      <formula1>"-,kg,s,m,K,°C,W,bar,kg/h,t/h,kW,kW/m2K,W/m2K,kJ/kgK,kJ/kg,m3/h,Nm3/t,kWh/Nm3,Nm3/h,%,kg/kmol,eur,eur/year,eur/kW,kWel/kWth,year, days"</formula1>
    </dataValidation>
  </dataValidations>
  <pageMargins left="0.7" right="0.7" top="0.75" bottom="0.75" header="0" footer="0"/>
  <pageSetup orientation="landscape"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outlinePr summaryBelow="0" summaryRight="0"/>
  </sheetPr>
  <dimension ref="A1:C2"/>
  <sheetViews>
    <sheetView showGridLines="0" zoomScale="85" zoomScaleNormal="85" workbookViewId="0">
      <selection activeCell="F26" sqref="F26"/>
    </sheetView>
  </sheetViews>
  <sheetFormatPr defaultColWidth="14.44140625" defaultRowHeight="15" customHeight="1" x14ac:dyDescent="0.3"/>
  <cols>
    <col min="1" max="1" width="32.109375" bestFit="1" customWidth="1"/>
    <col min="2" max="2" width="20" customWidth="1"/>
    <col min="3" max="3" width="16.44140625" customWidth="1"/>
    <col min="6" max="6" width="24" customWidth="1"/>
  </cols>
  <sheetData>
    <row r="1" spans="1:3" ht="15" customHeight="1" thickBot="1" x14ac:dyDescent="0.35">
      <c r="A1" s="116" t="s">
        <v>96</v>
      </c>
      <c r="B1" s="117" t="s">
        <v>39</v>
      </c>
      <c r="C1" s="118" t="s">
        <v>19</v>
      </c>
    </row>
    <row r="2" spans="1:3" thickBot="1" x14ac:dyDescent="0.35">
      <c r="A2" s="156" t="s">
        <v>27</v>
      </c>
      <c r="B2" s="155" t="s">
        <v>27</v>
      </c>
      <c r="C2" s="157" t="s">
        <v>27</v>
      </c>
    </row>
  </sheetData>
  <dataValidations count="1">
    <dataValidation type="list" errorStyle="information" allowBlank="1" showInputMessage="1" showErrorMessage="1" sqref="C2" xr:uid="{1D70F30A-14DB-4974-A7A5-28519219D8A8}">
      <formula1>"-,kg,s,m,K,°C,W,bar,kg/h,t/h,kW,kW/m2K,W/m2K,kJ/kgK,kJ/kg,m3/h,Nm3/t,kWh/Nm3,Nm3/h,%,kg/kmol,eur,eur/year,eur/kW,kWel/kWth,year, days"</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outlinePr summaryBelow="0" summaryRight="0"/>
  </sheetPr>
  <dimension ref="A1:D2"/>
  <sheetViews>
    <sheetView showGridLines="0" workbookViewId="0">
      <selection activeCell="C2" sqref="C2"/>
    </sheetView>
  </sheetViews>
  <sheetFormatPr defaultColWidth="14.44140625" defaultRowHeight="15" customHeight="1" x14ac:dyDescent="0.3"/>
  <cols>
    <col min="2" max="2" width="29.77734375" bestFit="1" customWidth="1"/>
  </cols>
  <sheetData>
    <row r="1" spans="1:4" thickBot="1" x14ac:dyDescent="0.35">
      <c r="A1" s="116" t="s">
        <v>69</v>
      </c>
      <c r="B1" s="117" t="s">
        <v>93</v>
      </c>
      <c r="C1" s="117" t="s">
        <v>91</v>
      </c>
      <c r="D1" s="118" t="s">
        <v>92</v>
      </c>
    </row>
    <row r="2" spans="1:4" ht="15" customHeight="1" thickBot="1" x14ac:dyDescent="0.35">
      <c r="A2" s="160" t="s">
        <v>94</v>
      </c>
      <c r="B2" s="159" t="s">
        <v>7</v>
      </c>
      <c r="C2" s="161">
        <v>46133</v>
      </c>
      <c r="D2" s="162" t="s">
        <v>95</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G3"/>
  <sheetViews>
    <sheetView showGridLines="0" zoomScale="85" zoomScaleNormal="85" workbookViewId="0">
      <selection activeCell="F14" sqref="F14"/>
    </sheetView>
  </sheetViews>
  <sheetFormatPr defaultColWidth="8.77734375" defaultRowHeight="14.4" x14ac:dyDescent="0.3"/>
  <cols>
    <col min="1" max="1" width="12.77734375" customWidth="1"/>
    <col min="2" max="2" width="18.44140625" customWidth="1"/>
    <col min="3" max="3" width="12.77734375" customWidth="1"/>
    <col min="4" max="4" width="11.44140625" customWidth="1"/>
    <col min="5" max="5" width="10" customWidth="1"/>
    <col min="6" max="6" width="32" customWidth="1"/>
    <col min="7" max="7" width="14.44140625" bestFit="1" customWidth="1"/>
  </cols>
  <sheetData>
    <row r="1" spans="1:7" ht="15" thickBot="1" x14ac:dyDescent="0.35">
      <c r="A1" s="97" t="s">
        <v>89</v>
      </c>
      <c r="B1" s="96"/>
      <c r="C1" s="96"/>
      <c r="D1" s="96"/>
      <c r="E1" s="96"/>
      <c r="F1" s="96"/>
      <c r="G1" s="103"/>
    </row>
    <row r="2" spans="1:7" ht="15" thickBot="1" x14ac:dyDescent="0.35">
      <c r="A2" s="158" t="s">
        <v>90</v>
      </c>
      <c r="B2" s="143" t="s">
        <v>52</v>
      </c>
      <c r="C2" s="143" t="s">
        <v>18</v>
      </c>
      <c r="D2" s="143" t="s">
        <v>88</v>
      </c>
      <c r="E2" s="143" t="s">
        <v>87</v>
      </c>
      <c r="F2" s="143" t="s">
        <v>86</v>
      </c>
      <c r="G2" s="133" t="s">
        <v>71</v>
      </c>
    </row>
    <row r="3" spans="1:7" ht="15" thickBot="1" x14ac:dyDescent="0.35">
      <c r="A3" s="298">
        <v>1</v>
      </c>
      <c r="B3" s="301" t="s">
        <v>490</v>
      </c>
      <c r="C3" s="301" t="s">
        <v>491</v>
      </c>
      <c r="D3" s="301" t="s">
        <v>492</v>
      </c>
      <c r="E3" s="301" t="s">
        <v>493</v>
      </c>
      <c r="F3" s="299" t="s">
        <v>155</v>
      </c>
      <c r="G3" s="300">
        <v>46133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CBF23F-BBF5-47CE-AA77-D277C6274EBB}">
  <sheetPr codeName="Sheet10"/>
  <dimension ref="A1:A34"/>
  <sheetViews>
    <sheetView showGridLines="0" workbookViewId="0">
      <selection activeCell="D9" sqref="D9"/>
    </sheetView>
  </sheetViews>
  <sheetFormatPr defaultRowHeight="14.4" x14ac:dyDescent="0.3"/>
  <cols>
    <col min="1" max="1" width="140.77734375" style="305" customWidth="1"/>
    <col min="2" max="16384" width="8.88671875" style="305"/>
  </cols>
  <sheetData>
    <row r="1" spans="1:1" ht="15.6" thickTop="1" thickBot="1" x14ac:dyDescent="0.35">
      <c r="A1" s="306" t="s">
        <v>483</v>
      </c>
    </row>
    <row r="2" spans="1:1" ht="15" thickTop="1" x14ac:dyDescent="0.3">
      <c r="A2" s="305" t="s">
        <v>495</v>
      </c>
    </row>
    <row r="3" spans="1:1" x14ac:dyDescent="0.3">
      <c r="A3" s="305" t="s">
        <v>496</v>
      </c>
    </row>
    <row r="4" spans="1:1" ht="15" thickBot="1" x14ac:dyDescent="0.35"/>
    <row r="5" spans="1:1" ht="15.6" thickTop="1" thickBot="1" x14ac:dyDescent="0.35">
      <c r="A5" s="306" t="s">
        <v>484</v>
      </c>
    </row>
    <row r="6" spans="1:1" ht="15" thickTop="1" x14ac:dyDescent="0.3">
      <c r="A6" s="307" t="s">
        <v>497</v>
      </c>
    </row>
    <row r="7" spans="1:1" x14ac:dyDescent="0.3">
      <c r="A7" s="305" t="str">
        <f>"Compresses raw CO2 ("&amp;TEXT(FG_M,"0.00")&amp;" t/h) from 1 bar to 140 bar using a 4-stage intercooled train."</f>
        <v>Compresses raw CO2 (2.42 t/h) from 1 bar to 140 bar using a 4-stage intercooled train.</v>
      </c>
    </row>
    <row r="8" spans="1:1" x14ac:dyDescent="0.3">
      <c r="A8" s="305" t="str">
        <f>"Specific energy consumption is approximately "&amp;TEXT(MCW,"0")&amp;" kWh/t CO2, with outlet temperatures optimized for the mineralizer."</f>
        <v>Specific energy consumption is approximately 158 kWh/t CO2, with outlet temperatures optimized for the mineralizer.</v>
      </c>
    </row>
    <row r="9" spans="1:1" x14ac:dyDescent="0.3">
      <c r="A9" s="307" t="s">
        <v>485</v>
      </c>
    </row>
    <row r="10" spans="1:1" x14ac:dyDescent="0.3">
      <c r="A10" s="305" t="str">
        <f>"Mechanical milling of "&amp;TEXT(Serp_M,"0.00")&amp;" t/h of raw ore to 10–38 µm. Includes magnetic separation removing "&amp;TEXT(Magnetite_M,"0.00")&amp;" t/h of Magnetite."</f>
        <v>Mechanical milling of 1.00 t/h of raw ore to 10–38 µm. Includes magnetic separation removing 0.10 t/h of Magnetite.</v>
      </c>
    </row>
    <row r="11" spans="1:1" x14ac:dyDescent="0.3">
      <c r="A11" s="307" t="s">
        <v>486</v>
      </c>
    </row>
    <row r="12" spans="1:1" x14ac:dyDescent="0.3">
      <c r="A12" s="305" t="str">
        <f>"Thermal dehydroxylation in a rotary kiln at "&amp;TEXT(B5_To,"0")&amp;"°C. Activation energy: "&amp;TEXT(B5_Q,"#,##0")&amp;" kW."</f>
        <v>Thermal dehydroxylation in a rotary kiln at 600°C. Activation energy: 485 kW.</v>
      </c>
    </row>
    <row r="13" spans="1:1" ht="15" thickBot="1" x14ac:dyDescent="0.35"/>
    <row r="14" spans="1:1" ht="15.6" thickTop="1" thickBot="1" x14ac:dyDescent="0.35">
      <c r="A14" s="306" t="s">
        <v>487</v>
      </c>
    </row>
    <row r="15" spans="1:1" ht="15" thickTop="1" x14ac:dyDescent="0.3">
      <c r="A15" s="305" t="s">
        <v>498</v>
      </c>
    </row>
    <row r="16" spans="1:1" x14ac:dyDescent="0.3">
      <c r="A16" s="305" t="s">
        <v>499</v>
      </c>
    </row>
    <row r="17" spans="1:1" ht="15" thickBot="1" x14ac:dyDescent="0.35"/>
    <row r="18" spans="1:1" ht="15.6" thickTop="1" thickBot="1" x14ac:dyDescent="0.35">
      <c r="A18" s="306" t="s">
        <v>500</v>
      </c>
    </row>
    <row r="19" spans="1:1" ht="15" thickTop="1" x14ac:dyDescent="0.3">
      <c r="A19" s="305" t="str">
        <f>"Mass flow rate of the CO2 in flue gas mass: "&amp;TEXT(FG_M,"#,##0.00")&amp;" "&amp;"t/h"</f>
        <v>Mass flow rate of the CO2 in flue gas mass: 2.42 t/h</v>
      </c>
    </row>
    <row r="20" spans="1:1" x14ac:dyDescent="0.3">
      <c r="A20" s="305" t="str">
        <f>"Power consumption in the multistage compression system: "&amp;TEXT(MC_W,"#,##0.00")&amp;" "&amp;"kW"</f>
        <v>Power consumption in the multistage compression system: 382.50 kW</v>
      </c>
    </row>
    <row r="21" spans="1:1" x14ac:dyDescent="0.3">
      <c r="A21" s="305" t="str">
        <f>"Normalized compression power per ton of CO2 mineralized: "&amp;TEXT(MCW,"#,##0.00")&amp;" "&amp;"kW"</f>
        <v>Normalized compression power per ton of CO2 mineralized: 158.19 kW</v>
      </c>
    </row>
    <row r="22" spans="1:1" x14ac:dyDescent="0.3">
      <c r="A22" s="305" t="str">
        <f>"Serpentine mass flowrate: "&amp;TEXT(Serp_M,"#,##0.00")&amp;" "&amp;"t/h"</f>
        <v>Serpentine mass flowrate: 1.00 t/h</v>
      </c>
    </row>
    <row r="23" spans="1:1" x14ac:dyDescent="0.3">
      <c r="A23" s="305" t="str">
        <f>"Grounded serpentine mass flowrate: "&amp;TEXT(Grd_Serp_M,"#,##0.00")&amp;" "&amp;"t/h"</f>
        <v>Grounded serpentine mass flowrate: 0.90 t/h</v>
      </c>
    </row>
    <row r="24" spans="1:1" x14ac:dyDescent="0.3">
      <c r="A24" s="305" t="str">
        <f>"Magnetite mass flow rate: "&amp;TEXT(Magnetite_M,"#,##0.00")&amp;" "&amp;"t/h"</f>
        <v>Magnetite mass flow rate: 0.10 t/h</v>
      </c>
    </row>
    <row r="25" spans="1:1" x14ac:dyDescent="0.3">
      <c r="A25" s="305" t="str">
        <f>"Electricity power per ton of serpentine: "&amp;TEXT(Elec_grd,"#,##0.00")&amp;" "&amp;"kW"</f>
        <v>Electricity power per ton of serpentine: 83.00 kW</v>
      </c>
    </row>
    <row r="26" spans="1:1" x14ac:dyDescent="0.3">
      <c r="A26" s="305" t="str">
        <f>"Serpentine pretreatment outlet temperature: "&amp;TEXT(B5_To,"#,##0.00")&amp;" "&amp;"°C"</f>
        <v>Serpentine pretreatment outlet temperature: 600.00 °C</v>
      </c>
    </row>
    <row r="27" spans="1:1" x14ac:dyDescent="0.3">
      <c r="A27" s="305" t="str">
        <f>"Serpentine activation energy: "&amp;TEXT(B5_Q,"#,##0.00")&amp;" "&amp;"kW"</f>
        <v>Serpentine activation energy: 484.50 kW</v>
      </c>
    </row>
    <row r="28" spans="1:1" x14ac:dyDescent="0.3">
      <c r="A28" s="305" t="str">
        <f>"Serpentine cooling duty: "&amp;TEXT(Cooling_Q,"#,##0.00")&amp;" "&amp;"kW"</f>
        <v>Serpentine cooling duty: 484.50 kW</v>
      </c>
    </row>
    <row r="29" spans="1:1" x14ac:dyDescent="0.3">
      <c r="A29" s="305" t="str">
        <f>"Serpentine preheating outlet temperature: "&amp;TEXT(H3_To,"#,##0.00")&amp;" "&amp;"°C"</f>
        <v>Serpentine preheating outlet temperature: 155.00 °C</v>
      </c>
    </row>
    <row r="30" spans="1:1" x14ac:dyDescent="0.3">
      <c r="A30" s="305" t="str">
        <f>"Second investment cost coefficient for multistage cooling: "&amp;TEXT(Cinv2_MC,"#,##0.00")&amp;" "&amp;"eur/year"</f>
        <v>Second investment cost coefficient for multistage cooling: 0.00 eur/year</v>
      </c>
    </row>
    <row r="31" spans="1:1" x14ac:dyDescent="0.3">
      <c r="A31" s="305" t="str">
        <f>"Second investment cost coefficient for pump (alternative form): "&amp;TEXT(Cinv2_Pump,"#,##0.00")&amp;" "&amp;"eur/year"</f>
        <v>Second investment cost coefficient for pump (alternative form): 0.00 eur/year</v>
      </c>
    </row>
    <row r="32" spans="1:1" ht="15" thickBot="1" x14ac:dyDescent="0.35"/>
    <row r="33" spans="1:1" ht="15.6" thickTop="1" thickBot="1" x14ac:dyDescent="0.35">
      <c r="A33" s="306" t="s">
        <v>501</v>
      </c>
    </row>
    <row r="34" spans="1:1" ht="43.8" thickTop="1" x14ac:dyDescent="0.3">
      <c r="A34" s="305" t="s">
        <v>421</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204</vt:i4>
      </vt:variant>
    </vt:vector>
  </HeadingPairs>
  <TitlesOfParts>
    <vt:vector size="215" baseType="lpstr">
      <vt:lpstr>README</vt:lpstr>
      <vt:lpstr>METADATA</vt:lpstr>
      <vt:lpstr>CONNECTORS</vt:lpstr>
      <vt:lpstr>VARIABLES</vt:lpstr>
      <vt:lpstr>CO2_PreT</vt:lpstr>
      <vt:lpstr>Grinding</vt:lpstr>
      <vt:lpstr>Serp_PreT</vt:lpstr>
      <vt:lpstr>CALCULATIONS</vt:lpstr>
      <vt:lpstr>CHANGELOG</vt:lpstr>
      <vt:lpstr>SUPPL MATERIAL</vt:lpstr>
      <vt:lpstr>DOCUMENTATION</vt:lpstr>
      <vt:lpstr>Air_Q1</vt:lpstr>
      <vt:lpstr>Air_Q1_max</vt:lpstr>
      <vt:lpstr>Air_Q1_min</vt:lpstr>
      <vt:lpstr>Air_Q2</vt:lpstr>
      <vt:lpstr>Air_Q2_max</vt:lpstr>
      <vt:lpstr>Air_Q2_min</vt:lpstr>
      <vt:lpstr>Air_Q3</vt:lpstr>
      <vt:lpstr>Air_Q3_max</vt:lpstr>
      <vt:lpstr>Air_Q3_min</vt:lpstr>
      <vt:lpstr>Air_Q4</vt:lpstr>
      <vt:lpstr>Air_Q4_max</vt:lpstr>
      <vt:lpstr>Air_Q4_min</vt:lpstr>
      <vt:lpstr>Annuity</vt:lpstr>
      <vt:lpstr>Annuity_max</vt:lpstr>
      <vt:lpstr>Annuity_min</vt:lpstr>
      <vt:lpstr>B5_Q</vt:lpstr>
      <vt:lpstr>B5_Q_max</vt:lpstr>
      <vt:lpstr>B5_Q_min</vt:lpstr>
      <vt:lpstr>B5_Ti</vt:lpstr>
      <vt:lpstr>B5_Ti_max</vt:lpstr>
      <vt:lpstr>B5_Ti_min</vt:lpstr>
      <vt:lpstr>B5_To</vt:lpstr>
      <vt:lpstr>B5_To_max</vt:lpstr>
      <vt:lpstr>B5_To_min</vt:lpstr>
      <vt:lpstr>B5Q</vt:lpstr>
      <vt:lpstr>B5Q_max</vt:lpstr>
      <vt:lpstr>B5Q_min</vt:lpstr>
      <vt:lpstr>Captured_CO2</vt:lpstr>
      <vt:lpstr>Captured_CO2_max</vt:lpstr>
      <vt:lpstr>Captured_CO2_min</vt:lpstr>
      <vt:lpstr>Cinv1_MC</vt:lpstr>
      <vt:lpstr>Cinv1_MC_max</vt:lpstr>
      <vt:lpstr>Cinv1_MC_min</vt:lpstr>
      <vt:lpstr>Cinv1_Pump</vt:lpstr>
      <vt:lpstr>Cinv1_Pump_max</vt:lpstr>
      <vt:lpstr>Cinv1_Pump_min</vt:lpstr>
      <vt:lpstr>Cinv2_MC</vt:lpstr>
      <vt:lpstr>Cinv2_MC_max</vt:lpstr>
      <vt:lpstr>Cinv2_MC_min</vt:lpstr>
      <vt:lpstr>Cinv2_Pump</vt:lpstr>
      <vt:lpstr>Cinv2_Pump_max</vt:lpstr>
      <vt:lpstr>Cinv2_Pump_min</vt:lpstr>
      <vt:lpstr>CO2Q1</vt:lpstr>
      <vt:lpstr>CO2Q1_max</vt:lpstr>
      <vt:lpstr>CO2Q1_min</vt:lpstr>
      <vt:lpstr>CO2Q2</vt:lpstr>
      <vt:lpstr>CO2Q2_max</vt:lpstr>
      <vt:lpstr>CO2Q2_min</vt:lpstr>
      <vt:lpstr>CO2Q3</vt:lpstr>
      <vt:lpstr>CO2Q3_max</vt:lpstr>
      <vt:lpstr>CO2Q3_min</vt:lpstr>
      <vt:lpstr>CO2Q4</vt:lpstr>
      <vt:lpstr>CO2Q4_max</vt:lpstr>
      <vt:lpstr>CO2Q4_min</vt:lpstr>
      <vt:lpstr>Cooling_Q</vt:lpstr>
      <vt:lpstr>Cooling_Q_max</vt:lpstr>
      <vt:lpstr>Cooling_Q_min</vt:lpstr>
      <vt:lpstr>CoolingQ</vt:lpstr>
      <vt:lpstr>CoolingQ_max</vt:lpstr>
      <vt:lpstr>CoolingQ_min</vt:lpstr>
      <vt:lpstr>costinv1_MC</vt:lpstr>
      <vt:lpstr>costinv1_MC_max</vt:lpstr>
      <vt:lpstr>costinv1_MC_min</vt:lpstr>
      <vt:lpstr>costinv1_Pump</vt:lpstr>
      <vt:lpstr>costinv1_Pump_max</vt:lpstr>
      <vt:lpstr>costinv1_Pump_min</vt:lpstr>
      <vt:lpstr>costinv2_MC</vt:lpstr>
      <vt:lpstr>costinv2_MC_max</vt:lpstr>
      <vt:lpstr>costinv2_MC_min</vt:lpstr>
      <vt:lpstr>costinv2_Pump</vt:lpstr>
      <vt:lpstr>costinv2_Pump_max</vt:lpstr>
      <vt:lpstr>costinv2_Pump_min</vt:lpstr>
      <vt:lpstr>costMax_MC</vt:lpstr>
      <vt:lpstr>costMax_MC_max</vt:lpstr>
      <vt:lpstr>costMax_MC_min</vt:lpstr>
      <vt:lpstr>costMax_Pump</vt:lpstr>
      <vt:lpstr>costMax_Pump_max</vt:lpstr>
      <vt:lpstr>costMax_Pump_min</vt:lpstr>
      <vt:lpstr>costMin_MC</vt:lpstr>
      <vt:lpstr>costMin_MC_max</vt:lpstr>
      <vt:lpstr>costMin_MC_min</vt:lpstr>
      <vt:lpstr>costMin_Pump</vt:lpstr>
      <vt:lpstr>costMin_Pump_max</vt:lpstr>
      <vt:lpstr>costMin_Pump_min</vt:lpstr>
      <vt:lpstr>CS_material</vt:lpstr>
      <vt:lpstr>CS_material_max</vt:lpstr>
      <vt:lpstr>CS_material_min</vt:lpstr>
      <vt:lpstr>dtmin</vt:lpstr>
      <vt:lpstr>dtmin_max</vt:lpstr>
      <vt:lpstr>dtmin_min</vt:lpstr>
      <vt:lpstr>Elec_grd</vt:lpstr>
      <vt:lpstr>Elec_grd_max</vt:lpstr>
      <vt:lpstr>Elec_grd_min</vt:lpstr>
      <vt:lpstr>Factory_lifetime</vt:lpstr>
      <vt:lpstr>Factory_lifetime_max</vt:lpstr>
      <vt:lpstr>Factory_lifetime_min</vt:lpstr>
      <vt:lpstr>FG_M</vt:lpstr>
      <vt:lpstr>FG_M_max</vt:lpstr>
      <vt:lpstr>FG_M_min</vt:lpstr>
      <vt:lpstr>Fmax_MC</vt:lpstr>
      <vt:lpstr>Fmax_MC_max</vt:lpstr>
      <vt:lpstr>Fmax_MC_min</vt:lpstr>
      <vt:lpstr>Fmax_Pump</vt:lpstr>
      <vt:lpstr>Fmax_Pump_max</vt:lpstr>
      <vt:lpstr>Fmax_Pump_min</vt:lpstr>
      <vt:lpstr>Fmax_Pump_unit</vt:lpstr>
      <vt:lpstr>Fmax_Pump_unit_max</vt:lpstr>
      <vt:lpstr>Fmax_Pump_unit_min</vt:lpstr>
      <vt:lpstr>Fmin_MC</vt:lpstr>
      <vt:lpstr>Fmin_MC_max</vt:lpstr>
      <vt:lpstr>Fmin_MC_min</vt:lpstr>
      <vt:lpstr>Fmin_Pump</vt:lpstr>
      <vt:lpstr>Fmin_Pump_max</vt:lpstr>
      <vt:lpstr>Fmin_Pump_min</vt:lpstr>
      <vt:lpstr>Fmin_Pump_unit</vt:lpstr>
      <vt:lpstr>Fmin_Pump_unit_max</vt:lpstr>
      <vt:lpstr>Fmin_Pump_unit_min</vt:lpstr>
      <vt:lpstr>Grd_Serp_M</vt:lpstr>
      <vt:lpstr>Grd_Serp_M_max</vt:lpstr>
      <vt:lpstr>Grd_Serp_M_min</vt:lpstr>
      <vt:lpstr>H3_Q</vt:lpstr>
      <vt:lpstr>H3_Q_max</vt:lpstr>
      <vt:lpstr>H3_Q_min</vt:lpstr>
      <vt:lpstr>H3_Ti</vt:lpstr>
      <vt:lpstr>H3_Ti_max</vt:lpstr>
      <vt:lpstr>H3_Ti_min</vt:lpstr>
      <vt:lpstr>H3_To</vt:lpstr>
      <vt:lpstr>H3_To_max</vt:lpstr>
      <vt:lpstr>H3_To_min</vt:lpstr>
      <vt:lpstr>H3Q</vt:lpstr>
      <vt:lpstr>H3Q_max</vt:lpstr>
      <vt:lpstr>H3Q_min</vt:lpstr>
      <vt:lpstr>i</vt:lpstr>
      <vt:lpstr>i_max</vt:lpstr>
      <vt:lpstr>i_min</vt:lpstr>
      <vt:lpstr>Magnetite_M</vt:lpstr>
      <vt:lpstr>Magnetite_M_max</vt:lpstr>
      <vt:lpstr>Magnetite_M_min</vt:lpstr>
      <vt:lpstr>Mass_max_MC</vt:lpstr>
      <vt:lpstr>Mass_max_MC_max</vt:lpstr>
      <vt:lpstr>Mass_max_MC_min</vt:lpstr>
      <vt:lpstr>Mass_max_Pump</vt:lpstr>
      <vt:lpstr>Mass_max_Pump_max</vt:lpstr>
      <vt:lpstr>Mass_max_Pump_min</vt:lpstr>
      <vt:lpstr>Mass_min_MC</vt:lpstr>
      <vt:lpstr>Mass_min_MC_max</vt:lpstr>
      <vt:lpstr>Mass_min_MC_min</vt:lpstr>
      <vt:lpstr>Mass_min_Pump</vt:lpstr>
      <vt:lpstr>Mass_min_Pump_max</vt:lpstr>
      <vt:lpstr>Mass_min_Pump_min</vt:lpstr>
      <vt:lpstr>MC_S1_Ti</vt:lpstr>
      <vt:lpstr>MC_S1_Ti_max</vt:lpstr>
      <vt:lpstr>MC_S1_Ti_min</vt:lpstr>
      <vt:lpstr>MC_S1_To</vt:lpstr>
      <vt:lpstr>MC_S1_To_max</vt:lpstr>
      <vt:lpstr>MC_S1_To_min</vt:lpstr>
      <vt:lpstr>MC_S2_Ti</vt:lpstr>
      <vt:lpstr>MC_S2_Ti_max</vt:lpstr>
      <vt:lpstr>MC_S2_Ti_min</vt:lpstr>
      <vt:lpstr>MC_S2_To</vt:lpstr>
      <vt:lpstr>MC_S2_To_max</vt:lpstr>
      <vt:lpstr>MC_S2_To_min</vt:lpstr>
      <vt:lpstr>MC_S3_Ti</vt:lpstr>
      <vt:lpstr>MC_S3_Ti_max</vt:lpstr>
      <vt:lpstr>MC_S3_Ti_min</vt:lpstr>
      <vt:lpstr>MC_S3_To</vt:lpstr>
      <vt:lpstr>MC_S3_To_max</vt:lpstr>
      <vt:lpstr>MC_S3_To_min</vt:lpstr>
      <vt:lpstr>MC_S4_Ti</vt:lpstr>
      <vt:lpstr>MC_S4_Ti_max</vt:lpstr>
      <vt:lpstr>MC_S4_Ti_min</vt:lpstr>
      <vt:lpstr>MC_S4_To</vt:lpstr>
      <vt:lpstr>MC_S4_To_max</vt:lpstr>
      <vt:lpstr>MC_S4_To_min</vt:lpstr>
      <vt:lpstr>MC_W</vt:lpstr>
      <vt:lpstr>MC_W_max</vt:lpstr>
      <vt:lpstr>MC_W_min</vt:lpstr>
      <vt:lpstr>MCW</vt:lpstr>
      <vt:lpstr>MCW_max</vt:lpstr>
      <vt:lpstr>MCW_min</vt:lpstr>
      <vt:lpstr>n</vt:lpstr>
      <vt:lpstr>n_max</vt:lpstr>
      <vt:lpstr>n_min</vt:lpstr>
      <vt:lpstr>Op_hours</vt:lpstr>
      <vt:lpstr>Op_hours_max</vt:lpstr>
      <vt:lpstr>Op_hours_min</vt:lpstr>
      <vt:lpstr>Pump_P</vt:lpstr>
      <vt:lpstr>Pump_P_max</vt:lpstr>
      <vt:lpstr>Pump_P_min</vt:lpstr>
      <vt:lpstr>Pump_Serp</vt:lpstr>
      <vt:lpstr>Pump_Serp_max</vt:lpstr>
      <vt:lpstr>Pump_Serp_min</vt:lpstr>
      <vt:lpstr>PumpSerp</vt:lpstr>
      <vt:lpstr>PumpSerp_max</vt:lpstr>
      <vt:lpstr>PumpSerp_min</vt:lpstr>
      <vt:lpstr>Scaling_max_Pump</vt:lpstr>
      <vt:lpstr>Scaling_max_Pump_max</vt:lpstr>
      <vt:lpstr>Scaling_max_Pump_min</vt:lpstr>
      <vt:lpstr>Scaling_min_Pump</vt:lpstr>
      <vt:lpstr>Scaling_min_Pump_max</vt:lpstr>
      <vt:lpstr>Scaling_min_Pump_min</vt:lpstr>
      <vt:lpstr>Serp_M</vt:lpstr>
      <vt:lpstr>Serp_M_max</vt:lpstr>
      <vt:lpstr>Serp_M_min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A Florez Orrego</dc:creator>
  <cp:lastModifiedBy>baptiste mabboux</cp:lastModifiedBy>
  <dcterms:created xsi:type="dcterms:W3CDTF">2023-07-04T12:09:19Z</dcterms:created>
  <dcterms:modified xsi:type="dcterms:W3CDTF">2026-05-06T12:18:26Z</dcterms:modified>
</cp:coreProperties>
</file>