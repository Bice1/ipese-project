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workbookPr codeName="ThisWorkbook"/>
  <mc:AlternateContent xmlns:mc="http://schemas.openxmlformats.org/markup-compatibility/2006">
    <mc:Choice Requires="x15">
      <x15ac:absPath xmlns:x15ac="http://schemas.microsoft.com/office/spreadsheetml/2010/11/ac" url="https://d.docs.live.net/f3aee38b355b722b/Documents/02_EPFL/01_MA2/SemesterProject/PdS2026/PEM Fuel cell/"/>
    </mc:Choice>
  </mc:AlternateContent>
  <xr:revisionPtr revIDLastSave="1186" documentId="8_{7A0A4836-5E18-43FE-B6C7-FD48EED063DB}" xr6:coauthVersionLast="47" xr6:coauthVersionMax="47" xr10:uidLastSave="{40B521C1-87B8-49E1-9AA0-516520220587}"/>
  <bookViews>
    <workbookView xWindow="-108" yWindow="-108" windowWidth="23256" windowHeight="13176" firstSheet="3" activeTab="8" xr2:uid="{00000000-000D-0000-FFFF-FFFF00000000}"/>
  </bookViews>
  <sheets>
    <sheet name="README" sheetId="1" r:id="rId1"/>
    <sheet name="METADATA" sheetId="2" r:id="rId2"/>
    <sheet name="CONNECTORS" sheetId="20" r:id="rId3"/>
    <sheet name="VARIABLES" sheetId="4" r:id="rId4"/>
    <sheet name="PEMFuelCell" sheetId="24" r:id="rId5"/>
    <sheet name="CALCULATIONS" sheetId="10" r:id="rId6"/>
    <sheet name="CHANGELOG" sheetId="9" r:id="rId7"/>
    <sheet name="SUPPL MATERIAL" sheetId="11" r:id="rId8"/>
    <sheet name="DOCUMENTATION" sheetId="25" r:id="rId9"/>
  </sheets>
  <definedNames>
    <definedName name="DT_MIN">VARIABLES!$E$25</definedName>
    <definedName name="DT_MIN_max">VARIABLES!$I$25</definedName>
    <definedName name="DT_MIN_min">VARIABLES!$H$25</definedName>
    <definedName name="EFFIC">VARIABLES!$E$23</definedName>
    <definedName name="EFFIC_max">VARIABLES!$I$23</definedName>
    <definedName name="EFFIC_min">VARIABLES!$H$23</definedName>
    <definedName name="F">VARIABLES!$E$21</definedName>
    <definedName name="F_max">VARIABLES!$I$21</definedName>
    <definedName name="F_min">VARIABLES!$H$21</definedName>
    <definedName name="H2_MOL">VARIABLES!$E$18</definedName>
    <definedName name="H2_MOL_max">VARIABLES!$I$18</definedName>
    <definedName name="H2_MOL_min">VARIABLES!$H$18</definedName>
    <definedName name="H2O_MOL">VARIABLES!$E$19</definedName>
    <definedName name="H2O_MOL_max">VARIABLES!$I$19</definedName>
    <definedName name="H2O_MOL_min">VARIABLES!$H$19</definedName>
    <definedName name="i">VARIABLES!$E$27</definedName>
    <definedName name="i_max">VARIABLES!$I$27</definedName>
    <definedName name="i_min">VARIABLES!$H$27</definedName>
    <definedName name="I_OUT">VARIABLES!$E$32</definedName>
    <definedName name="I_OUT_max">VARIABLES!$I$32</definedName>
    <definedName name="I_OUT_min">VARIABLES!$H$32</definedName>
    <definedName name="IC_VAR">VARIABLES!$E$35</definedName>
    <definedName name="IC_VAR_max">VARIABLES!$I$35</definedName>
    <definedName name="IC_VAR_min">VARIABLES!$H$35</definedName>
    <definedName name="MASSF_H2_IN">VARIABLES!$E$17</definedName>
    <definedName name="MASSF_H2_IN_max">VARIABLES!$I$17</definedName>
    <definedName name="MASSF_H2_IN_min">VARIABLES!$H$17</definedName>
    <definedName name="MASSF_H2O_OUT">VARIABLES!$E$30</definedName>
    <definedName name="MASSF_H2O_OUT_max">VARIABLES!$I$30</definedName>
    <definedName name="MASSF_H2O_OUT_min">VARIABLES!$H$30</definedName>
    <definedName name="MASSF_O2_IN">VARIABLES!$E$31</definedName>
    <definedName name="MASSF_O2_IN_max">VARIABLES!$I$31</definedName>
    <definedName name="MASSF_O2_IN_min">VARIABLES!$H$31</definedName>
    <definedName name="MOLF_H2_IN">VARIABLES!$E$29</definedName>
    <definedName name="MOLF_H2_IN_max">VARIABLES!$I$29</definedName>
    <definedName name="MOLF_H2_IN_min">VARIABLES!$H$29</definedName>
    <definedName name="n">VARIABLES!$E$28</definedName>
    <definedName name="n_max">VARIABLES!$I$28</definedName>
    <definedName name="n_min">VARIABLES!$H$28</definedName>
    <definedName name="O2_MOL">VARIABLES!$E$20</definedName>
    <definedName name="O2_MOL_max">VARIABLES!$I$20</definedName>
    <definedName name="O2_MOL_min">VARIABLES!$H$20</definedName>
    <definedName name="POWER_EL_OUT">VARIABLES!$E$33</definedName>
    <definedName name="POWER_EL_OUT_max">VARIABLES!$I$33</definedName>
    <definedName name="POWER_EL_OUT_min">VARIABLES!$H$33</definedName>
    <definedName name="QF_OUT">VARIABLES!$E$34</definedName>
    <definedName name="QF_OUT_max">VARIABLES!$I$34</definedName>
    <definedName name="QF_OUT_min">VARIABLES!$H$34</definedName>
    <definedName name="SIC_VAR">VARIABLES!$E$24</definedName>
    <definedName name="SIC_VAR_max">VARIABLES!$I$24</definedName>
    <definedName name="SIC_VAR_min">VARIABLES!$H$24</definedName>
    <definedName name="T">VARIABLES!$E$16</definedName>
    <definedName name="T_max">VARIABLES!$I$16</definedName>
    <definedName name="T_min">VARIABLES!$H$16</definedName>
    <definedName name="T_rec">VARIABLES!$E$26</definedName>
    <definedName name="V">VARIABLES!$E$22</definedName>
    <definedName name="V_max">VARIABLES!$I$22</definedName>
    <definedName name="V_min">VARIABLES!$H$22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bNxJkgama/kYeBi4o0J15qkHQT9g9UA3B49WFr4NTgI="/>
    </ext>
  </extLst>
</workbook>
</file>

<file path=xl/calcChain.xml><?xml version="1.0" encoding="utf-8"?>
<calcChain xmlns="http://schemas.openxmlformats.org/spreadsheetml/2006/main">
  <c r="A26" i="25" l="1"/>
  <c r="A25" i="25"/>
  <c r="A24" i="25"/>
  <c r="A23" i="25"/>
  <c r="A22" i="25"/>
  <c r="A21" i="25"/>
  <c r="A20" i="25"/>
  <c r="A19" i="25"/>
  <c r="A18" i="25"/>
  <c r="A17" i="25"/>
  <c r="A16" i="25"/>
  <c r="A15" i="25"/>
  <c r="A14" i="25"/>
  <c r="A11" i="25"/>
  <c r="A7" i="25"/>
  <c r="B12" i="2"/>
  <c r="M25" i="24"/>
  <c r="E33" i="4"/>
  <c r="E32" i="4"/>
  <c r="E25" i="24"/>
  <c r="E29" i="4"/>
  <c r="E30" i="4" s="1"/>
  <c r="F35" i="24" l="1"/>
  <c r="F34" i="24"/>
  <c r="F32" i="24"/>
  <c r="C25" i="24" l="1"/>
  <c r="D17" i="24"/>
  <c r="F33" i="24" l="1"/>
  <c r="E34" i="4" a="1"/>
  <c r="E34" i="4" s="1"/>
  <c r="G25" i="24" s="1"/>
  <c r="D15" i="24"/>
  <c r="E31" i="4"/>
  <c r="D16" i="24" s="1"/>
  <c r="E35" i="4" a="1"/>
  <c r="E35" i="4" s="1"/>
  <c r="D18" i="2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tc={21B0A786-969E-4F8D-BD8E-9261146C0382}</author>
  </authors>
  <commentList>
    <comment ref="M25" authorId="0" shapeId="0" xr:uid="{21B0A786-969E-4F8D-BD8E-9261146C0382}">
      <text>
        <t>[Threaded comment]
Your version of Excel allows you to read this threaded comment; however, any edits to it will get removed if the file is opened in a newer version of Excel. Learn more: https://go.microsoft.com/fwlink/?linkid=870924
Comment:
    Computed from Q = m*cp*dT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<sst xmlns="http://schemas.openxmlformats.org/spreadsheetml/2006/main" count="523" uniqueCount="306">
  <si>
    <t>PURPOSE</t>
  </si>
  <si>
    <t>This document has been developed under the IETS Task XXIV: Process Integration for Industrial Decarbonization, as part of Activity 1: Specifications, Ontologies, and Procedures. It provides a standardized template for documenting and sharing ex-ante process and energy systems models. This template is intended to provide a structured, standardized format for documenting and sharing models in a way that supports collaboration, validation, and transparent reuse across the IETS community.</t>
  </si>
  <si>
    <t>CONNECTORS</t>
  </si>
  <si>
    <t>VARIABLES</t>
  </si>
  <si>
    <t>Variables are the core elements used to specify connectors and define the transformations taking place within units. Through these variables, the behavior of process and energy technologies is quantitatively described. The variables can can either have a default value that is assigned to them or they can be calculated by a mathematical operation. The type of variables that are proposed are, context, literature, measured and decision variables. The distinction between the types are explained further in the respective tab.</t>
  </si>
  <si>
    <t>UNITS</t>
  </si>
  <si>
    <t>A representative name for the model</t>
  </si>
  <si>
    <t>Daniel Florez-Orrego, Oktay Boztas</t>
  </si>
  <si>
    <t>Open</t>
  </si>
  <si>
    <t>The creation date of the model</t>
  </si>
  <si>
    <t>GRAY-BOX</t>
  </si>
  <si>
    <t>Softwares that are used during the development of the model</t>
  </si>
  <si>
    <t>URL</t>
  </si>
  <si>
    <t>The date of the last modification to the model</t>
  </si>
  <si>
    <t>Keywords can be assigned to enable structured categorization of the models</t>
  </si>
  <si>
    <t>DESCRIPTION</t>
  </si>
  <si>
    <t>EXTERNAL CONNECTORS</t>
  </si>
  <si>
    <t>NAME (ALIAS)</t>
  </si>
  <si>
    <t>TYPE</t>
  </si>
  <si>
    <t>PHYSICAL UNIT</t>
  </si>
  <si>
    <t>TEMPERATURE</t>
  </si>
  <si>
    <t>TEMPERATURE UNIT</t>
  </si>
  <si>
    <t>PRESSURE</t>
  </si>
  <si>
    <t>PRESSURE UNIT</t>
  </si>
  <si>
    <t>VAPOR FRACTION [MASS]</t>
  </si>
  <si>
    <t>PHASE</t>
  </si>
  <si>
    <t>COMPOSITION [MOLE/MASS]</t>
  </si>
  <si>
    <t>-</t>
  </si>
  <si>
    <t>INTERNAL CONNECTORS</t>
  </si>
  <si>
    <t>VARIABLE TYPES</t>
  </si>
  <si>
    <r>
      <rPr>
        <b/>
        <sz val="11"/>
        <color theme="1"/>
        <rFont val="Calibri"/>
        <family val="2"/>
      </rPr>
      <t>Context:</t>
    </r>
    <r>
      <rPr>
        <sz val="11"/>
        <color theme="1"/>
        <rFont val="Calibri"/>
        <family val="2"/>
      </rPr>
      <t xml:space="preserve"> These variables are defined at a higher level and refer to local conditions (e.g., ambient temperature and pressure), economic factors (e.g., specific costs), or energy-related parameters.</t>
    </r>
  </si>
  <si>
    <r>
      <rPr>
        <b/>
        <sz val="11"/>
        <color theme="1"/>
        <rFont val="Calibri"/>
        <family val="2"/>
      </rPr>
      <t xml:space="preserve">Literature: </t>
    </r>
    <r>
      <rPr>
        <sz val="11"/>
        <color theme="1"/>
        <rFont val="Calibri"/>
        <family val="2"/>
      </rPr>
      <t>These variables are defined from the literature sources. They include physical constants, reported efficiencies or other variables that are not measured but assumed from literature sources.</t>
    </r>
  </si>
  <si>
    <r>
      <rPr>
        <b/>
        <sz val="11"/>
        <color theme="1"/>
        <rFont val="Calibri"/>
        <family val="2"/>
      </rPr>
      <t>Measured:</t>
    </r>
    <r>
      <rPr>
        <sz val="11"/>
        <color theme="1"/>
        <rFont val="Calibri"/>
        <family val="2"/>
      </rPr>
      <t xml:space="preserve"> These variables are directly measured directly in the industrial or technological system.</t>
    </r>
  </si>
  <si>
    <r>
      <rPr>
        <b/>
        <sz val="11"/>
        <color theme="1"/>
        <rFont val="Calibri"/>
        <family val="2"/>
      </rPr>
      <t>Decision:</t>
    </r>
    <r>
      <rPr>
        <sz val="11"/>
        <color theme="1"/>
        <rFont val="Calibri"/>
        <family val="2"/>
      </rPr>
      <t xml:space="preserve"> These variable are set by the engineers to as degrees of freedom to evaluate their impact on the performance of the energy system</t>
    </r>
  </si>
  <si>
    <t>USER GRADE</t>
  </si>
  <si>
    <r>
      <rPr>
        <b/>
        <sz val="11"/>
        <color theme="1"/>
        <rFont val="Calibri"/>
        <family val="2"/>
      </rPr>
      <t xml:space="preserve">Mandatory: </t>
    </r>
    <r>
      <rPr>
        <sz val="11"/>
        <color theme="1"/>
        <rFont val="Calibri"/>
        <family val="2"/>
      </rPr>
      <t>The user of the model is expected to assign a default value to the variable.</t>
    </r>
  </si>
  <si>
    <r>
      <rPr>
        <b/>
        <sz val="11"/>
        <color theme="1"/>
        <rFont val="Calibri"/>
        <family val="2"/>
      </rPr>
      <t xml:space="preserve">Optional: </t>
    </r>
    <r>
      <rPr>
        <sz val="11"/>
        <color theme="1"/>
        <rFont val="Calibri"/>
        <family val="2"/>
      </rPr>
      <t>Experienced users can modify the default value.</t>
    </r>
  </si>
  <si>
    <r>
      <rPr>
        <b/>
        <sz val="11"/>
        <color theme="1"/>
        <rFont val="Calibri"/>
        <family val="2"/>
      </rPr>
      <t xml:space="preserve">Private: </t>
    </r>
    <r>
      <rPr>
        <sz val="11"/>
        <color theme="1"/>
        <rFont val="Calibri"/>
        <family val="2"/>
      </rPr>
      <t>Decided by the model developer, and users are not allowed to change the default value.</t>
    </r>
  </si>
  <si>
    <t>DIRECTION</t>
  </si>
  <si>
    <t>VALUE</t>
  </si>
  <si>
    <t>HEAT STREAMS</t>
  </si>
  <si>
    <t>EQUIPMENTS</t>
  </si>
  <si>
    <t>The fixed and variable operating costs includes manpower, fixed cost of operation, taxes etc.</t>
  </si>
  <si>
    <t>TRL</t>
  </si>
  <si>
    <t>EQUIPMENTS DESCRIPTION</t>
  </si>
  <si>
    <t>OPERATING COST DESCRIPTION</t>
  </si>
  <si>
    <t>UNIT DESCRIPTION</t>
  </si>
  <si>
    <t>CONNECTORS DESCRIPTION</t>
  </si>
  <si>
    <t>UNIT NAME</t>
  </si>
  <si>
    <t>MAXIMUM CAPACITY MULT</t>
  </si>
  <si>
    <t>MINIMUM CAPACITY MULT</t>
  </si>
  <si>
    <t>HEAT CASCADE</t>
  </si>
  <si>
    <t>NAME</t>
  </si>
  <si>
    <t>PARAMS</t>
  </si>
  <si>
    <t>FIXED OPERATING COST [EUR/y]</t>
  </si>
  <si>
    <t>VARIABLE OPERATING COST [EUR/h]</t>
  </si>
  <si>
    <t>HEAT STREAMS DESCRIPTION</t>
  </si>
  <si>
    <t>The variable operating cost is calculated by multiplying the specific operating cost [EUR/kWh or EUR/kg] and reference capacity [kW or kg/h]</t>
  </si>
  <si>
    <t>Fetch the intensive properties from the connectors tab</t>
  </si>
  <si>
    <t>The declared connectors within the units can be a mix of external and internal connectors</t>
  </si>
  <si>
    <t>FULL NAME</t>
  </si>
  <si>
    <t>MIN BOUND</t>
  </si>
  <si>
    <t>MAX BOUND</t>
  </si>
  <si>
    <t>LATEX SYNTAX</t>
  </si>
  <si>
    <t>Precheck that each of these internal connectors has at least one in and one out within a model.</t>
  </si>
  <si>
    <t>External connectors should be defined in a global database that documents the physical units and the quality of the connectors to be used for models integration</t>
  </si>
  <si>
    <t>MODEL UID</t>
  </si>
  <si>
    <t>MODEL NAME</t>
  </si>
  <si>
    <t>AUTHORS AND CONTRIBUTORS</t>
  </si>
  <si>
    <t>VERSION</t>
  </si>
  <si>
    <t>CONFIDENTIALITY</t>
  </si>
  <si>
    <t>CREATION DATE</t>
  </si>
  <si>
    <t>REFERENCES</t>
  </si>
  <si>
    <t>GRADE</t>
  </si>
  <si>
    <t>SOFTWARE</t>
  </si>
  <si>
    <t>LAST UPDATED</t>
  </si>
  <si>
    <t>KEYWORDS</t>
  </si>
  <si>
    <t>REFERENCE CAPACITY 
(MAIN PRODUCT/FEEDSTOCK)</t>
  </si>
  <si>
    <t>DOI</t>
  </si>
  <si>
    <t>BLOCK FLOW DIAGRAM ( .png or .svg)</t>
  </si>
  <si>
    <t>CONTACT INFO</t>
  </si>
  <si>
    <t>daniel.florezorrego@epfl.ch, oktay.boztas@epfl.ch</t>
  </si>
  <si>
    <t>MAIN RELATED PUBLICATION</t>
  </si>
  <si>
    <t>MODEL STATUS</t>
  </si>
  <si>
    <t>Maintained</t>
  </si>
  <si>
    <t>SUPPLEMENTARY MATERIAL</t>
  </si>
  <si>
    <t>AUTHORS</t>
  </si>
  <si>
    <t>SIZE</t>
  </si>
  <si>
    <t>FORMAT</t>
  </si>
  <si>
    <t>LIST OF SUPPLEMENTARY MATERIAL</t>
  </si>
  <si>
    <t>No.</t>
  </si>
  <si>
    <t>DATE</t>
  </si>
  <si>
    <t>COMMENTS</t>
  </si>
  <si>
    <t>CONTRIBUTOR</t>
  </si>
  <si>
    <t>1.0.1</t>
  </si>
  <si>
    <t>Original file</t>
  </si>
  <si>
    <t>PARAMETER</t>
  </si>
  <si>
    <t>See SUPPL MATERIAL tab</t>
  </si>
  <si>
    <t>VARIABLE NAME</t>
  </si>
  <si>
    <t>SOFTWARE FILE</t>
  </si>
  <si>
    <t>UID</t>
  </si>
  <si>
    <t>Metadata is important for model documentation and versioning, as well as for authorship and supplementary material indexation</t>
  </si>
  <si>
    <t>SHARING LAYER</t>
  </si>
  <si>
    <t>SUBTYPE</t>
  </si>
  <si>
    <t>REFERENCE</t>
  </si>
  <si>
    <t>INLET TEMPERATURE UNIT</t>
  </si>
  <si>
    <t>OUTLET TEMPERATURE UNIT</t>
  </si>
  <si>
    <t>OUTLET ENTHALPY FLOW UNIT</t>
  </si>
  <si>
    <t>SPEC HEAT CAP UNIT</t>
  </si>
  <si>
    <t>INLET TEMPERATURE VALUE</t>
  </si>
  <si>
    <t>OUTLET TEMPERATURE VALUE</t>
  </si>
  <si>
    <t>INLET ENTHALPY FLOW VALUE</t>
  </si>
  <si>
    <t>INLET ENTHALPY FLOW UNIT</t>
  </si>
  <si>
    <t>OUTLET ENTHALPY FLOW VALUE</t>
  </si>
  <si>
    <t>SPEC HEAT CAP VALUE</t>
  </si>
  <si>
    <t>MASS FLOW VALUE</t>
  </si>
  <si>
    <t>MASS FLOW UNIT</t>
  </si>
  <si>
    <t>DTMIN CONTR VALUE</t>
  </si>
  <si>
    <t>DTMIN CONTR UNIT</t>
  </si>
  <si>
    <t>HEAT TRANSFER COEF VALUE</t>
  </si>
  <si>
    <t>HEAT TRANSFER COEF UNIT</t>
  </si>
  <si>
    <t>REFERENCE STREAM</t>
  </si>
  <si>
    <t>Obtain investment from equipments cost database, which already provides the application range</t>
  </si>
  <si>
    <t>METADATA</t>
  </si>
  <si>
    <t>The metadata section includes essential metadata about the model. The information provided ensures clear classification, proper attribution, and traceability by capturing key details about the model’s identity, origin, and context.</t>
  </si>
  <si>
    <t>Interconnections between processes and energy technologies are established via connectors, which serve as structured representations of mass, electricity, and heat flows. They are analogous to pipelines that is mediating the exchange of flows at the boundaries of units. They can be categorised as:
- External connectors in case they are realizing an exchange between the unit and technosphere or environment. Example to external connectors are feedstock, product, waste or emission flows.
- Internal connectors, which represent exchanges occurring between subprocesses, where the flows remain within the boundaries of the overall process.</t>
  </si>
  <si>
    <t>Units are blocks that represent the transformations occurring within a defined boundary of a process or energy technology. These transformations are expressed through connector. Units may have material flows, electricity consumption or supply, and heat demand or supply, represented by hot and cold heat streams. Units are considered to be linearly scalable within a defined capacity range during MILP optimization, specified by minimum and maximum multipliers. The units are defined for a reference capacity.</t>
  </si>
  <si>
    <t>Digital object identifier of the model</t>
  </si>
  <si>
    <t>Description of the model for discoverability and overview</t>
  </si>
  <si>
    <t>List of supplementary material of the model</t>
  </si>
  <si>
    <t>Keeps a clear version history</t>
  </si>
  <si>
    <t>The level of sensitivity can be indicated as open, restricted, confidential</t>
  </si>
  <si>
    <t>Authors and contributors to the development of the model with their affiliated organizations.</t>
  </si>
  <si>
    <t>Contact information of the authors and contributors</t>
  </si>
  <si>
    <t>Maintained or Archived model</t>
  </si>
  <si>
    <t>The sharing layer is the extent of detail adopted for the model at certain time</t>
  </si>
  <si>
    <t>Black-box for static or surrogate models, Gray-box for partly adjustable models, and White-box for models with flowsheet</t>
  </si>
  <si>
    <t>The reference capacity of the model can be defined based on the main product</t>
  </si>
  <si>
    <t>Technology readiness level of the model. The minimum TRL corresponds to the minimum level considering the model units</t>
  </si>
  <si>
    <t>Link to the main related publication(s) to the model</t>
  </si>
  <si>
    <t>References used during the model development can be provided in a .bib file</t>
  </si>
  <si>
    <t>Physycal file of the model (if available), otherwise, N.A.</t>
  </si>
  <si>
    <t>Graphical representation of the block flow diagram of the model</t>
  </si>
  <si>
    <t>Link to the repository where the model is alternatively stored</t>
  </si>
  <si>
    <r>
      <rPr>
        <b/>
        <sz val="11"/>
        <color theme="1"/>
        <rFont val="Calibri"/>
        <family val="2"/>
        <scheme val="minor"/>
      </rPr>
      <t>Calculated</t>
    </r>
    <r>
      <rPr>
        <sz val="11"/>
        <color theme="1"/>
        <rFont val="Calibri"/>
        <family val="2"/>
        <scheme val="minor"/>
      </rPr>
      <t>: These are derived variables, calculated based on the previous types of variables and are considered as dependent variables</t>
    </r>
  </si>
  <si>
    <t>TEMPERATURE VALUE</t>
  </si>
  <si>
    <t>PRESSURE VALUE</t>
  </si>
  <si>
    <t>FLOW VALUE</t>
  </si>
  <si>
    <t>FLOW UNIT</t>
  </si>
  <si>
    <t>UNIT</t>
  </si>
  <si>
    <t>Compare Fmin and Fmax to define if it scalable of fixed, if fixed Fmin=Fmax=Fmult</t>
  </si>
  <si>
    <t>FORMULA OR PATH</t>
  </si>
  <si>
    <t>DEFAULT VALUE</t>
  </si>
  <si>
    <t>None</t>
  </si>
  <si>
    <t>Proton-exchange membrane fuel cell</t>
  </si>
  <si>
    <t>kW</t>
  </si>
  <si>
    <t>CONTEXT</t>
  </si>
  <si>
    <t>Temperature of the fuel cell</t>
  </si>
  <si>
    <t>MANDATORY</t>
  </si>
  <si>
    <t>$T_{cell}}$</t>
  </si>
  <si>
    <t>DECISION</t>
  </si>
  <si>
    <t xml:space="preserve"> Mass flow of the hydrogen consumed in the fuel cell</t>
  </si>
  <si>
    <t>kg/h</t>
  </si>
  <si>
    <t>$\dot{m}_{hydrogen}}$</t>
  </si>
  <si>
    <t>H2_MOL</t>
  </si>
  <si>
    <t>LITERATURE</t>
  </si>
  <si>
    <t xml:space="preserve"> Molecular mass of hydrogen consumed</t>
  </si>
  <si>
    <t>PRIVATE</t>
  </si>
  <si>
    <t>kg/kmol</t>
  </si>
  <si>
    <t>$M_{hydrogen}}$</t>
  </si>
  <si>
    <t>H2O_MOL</t>
  </si>
  <si>
    <t>Molecular mass of water</t>
  </si>
  <si>
    <t>$M_{water}}$</t>
  </si>
  <si>
    <t>O2_MOL</t>
  </si>
  <si>
    <t xml:space="preserve"> Molecular mass of oxygen</t>
  </si>
  <si>
    <t>$M_{oxygen}}$</t>
  </si>
  <si>
    <t>F</t>
  </si>
  <si>
    <t>Faraday constant</t>
  </si>
  <si>
    <t>As/mol</t>
  </si>
  <si>
    <t>$F$</t>
  </si>
  <si>
    <t>Voltage of the cell</t>
  </si>
  <si>
    <t>V</t>
  </si>
  <si>
    <t>$V_{cell}}$</t>
  </si>
  <si>
    <t>Efficiency of the cell</t>
  </si>
  <si>
    <t>$eta_{cell}}$</t>
  </si>
  <si>
    <t>Specific investment cost of the fuell cell</t>
  </si>
  <si>
    <t>Eur/kW</t>
  </si>
  <si>
    <t>$C_{cell}}$</t>
  </si>
  <si>
    <t>Minimum temperature difference contribution of the streams</t>
  </si>
  <si>
    <t>$Delta T_{stream}}$</t>
  </si>
  <si>
    <t>$T_{rec, cell}}$</t>
  </si>
  <si>
    <t>i</t>
  </si>
  <si>
    <t>Interest rate</t>
  </si>
  <si>
    <t>$i$</t>
  </si>
  <si>
    <t>n</t>
  </si>
  <si>
    <t xml:space="preserve"> Lifetime</t>
  </si>
  <si>
    <t>$L_{equipment}}$</t>
  </si>
  <si>
    <t>Molar flow of hydrogen into the fuel cell</t>
  </si>
  <si>
    <t>kmol/h</t>
  </si>
  <si>
    <t>$\dot{n}_{hydrogen}}$</t>
  </si>
  <si>
    <t>Volumetric flow of water out of the fuel cell</t>
  </si>
  <si>
    <t>$Q_{water}}$</t>
  </si>
  <si>
    <t xml:space="preserve"> Mass flow of oxygen into the fuel cell</t>
  </si>
  <si>
    <t>$\dot{m}_{oxygen}}$</t>
  </si>
  <si>
    <t xml:space="preserve"> Fuel cell current</t>
  </si>
  <si>
    <t>A</t>
  </si>
  <si>
    <t>$I_{cell}}$</t>
  </si>
  <si>
    <t>MEASURED</t>
  </si>
  <si>
    <t>Fuel cell power output</t>
  </si>
  <si>
    <t>$P_{cell}}$</t>
  </si>
  <si>
    <t>Fuel cell heat output</t>
  </si>
  <si>
    <t>$Q_{cell}}$</t>
  </si>
  <si>
    <t>Annualized investment of PEM fuel cell</t>
  </si>
  <si>
    <t>$IC_{cell}}$</t>
  </si>
  <si>
    <t>ELECTRICITY</t>
  </si>
  <si>
    <t>Electricity</t>
  </si>
  <si>
    <t>OXYVENT</t>
  </si>
  <si>
    <t>Oxygen</t>
  </si>
  <si>
    <t>EMISSIONS</t>
  </si>
  <si>
    <t>bar</t>
  </si>
  <si>
    <t>(V)</t>
  </si>
  <si>
    <t>MASSFRAC:02[1]</t>
  </si>
  <si>
    <t>HYDROGEN</t>
  </si>
  <si>
    <t>Hydrogen</t>
  </si>
  <si>
    <t>MASSFRAC:H2[1]</t>
  </si>
  <si>
    <t>WATER</t>
  </si>
  <si>
    <t>Water</t>
  </si>
  <si>
    <t>MASS</t>
  </si>
  <si>
    <t>(L)</t>
  </si>
  <si>
    <t>MASSFRAC:H2O[1]</t>
  </si>
  <si>
    <t>PEM_Fuel_Cell</t>
  </si>
  <si>
    <t>OUT</t>
  </si>
  <si>
    <t>IN</t>
  </si>
  <si>
    <t>MASSFRAC:H20[1]</t>
  </si>
  <si>
    <t>Heat_PEMfuelc</t>
  </si>
  <si>
    <t>PEM_Fuel_Cell_Stack</t>
  </si>
  <si>
    <t>[1] Fuel Cell Systems Explained, 2003, Second Edition, James Larminie and Andrew Dicks, John Wiley &amp; Sons, Ltd ISBN: 0-470-84857-X, available at: https://onlinelibrary.wiley.com/doi/pdf/10.1002/9781118878330.app2</t>
  </si>
  <si>
    <t>Fuel Cell, Hydrogen, Oxygen, Electricity, Energy Conversion</t>
  </si>
  <si>
    <t>This model represent a PEM fuel cell</t>
  </si>
  <si>
    <t>Figures/PEMFuelCell.svg</t>
  </si>
  <si>
    <t>Produced electricity</t>
  </si>
  <si>
    <t>Consumed oxygen</t>
  </si>
  <si>
    <t>Consumed hydrogen</t>
  </si>
  <si>
    <t>Condensed water</t>
  </si>
  <si>
    <t>T</t>
  </si>
  <si>
    <t>MASSF_H2_IN</t>
  </si>
  <si>
    <t>EFFIC</t>
  </si>
  <si>
    <t>SIC_VAR</t>
  </si>
  <si>
    <t>DT_MIN</t>
  </si>
  <si>
    <t>T_rec</t>
  </si>
  <si>
    <t>MOLF_H2_IN</t>
  </si>
  <si>
    <t>MASSF_H2O_OUT</t>
  </si>
  <si>
    <t>MASSF_O2_IN</t>
  </si>
  <si>
    <t>POWER_EL_OUT</t>
  </si>
  <si>
    <t>QF_OUT</t>
  </si>
  <si>
    <t>IC_VAR</t>
  </si>
  <si>
    <t>MASSF_H2_IN/H2_MOL</t>
  </si>
  <si>
    <t>MOLF_H2_IN*H2O_MOL/1000</t>
  </si>
  <si>
    <t>0.5*MOLF_H2_IN*O2_MOL</t>
  </si>
  <si>
    <t>POWER_EL_OUT*(1-EFFIC)/EFFIC</t>
  </si>
  <si>
    <t>SIC_VAR*POWER_EL_OUT*(i*((i+1)^n))/((i+1)^(n-1))</t>
  </si>
  <si>
    <t>Yes</t>
  </si>
  <si>
    <t>No</t>
  </si>
  <si>
    <t>°C</t>
  </si>
  <si>
    <t>K</t>
  </si>
  <si>
    <t>kJ/kgK</t>
  </si>
  <si>
    <t>kW/m2K</t>
  </si>
  <si>
    <t>DEFAULT</t>
  </si>
  <si>
    <t>year</t>
  </si>
  <si>
    <t>eur/kW</t>
  </si>
  <si>
    <t>Asset</t>
  </si>
  <si>
    <t>@Florez-Orrego et al</t>
  </si>
  <si>
    <t>The electricity produced by the fuel cell (in kW) is exported. Oxygen and hydrogen are imported. The water produced by the fuel cell (in kg/h) is exported.</t>
  </si>
  <si>
    <t>There is one heat stream that carries away the waste heat produced during operation.</t>
  </si>
  <si>
    <t xml:space="preserve"> Mass flow of the hydrogen</t>
  </si>
  <si>
    <t xml:space="preserve"> Molecular mass of hydrogen </t>
  </si>
  <si>
    <t>Minimum temperature difference</t>
  </si>
  <si>
    <t>Molar flow of hydrogen</t>
  </si>
  <si>
    <t xml:space="preserve"> Mass flow of oxygen</t>
  </si>
  <si>
    <t>Annualized investment</t>
  </si>
  <si>
    <t>Specific investment cost</t>
  </si>
  <si>
    <t>PEMFuelCell</t>
  </si>
  <si>
    <t>Drawio</t>
  </si>
  <si>
    <t>.svg</t>
  </si>
  <si>
    <t>50 kB</t>
  </si>
  <si>
    <t>I_OUT</t>
  </si>
  <si>
    <t>Scalable PEM system converting H2/O2 into 132.7 kW electricity and water. Includes stack, pumps, and heat exchangers with an 80°C waste heat output.</t>
  </si>
  <si>
    <t>The PEM fuel cell system is composed of the fuel cell stack, 3 pumps for the lean air, oxygen and water outlet annd 2 heat exchangers for the water condensation and the air cooling.</t>
  </si>
  <si>
    <t>Mass flow of water</t>
  </si>
  <si>
    <t xml:space="preserve">Cooling return temperature </t>
  </si>
  <si>
    <t>Cooling return of the fuel cell</t>
  </si>
  <si>
    <t>Hot</t>
  </si>
  <si>
    <t>eur/y</t>
  </si>
  <si>
    <t>1. Overview</t>
  </si>
  <si>
    <t>2. Faraday’s Law and Power Output</t>
  </si>
  <si>
    <t>3. Design Constraints</t>
  </si>
  <si>
    <t>4. Key Model Parameters</t>
  </si>
  <si>
    <t>5. References</t>
  </si>
  <si>
    <t>2*F*1000*MOLF_H2_IN/3600</t>
  </si>
  <si>
    <t>V*I_OUT*EFFIC/1000</t>
  </si>
  <si>
    <t>Water cooling of the electrolizer</t>
  </si>
  <si>
    <t>EPFL IPESE research group</t>
  </si>
  <si>
    <t>The Low-Temperature Proton Exchange Membrane (PEM) Fuel Cell is an electrochemical device that converts the chemical energy of hydrogen directly into electrical power. Unlike combustion-based systems, it operates without thermal-to-mechanical conversion, allowing for high efficiency and zero local carbon emissions.</t>
  </si>
  <si>
    <t>The stack generates liquid water and low-grade waste heat as byproducts. An integrated cooling system extracts this thermal energy, entering the stack at a return temperature (T_rec) and exiting at the stack operating temperature (T).</t>
  </si>
  <si>
    <t>The electrical current produced is directly proportional to the molar flow rate of hydrogen consumed (governed by Faraday’s Law). The net electrical power output is determined by the product of the cell voltage, generated current, and operational efficiency.</t>
  </si>
  <si>
    <t>The stack temperature must be maintained within the membrane's stability limits (typically 60-90 °C). A minimum temperature difference (DT_MIN) is enforced for internal heat exchangers to ensure feasible heat transfer.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</si>
</sst>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font>
    <font>
      <sz val="11"/>
      <color theme="1"/>
      <name val="Calibri"/>
      <family val="2"/>
    </font>
    <font>
      <sz val="11"/>
      <color rgb="FF000000"/>
      <name val="Calibri"/>
      <family val="2"/>
    </font>
    <font>
      <b/>
      <sz val="11"/>
      <color rgb="FFFF0000"/>
      <name val="Calibri"/>
      <family val="2"/>
    </font>
    <font>
      <sz val="11"/>
      <color rgb="FF000000"/>
      <name val="Calibri"/>
      <family val="2"/>
      <scheme val="minor"/>
    </font>
    <font>
      <sz val="11"/>
      <color theme="1"/>
      <name val="Calibri"/>
      <family val="2"/>
      <scheme val="minor"/>
    </font>
  </fonts>
  <fills count="13">
    <fill>
      <patternFill patternType="none"/>
    </fill>
    <fill>
      <patternFill patternType="gray125"/>
    </fill>
    <fill>
      <patternFill patternType="solid">
        <fgColor rgb="FFBDD6EE"/>
        <bgColor rgb="FFBDD6EE"/>
      </patternFill>
    </fill>
    <fill>
      <patternFill patternType="solid">
        <fgColor theme="0"/>
        <bgColor theme="0"/>
      </patternFill>
    </fill>
    <fill>
      <patternFill patternType="solid">
        <fgColor rgb="FFFFFFFF"/>
        <bgColor rgb="FFFFFFFF"/>
      </patternFill>
    </fill>
    <fill>
      <patternFill patternType="solid">
        <fgColor rgb="FF9CC2E5"/>
        <bgColor rgb="FF9CC2E5"/>
      </patternFill>
    </fill>
    <fill>
      <patternFill patternType="solid">
        <fgColor theme="0"/>
        <bgColor indexed="64"/>
      </patternFill>
    </fill>
    <fill>
      <patternFill patternType="solid">
        <fgColor theme="2"/>
        <bgColor indexed="64"/>
      </patternFill>
    </fill>
    <fill>
      <patternFill patternType="solid">
        <fgColor theme="2"/>
        <bgColor rgb="FFFFFFFF"/>
      </patternFill>
    </fill>
    <fill>
      <patternFill patternType="solid">
        <fgColor theme="5" tint="0.79998168889431442"/>
        <bgColor theme="0"/>
      </patternFill>
    </fill>
    <fill>
      <patternFill patternType="solid">
        <fgColor theme="5" tint="0.79998168889431442"/>
        <bgColor indexed="64"/>
      </patternFill>
    </fill>
    <fill>
      <patternFill patternType="solid">
        <fgColor theme="5" tint="0.79998168889431442"/>
        <bgColor rgb="FFFFFFFF"/>
      </patternFill>
    </fill>
    <fill>
      <patternFill patternType="solid">
        <fgColor rgb="FFDDEBF7"/>
        <bgColor indexed="64"/>
      </patternFill>
    </fill>
  </fills>
  <borders count="81">
    <border>
      <left/>
      <right/>
      <top/>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bottom/>
      <diagonal/>
    </border>
    <border>
      <left/>
      <right/>
      <top/>
      <bottom/>
      <diagonal/>
    </border>
    <border>
      <left/>
      <right/>
      <top/>
      <bottom/>
      <diagonal/>
    </border>
    <border>
      <left/>
      <right/>
      <top/>
      <bottom/>
      <diagonal/>
    </border>
    <border>
      <left style="medium">
        <color rgb="FFFFFFFF"/>
      </left>
      <right style="medium">
        <color rgb="FFFFFFFF"/>
      </right>
      <top style="medium">
        <color rgb="FFFFFFFF"/>
      </top>
      <bottom style="medium">
        <color rgb="FFFFFFFF"/>
      </bottom>
      <diagonal/>
    </border>
    <border>
      <left style="medium">
        <color rgb="FF000000"/>
      </left>
      <right/>
      <top/>
      <bottom/>
      <diagonal/>
    </border>
    <border>
      <left/>
      <right style="medium">
        <color rgb="FF000000"/>
      </right>
      <top/>
      <bottom/>
      <diagonal/>
    </border>
    <border>
      <left style="thin">
        <color rgb="FFFFFFFF"/>
      </left>
      <right style="thin">
        <color rgb="FFFFFFFF"/>
      </right>
      <top/>
      <bottom style="thin">
        <color rgb="FFFFFFFF"/>
      </bottom>
      <diagonal/>
    </border>
    <border>
      <left/>
      <right/>
      <top/>
      <bottom/>
      <diagonal/>
    </border>
    <border>
      <left/>
      <right/>
      <top/>
      <bottom/>
      <diagonal/>
    </border>
    <border>
      <left/>
      <right style="medium">
        <color rgb="FFFFFFFF"/>
      </right>
      <top/>
      <bottom style="medium">
        <color rgb="FFFFFFFF"/>
      </bottom>
      <diagonal/>
    </border>
    <border>
      <left style="thin">
        <color rgb="FFFFFFFF"/>
      </left>
      <right style="thin">
        <color rgb="FFFFFFFF"/>
      </right>
      <top style="thin">
        <color rgb="FFFFFFFF"/>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style="thin">
        <color rgb="FFFFFFFF"/>
      </left>
      <right style="thin">
        <color rgb="FFFFFFFF"/>
      </right>
      <top/>
      <bottom/>
      <diagonal/>
    </border>
    <border>
      <left/>
      <right/>
      <top/>
      <bottom/>
      <diagonal/>
    </border>
    <border>
      <left/>
      <right/>
      <top/>
      <bottom/>
      <diagonal/>
    </border>
    <border>
      <left style="medium">
        <color rgb="FFFFFFFF"/>
      </left>
      <right style="medium">
        <color rgb="FFFFFFFF"/>
      </right>
      <top/>
      <bottom style="medium">
        <color rgb="FFFFFFFF"/>
      </bottom>
      <diagonal/>
    </border>
    <border>
      <left style="thin">
        <color rgb="FFFFFFFF"/>
      </left>
      <right/>
      <top style="thin">
        <color rgb="FFFFFFFF"/>
      </top>
      <bottom/>
      <diagonal/>
    </border>
    <border>
      <left/>
      <right/>
      <top style="medium">
        <color rgb="FFFFFFFF"/>
      </top>
      <bottom style="medium">
        <color rgb="FFFFFFFF"/>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FFFFFF"/>
      </left>
      <right style="medium">
        <color rgb="FFFFFFFF"/>
      </right>
      <top/>
      <bottom style="medium">
        <color rgb="FFFFFFFF"/>
      </bottom>
      <diagonal/>
    </border>
    <border>
      <left/>
      <right style="medium">
        <color rgb="FFFFFFFF"/>
      </right>
      <top style="medium">
        <color rgb="FFFFFFFF"/>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bottom style="medium">
        <color rgb="FFFFFFFF"/>
      </bottom>
      <diagonal/>
    </border>
    <border>
      <left style="medium">
        <color rgb="FF000000"/>
      </left>
      <right style="thin">
        <color rgb="FFCCCCCC"/>
      </right>
      <top style="medium">
        <color rgb="FF000000"/>
      </top>
      <bottom style="medium">
        <color rgb="FF000000"/>
      </bottom>
      <diagonal/>
    </border>
    <border>
      <left style="thin">
        <color rgb="FFCCCCCC"/>
      </left>
      <right style="thin">
        <color rgb="FFCCCCCC"/>
      </right>
      <top style="medium">
        <color rgb="FF000000"/>
      </top>
      <bottom style="medium">
        <color rgb="FF000000"/>
      </bottom>
      <diagonal/>
    </border>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style="medium">
        <color rgb="FFFFFFFF"/>
      </top>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style="medium">
        <color rgb="FF000000"/>
      </top>
      <bottom style="medium">
        <color indexed="64"/>
      </bottom>
      <diagonal/>
    </border>
    <border>
      <left style="medium">
        <color indexed="64"/>
      </left>
      <right/>
      <top/>
      <bottom/>
      <diagonal/>
    </border>
    <border>
      <left/>
      <right style="medium">
        <color indexed="64"/>
      </right>
      <top/>
      <bottom/>
      <diagonal/>
    </border>
    <border>
      <left/>
      <right/>
      <top style="medium">
        <color rgb="FF000000"/>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rgb="FF000000"/>
      </right>
      <top style="medium">
        <color rgb="FF000000"/>
      </top>
      <bottom style="medium">
        <color indexed="64"/>
      </bottom>
      <diagonal/>
    </border>
    <border>
      <left style="medium">
        <color rgb="FF000000"/>
      </left>
      <right style="thin">
        <color rgb="FFCCCCCC"/>
      </right>
      <top/>
      <bottom/>
      <diagonal/>
    </border>
    <border>
      <left style="thin">
        <color rgb="FFCCCCCC"/>
      </left>
      <right style="thin">
        <color rgb="FFCCCCCC"/>
      </right>
      <top/>
      <bottom/>
      <diagonal/>
    </border>
    <border>
      <left style="thin">
        <color rgb="FFCCCCCC"/>
      </left>
      <right style="thin">
        <color rgb="FFCCCCCC"/>
      </right>
      <top style="medium">
        <color rgb="FF000000"/>
      </top>
      <bottom/>
      <diagonal/>
    </border>
    <border>
      <left style="thin">
        <color rgb="FFCCCCCC"/>
      </left>
      <right/>
      <top style="medium">
        <color rgb="FF000000"/>
      </top>
      <bottom/>
      <diagonal/>
    </border>
    <border>
      <left/>
      <right/>
      <top/>
      <bottom style="medium">
        <color rgb="FF000000"/>
      </bottom>
      <diagonal/>
    </border>
    <border>
      <left/>
      <right style="medium">
        <color rgb="FF000000"/>
      </right>
      <top/>
      <bottom style="medium">
        <color rgb="FF000000"/>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medium">
        <color rgb="FF000000"/>
      </right>
      <top style="thin">
        <color theme="0" tint="-0.14999847407452621"/>
      </top>
      <bottom style="thin">
        <color theme="0" tint="-0.14999847407452621"/>
      </bottom>
      <diagonal/>
    </border>
    <border>
      <left style="thin">
        <color theme="0" tint="-0.14999847407452621"/>
      </left>
      <right style="medium">
        <color rgb="FF000000"/>
      </right>
      <top style="thin">
        <color theme="0" tint="-0.14999847407452621"/>
      </top>
      <bottom/>
      <diagonal/>
    </border>
    <border>
      <left/>
      <right style="thin">
        <color theme="0" tint="-0.14999847407452621"/>
      </right>
      <top style="thin">
        <color theme="0" tint="-0.14999847407452621"/>
      </top>
      <bottom style="medium">
        <color rgb="FF000000"/>
      </bottom>
      <diagonal/>
    </border>
    <border>
      <left style="thin">
        <color theme="0" tint="-0.14999847407452621"/>
      </left>
      <right style="thin">
        <color theme="0" tint="-0.14999847407452621"/>
      </right>
      <top style="thin">
        <color theme="0" tint="-0.14999847407452621"/>
      </top>
      <bottom style="medium">
        <color rgb="FF000000"/>
      </bottom>
      <diagonal/>
    </border>
    <border>
      <left style="thin">
        <color theme="0" tint="-0.14999847407452621"/>
      </left>
      <right style="medium">
        <color rgb="FF000000"/>
      </right>
      <top style="thin">
        <color theme="0" tint="-0.14999847407452621"/>
      </top>
      <bottom style="medium">
        <color rgb="FF000000"/>
      </bottom>
      <diagonal/>
    </border>
    <border>
      <left/>
      <right style="thin">
        <color theme="0" tint="-0.14999847407452621"/>
      </right>
      <top style="medium">
        <color rgb="FF000000"/>
      </top>
      <bottom style="thin">
        <color theme="0" tint="-0.14999847407452621"/>
      </bottom>
      <diagonal/>
    </border>
    <border>
      <left style="thin">
        <color theme="0" tint="-0.14999847407452621"/>
      </left>
      <right style="thin">
        <color theme="0" tint="-0.14999847407452621"/>
      </right>
      <top style="medium">
        <color rgb="FF000000"/>
      </top>
      <bottom style="thin">
        <color theme="0" tint="-0.14999847407452621"/>
      </bottom>
      <diagonal/>
    </border>
    <border>
      <left style="thin">
        <color theme="0" tint="-0.14999847407452621"/>
      </left>
      <right style="medium">
        <color rgb="FF000000"/>
      </right>
      <top style="medium">
        <color rgb="FF000000"/>
      </top>
      <bottom style="thin">
        <color theme="0" tint="-0.14999847407452621"/>
      </bottom>
      <diagonal/>
    </border>
    <border>
      <left/>
      <right style="thin">
        <color theme="0" tint="-0.14999847407452621"/>
      </right>
      <top style="medium">
        <color rgb="FF000000"/>
      </top>
      <bottom style="medium">
        <color rgb="FF000000"/>
      </bottom>
      <diagonal/>
    </border>
    <border>
      <left style="thin">
        <color theme="0" tint="-0.14999847407452621"/>
      </left>
      <right style="thin">
        <color theme="0" tint="-0.14999847407452621"/>
      </right>
      <top style="medium">
        <color rgb="FF000000"/>
      </top>
      <bottom style="medium">
        <color rgb="FF000000"/>
      </bottom>
      <diagonal/>
    </border>
    <border>
      <left style="thin">
        <color theme="0" tint="-0.14999847407452621"/>
      </left>
      <right style="medium">
        <color rgb="FF000000"/>
      </right>
      <top style="medium">
        <color rgb="FF000000"/>
      </top>
      <bottom style="medium">
        <color rgb="FF000000"/>
      </bottom>
      <diagonal/>
    </border>
    <border>
      <left/>
      <right/>
      <top style="medium">
        <color indexed="64"/>
      </top>
      <bottom/>
      <diagonal/>
    </border>
    <border>
      <left style="thick">
        <color indexed="64"/>
      </left>
      <right style="thick">
        <color indexed="64"/>
      </right>
      <top style="thick">
        <color indexed="64"/>
      </top>
      <bottom style="thick">
        <color indexed="64"/>
      </bottom>
      <diagonal/>
    </border>
  </borders>
  <cellStyleXfs count="2">
    <xf numFmtId="0" fontId="0" fillId="0" borderId="0"/>
    <xf numFmtId="0" fontId="15" fillId="0" borderId="42"/>
  </cellStyleXfs>
  <cellXfs count="267">
    <xf numFmtId="0" fontId="0" fillId="0" borderId="0" xfId="0"/>
    <xf numFmtId="0" fontId="11" fillId="3" borderId="4" xfId="0" applyFont="1" applyFill="1" applyBorder="1" applyAlignment="1">
      <alignment horizontal="center" vertical="center"/>
    </xf>
    <xf numFmtId="0" fontId="11" fillId="3" borderId="5" xfId="0" applyFont="1" applyFill="1" applyBorder="1" applyAlignment="1">
      <alignment horizontal="left" vertical="center"/>
    </xf>
    <xf numFmtId="0" fontId="8" fillId="0" borderId="7" xfId="0" applyFont="1" applyBorder="1"/>
    <xf numFmtId="0" fontId="8" fillId="4" borderId="7" xfId="0" applyFont="1" applyFill="1" applyBorder="1"/>
    <xf numFmtId="0" fontId="10" fillId="4" borderId="7" xfId="0" applyFont="1" applyFill="1" applyBorder="1" applyAlignment="1">
      <alignment horizontal="center"/>
    </xf>
    <xf numFmtId="0" fontId="9" fillId="0" borderId="14" xfId="0" applyFont="1" applyBorder="1"/>
    <xf numFmtId="0" fontId="13" fillId="4" borderId="1" xfId="0" applyFont="1" applyFill="1" applyBorder="1" applyAlignment="1">
      <alignment horizontal="left"/>
    </xf>
    <xf numFmtId="0" fontId="11" fillId="4" borderId="1" xfId="0" applyFont="1" applyFill="1" applyBorder="1"/>
    <xf numFmtId="0" fontId="11" fillId="4" borderId="1" xfId="0" applyFont="1" applyFill="1" applyBorder="1" applyAlignment="1">
      <alignment horizontal="left"/>
    </xf>
    <xf numFmtId="0" fontId="8" fillId="4" borderId="1" xfId="0" applyFont="1" applyFill="1" applyBorder="1" applyAlignment="1">
      <alignment horizontal="left"/>
    </xf>
    <xf numFmtId="0" fontId="8" fillId="4" borderId="1" xfId="0" applyFont="1" applyFill="1" applyBorder="1"/>
    <xf numFmtId="0" fontId="9" fillId="4" borderId="1" xfId="0" applyFont="1" applyFill="1" applyBorder="1"/>
    <xf numFmtId="0" fontId="7" fillId="4" borderId="14" xfId="0" applyFont="1" applyFill="1" applyBorder="1"/>
    <xf numFmtId="0" fontId="8" fillId="4" borderId="14" xfId="0" applyFont="1" applyFill="1" applyBorder="1"/>
    <xf numFmtId="0" fontId="11" fillId="4" borderId="14" xfId="0" applyFont="1" applyFill="1" applyBorder="1"/>
    <xf numFmtId="0" fontId="7" fillId="4" borderId="1" xfId="0" applyFont="1" applyFill="1" applyBorder="1"/>
    <xf numFmtId="0" fontId="11" fillId="4" borderId="26" xfId="0" applyFont="1" applyFill="1" applyBorder="1" applyAlignment="1">
      <alignment horizontal="center"/>
    </xf>
    <xf numFmtId="0" fontId="11" fillId="4" borderId="20" xfId="0" applyFont="1" applyFill="1" applyBorder="1" applyAlignment="1">
      <alignment horizontal="center"/>
    </xf>
    <xf numFmtId="0" fontId="11" fillId="4" borderId="27" xfId="0" applyFont="1" applyFill="1" applyBorder="1" applyAlignment="1">
      <alignment horizontal="center"/>
    </xf>
    <xf numFmtId="0" fontId="11" fillId="4" borderId="15" xfId="0" applyFont="1" applyFill="1" applyBorder="1" applyAlignment="1">
      <alignment horizontal="center"/>
    </xf>
    <xf numFmtId="0" fontId="13" fillId="4" borderId="16" xfId="0" applyFont="1" applyFill="1" applyBorder="1" applyAlignment="1">
      <alignment horizontal="left"/>
    </xf>
    <xf numFmtId="0" fontId="11" fillId="4" borderId="7" xfId="0" applyFont="1" applyFill="1" applyBorder="1" applyAlignment="1">
      <alignment horizontal="center"/>
    </xf>
    <xf numFmtId="0" fontId="10" fillId="4" borderId="15" xfId="0" applyFont="1" applyFill="1" applyBorder="1" applyAlignment="1">
      <alignment horizontal="center" vertical="center" wrapText="1"/>
    </xf>
    <xf numFmtId="0" fontId="11" fillId="3" borderId="7" xfId="0" applyFont="1" applyFill="1" applyBorder="1" applyAlignment="1">
      <alignment horizontal="center"/>
    </xf>
    <xf numFmtId="0" fontId="13" fillId="3" borderId="7" xfId="0" applyFont="1" applyFill="1" applyBorder="1" applyAlignment="1">
      <alignment horizontal="left"/>
    </xf>
    <xf numFmtId="0" fontId="10" fillId="4" borderId="0" xfId="0" applyFont="1" applyFill="1" applyAlignment="1">
      <alignment horizontal="center"/>
    </xf>
    <xf numFmtId="0" fontId="11" fillId="3" borderId="6" xfId="0" applyFont="1" applyFill="1" applyBorder="1" applyAlignment="1">
      <alignment horizontal="center"/>
    </xf>
    <xf numFmtId="0" fontId="13" fillId="3" borderId="6" xfId="0" applyFont="1" applyFill="1" applyBorder="1" applyAlignment="1">
      <alignment horizontal="left"/>
    </xf>
    <xf numFmtId="0" fontId="11" fillId="3" borderId="5" xfId="0" applyFont="1" applyFill="1" applyBorder="1" applyAlignment="1">
      <alignment horizontal="center"/>
    </xf>
    <xf numFmtId="0" fontId="11" fillId="3" borderId="4" xfId="0" applyFont="1" applyFill="1" applyBorder="1" applyAlignment="1">
      <alignment horizontal="center"/>
    </xf>
    <xf numFmtId="0" fontId="13" fillId="3" borderId="31" xfId="0" quotePrefix="1" applyFont="1" applyFill="1" applyBorder="1" applyAlignment="1">
      <alignment horizontal="left"/>
    </xf>
    <xf numFmtId="0" fontId="11" fillId="3" borderId="31" xfId="0" applyFont="1" applyFill="1" applyBorder="1" applyAlignment="1">
      <alignment horizontal="center"/>
    </xf>
    <xf numFmtId="0" fontId="11" fillId="3" borderId="3" xfId="0" applyFont="1" applyFill="1" applyBorder="1" applyAlignment="1">
      <alignment horizontal="center"/>
    </xf>
    <xf numFmtId="0" fontId="13" fillId="3" borderId="3" xfId="0" applyFont="1" applyFill="1" applyBorder="1" applyAlignment="1">
      <alignment horizontal="left"/>
    </xf>
    <xf numFmtId="0" fontId="13" fillId="3" borderId="20" xfId="0" applyFont="1" applyFill="1" applyBorder="1" applyAlignment="1">
      <alignment horizontal="left" vertical="center"/>
    </xf>
    <xf numFmtId="0" fontId="11" fillId="3" borderId="20" xfId="0" applyFont="1" applyFill="1" applyBorder="1" applyAlignment="1">
      <alignment horizontal="center"/>
    </xf>
    <xf numFmtId="0" fontId="13" fillId="3" borderId="7" xfId="0" quotePrefix="1" applyFont="1" applyFill="1" applyBorder="1" applyAlignment="1">
      <alignment horizontal="left"/>
    </xf>
    <xf numFmtId="0" fontId="13" fillId="3" borderId="7" xfId="0" applyFont="1" applyFill="1" applyBorder="1" applyAlignment="1">
      <alignment horizontal="left" vertical="center"/>
    </xf>
    <xf numFmtId="0" fontId="13" fillId="3" borderId="11" xfId="0" applyFont="1" applyFill="1" applyBorder="1" applyAlignment="1">
      <alignment horizontal="left" vertical="center"/>
    </xf>
    <xf numFmtId="0" fontId="13" fillId="3" borderId="12" xfId="0" applyFont="1" applyFill="1" applyBorder="1" applyAlignment="1">
      <alignment horizontal="left"/>
    </xf>
    <xf numFmtId="0" fontId="11" fillId="3" borderId="12" xfId="0" applyFont="1" applyFill="1" applyBorder="1" applyAlignment="1">
      <alignment horizontal="center"/>
    </xf>
    <xf numFmtId="0" fontId="11" fillId="3" borderId="12" xfId="0" applyFont="1" applyFill="1" applyBorder="1" applyAlignment="1">
      <alignment horizontal="left"/>
    </xf>
    <xf numFmtId="0" fontId="11" fillId="3" borderId="7" xfId="0" applyFont="1" applyFill="1" applyBorder="1" applyAlignment="1">
      <alignment horizontal="center" vertical="center"/>
    </xf>
    <xf numFmtId="0" fontId="11" fillId="3" borderId="13" xfId="0" applyFont="1" applyFill="1" applyBorder="1" applyAlignment="1">
      <alignment horizontal="center" vertical="center"/>
    </xf>
    <xf numFmtId="0" fontId="8" fillId="0" borderId="20" xfId="0" applyFont="1" applyBorder="1"/>
    <xf numFmtId="0" fontId="11" fillId="3" borderId="20" xfId="0" applyFont="1" applyFill="1" applyBorder="1" applyAlignment="1">
      <alignment horizontal="center" vertical="center"/>
    </xf>
    <xf numFmtId="0" fontId="13" fillId="3" borderId="20" xfId="0" applyFont="1" applyFill="1" applyBorder="1" applyAlignment="1">
      <alignment horizontal="left"/>
    </xf>
    <xf numFmtId="0" fontId="11" fillId="3" borderId="32" xfId="0" applyFont="1" applyFill="1" applyBorder="1" applyAlignment="1">
      <alignment horizontal="center"/>
    </xf>
    <xf numFmtId="0" fontId="11" fillId="3" borderId="16" xfId="0" applyFont="1" applyFill="1" applyBorder="1" applyAlignment="1">
      <alignment horizontal="center" vertical="center"/>
    </xf>
    <xf numFmtId="0" fontId="11" fillId="3" borderId="35" xfId="0" applyFont="1" applyFill="1" applyBorder="1" applyAlignment="1">
      <alignment horizontal="center"/>
    </xf>
    <xf numFmtId="0" fontId="13" fillId="3" borderId="5" xfId="0" quotePrefix="1" applyFont="1" applyFill="1" applyBorder="1" applyAlignment="1">
      <alignment horizontal="left"/>
    </xf>
    <xf numFmtId="0" fontId="11" fillId="3" borderId="18" xfId="0" applyFont="1" applyFill="1" applyBorder="1" applyAlignment="1">
      <alignment horizontal="center"/>
    </xf>
    <xf numFmtId="0" fontId="11" fillId="3" borderId="19" xfId="0" applyFont="1" applyFill="1" applyBorder="1" applyAlignment="1">
      <alignment horizontal="center"/>
    </xf>
    <xf numFmtId="0" fontId="13" fillId="3" borderId="11" xfId="0" quotePrefix="1" applyFont="1" applyFill="1" applyBorder="1" applyAlignment="1">
      <alignment horizontal="left"/>
    </xf>
    <xf numFmtId="0" fontId="11" fillId="4" borderId="4" xfId="0" applyFont="1" applyFill="1" applyBorder="1" applyAlignment="1">
      <alignment horizontal="center"/>
    </xf>
    <xf numFmtId="0" fontId="11" fillId="4" borderId="5" xfId="0" applyFont="1" applyFill="1" applyBorder="1" applyAlignment="1">
      <alignment horizontal="center"/>
    </xf>
    <xf numFmtId="0" fontId="11" fillId="4" borderId="3" xfId="0" applyFont="1" applyFill="1" applyBorder="1" applyAlignment="1">
      <alignment horizontal="center"/>
    </xf>
    <xf numFmtId="0" fontId="11" fillId="4" borderId="35" xfId="0" applyFont="1" applyFill="1" applyBorder="1" applyAlignment="1">
      <alignment horizontal="center"/>
    </xf>
    <xf numFmtId="0" fontId="11" fillId="4" borderId="10" xfId="0" applyFont="1" applyFill="1" applyBorder="1" applyAlignment="1">
      <alignment horizontal="center" vertical="center"/>
    </xf>
    <xf numFmtId="0" fontId="11" fillId="4" borderId="13" xfId="0" applyFont="1" applyFill="1" applyBorder="1" applyAlignment="1">
      <alignment horizontal="center" vertical="center"/>
    </xf>
    <xf numFmtId="0" fontId="11" fillId="4" borderId="20" xfId="0" applyFont="1" applyFill="1" applyBorder="1" applyAlignment="1">
      <alignment horizontal="center" vertical="center"/>
    </xf>
    <xf numFmtId="0" fontId="13" fillId="4" borderId="0" xfId="0" applyFont="1" applyFill="1" applyAlignment="1">
      <alignment horizontal="left"/>
    </xf>
    <xf numFmtId="0" fontId="11" fillId="4" borderId="0" xfId="0" applyFont="1" applyFill="1" applyAlignment="1">
      <alignment horizontal="center"/>
    </xf>
    <xf numFmtId="0" fontId="11" fillId="4" borderId="6" xfId="0" applyFont="1" applyFill="1" applyBorder="1" applyAlignment="1">
      <alignment horizontal="center"/>
    </xf>
    <xf numFmtId="0" fontId="11" fillId="4" borderId="32" xfId="0" applyFont="1" applyFill="1" applyBorder="1" applyAlignment="1">
      <alignment horizontal="center"/>
    </xf>
    <xf numFmtId="0" fontId="11" fillId="4" borderId="43" xfId="0" applyFont="1" applyFill="1" applyBorder="1" applyAlignment="1">
      <alignment horizontal="center"/>
    </xf>
    <xf numFmtId="0" fontId="0" fillId="6" borderId="0" xfId="0" applyFill="1"/>
    <xf numFmtId="0" fontId="7" fillId="0" borderId="1" xfId="0" applyFont="1" applyBorder="1" applyAlignment="1">
      <alignment horizontal="left" vertical="top"/>
    </xf>
    <xf numFmtId="0" fontId="11" fillId="3" borderId="42" xfId="0" applyFont="1" applyFill="1" applyBorder="1" applyAlignment="1">
      <alignment horizontal="left" vertical="center"/>
    </xf>
    <xf numFmtId="0" fontId="0" fillId="7" borderId="0" xfId="0" applyFill="1"/>
    <xf numFmtId="0" fontId="10" fillId="4" borderId="15" xfId="0" applyFont="1" applyFill="1" applyBorder="1" applyAlignment="1">
      <alignment horizontal="center" vertical="center"/>
    </xf>
    <xf numFmtId="2" fontId="8" fillId="4" borderId="7" xfId="0" applyNumberFormat="1" applyFont="1" applyFill="1" applyBorder="1"/>
    <xf numFmtId="0" fontId="10" fillId="2" borderId="23" xfId="0" applyFont="1" applyFill="1" applyBorder="1" applyAlignment="1">
      <alignment horizontal="left" vertical="top"/>
    </xf>
    <xf numFmtId="0" fontId="10" fillId="2" borderId="28" xfId="0" applyFont="1" applyFill="1" applyBorder="1" applyAlignment="1">
      <alignment horizontal="left" vertical="top"/>
    </xf>
    <xf numFmtId="0" fontId="10" fillId="2" borderId="29" xfId="0" applyFont="1" applyFill="1" applyBorder="1" applyAlignment="1">
      <alignment horizontal="left" vertical="top" wrapText="1"/>
    </xf>
    <xf numFmtId="0" fontId="10" fillId="2" borderId="30" xfId="0" applyFont="1" applyFill="1" applyBorder="1" applyAlignment="1">
      <alignment horizontal="left" vertical="top" wrapText="1"/>
    </xf>
    <xf numFmtId="0" fontId="10" fillId="2" borderId="24" xfId="0" applyFont="1" applyFill="1" applyBorder="1" applyAlignment="1">
      <alignment horizontal="left" vertical="top"/>
    </xf>
    <xf numFmtId="0" fontId="10" fillId="2" borderId="33" xfId="0" applyFont="1" applyFill="1" applyBorder="1" applyAlignment="1">
      <alignment horizontal="left" vertical="top"/>
    </xf>
    <xf numFmtId="0" fontId="10" fillId="2" borderId="34" xfId="0" applyFont="1" applyFill="1" applyBorder="1" applyAlignment="1">
      <alignment horizontal="left" vertical="top"/>
    </xf>
    <xf numFmtId="0" fontId="10" fillId="2" borderId="37" xfId="0" applyFont="1" applyFill="1" applyBorder="1" applyAlignment="1">
      <alignment horizontal="left" vertical="top"/>
    </xf>
    <xf numFmtId="0" fontId="10" fillId="2" borderId="36" xfId="0" applyFont="1" applyFill="1" applyBorder="1" applyAlignment="1">
      <alignment horizontal="left" vertical="top"/>
    </xf>
    <xf numFmtId="0" fontId="11" fillId="2" borderId="37" xfId="0" applyFont="1" applyFill="1" applyBorder="1" applyAlignment="1">
      <alignment horizontal="left" vertical="top"/>
    </xf>
    <xf numFmtId="0" fontId="10" fillId="2" borderId="38" xfId="0" applyFont="1" applyFill="1" applyBorder="1" applyAlignment="1">
      <alignment horizontal="left" vertical="top"/>
    </xf>
    <xf numFmtId="0" fontId="10" fillId="2" borderId="44" xfId="0" applyFont="1" applyFill="1" applyBorder="1" applyAlignment="1">
      <alignment horizontal="left" vertical="top"/>
    </xf>
    <xf numFmtId="0" fontId="10" fillId="2" borderId="46" xfId="0" applyFont="1" applyFill="1" applyBorder="1" applyAlignment="1">
      <alignment horizontal="left" vertical="top"/>
    </xf>
    <xf numFmtId="0" fontId="11" fillId="8" borderId="45" xfId="0" applyFont="1" applyFill="1" applyBorder="1" applyAlignment="1">
      <alignment horizontal="left" vertical="top" wrapText="1"/>
    </xf>
    <xf numFmtId="0" fontId="10" fillId="2" borderId="45" xfId="0" applyFont="1" applyFill="1" applyBorder="1" applyAlignment="1">
      <alignment horizontal="left" vertical="top"/>
    </xf>
    <xf numFmtId="0" fontId="11" fillId="4" borderId="17" xfId="0" applyFont="1" applyFill="1" applyBorder="1" applyAlignment="1">
      <alignment horizontal="center" vertical="center"/>
    </xf>
    <xf numFmtId="0" fontId="11" fillId="2" borderId="24" xfId="0" applyFont="1" applyFill="1" applyBorder="1" applyAlignment="1">
      <alignment horizontal="left" vertical="top"/>
    </xf>
    <xf numFmtId="0" fontId="11" fillId="2" borderId="25" xfId="0" applyFont="1" applyFill="1" applyBorder="1" applyAlignment="1">
      <alignment horizontal="left" vertical="top"/>
    </xf>
    <xf numFmtId="0" fontId="11" fillId="2" borderId="8" xfId="0" applyFont="1" applyFill="1" applyBorder="1" applyAlignment="1">
      <alignment horizontal="left" vertical="top"/>
    </xf>
    <xf numFmtId="0" fontId="11" fillId="2" borderId="42" xfId="0" applyFont="1" applyFill="1" applyBorder="1" applyAlignment="1">
      <alignment horizontal="left" vertical="top"/>
    </xf>
    <xf numFmtId="0" fontId="6" fillId="2" borderId="42" xfId="0" applyFont="1" applyFill="1" applyBorder="1" applyAlignment="1">
      <alignment horizontal="left" vertical="top"/>
    </xf>
    <xf numFmtId="0" fontId="11" fillId="2" borderId="9" xfId="0" applyFont="1" applyFill="1" applyBorder="1" applyAlignment="1">
      <alignment horizontal="left" vertical="top"/>
    </xf>
    <xf numFmtId="0" fontId="10" fillId="2" borderId="50" xfId="0" applyFont="1" applyFill="1" applyBorder="1" applyAlignment="1">
      <alignment horizontal="left" vertical="top"/>
    </xf>
    <xf numFmtId="0" fontId="10" fillId="2" borderId="51" xfId="0" applyFont="1" applyFill="1" applyBorder="1" applyAlignment="1">
      <alignment horizontal="left" vertical="top"/>
    </xf>
    <xf numFmtId="0" fontId="10" fillId="2" borderId="52" xfId="0" applyFont="1" applyFill="1" applyBorder="1" applyAlignment="1">
      <alignment horizontal="left" vertical="top"/>
    </xf>
    <xf numFmtId="0" fontId="0" fillId="6" borderId="48" xfId="0" applyFill="1" applyBorder="1"/>
    <xf numFmtId="0" fontId="10" fillId="2" borderId="53" xfId="0" applyFont="1" applyFill="1" applyBorder="1" applyAlignment="1">
      <alignment horizontal="left" vertical="center"/>
    </xf>
    <xf numFmtId="0" fontId="10" fillId="2" borderId="47" xfId="0" applyFont="1" applyFill="1" applyBorder="1" applyAlignment="1">
      <alignment horizontal="left" vertical="center"/>
    </xf>
    <xf numFmtId="0" fontId="11" fillId="3" borderId="48" xfId="0" applyFont="1" applyFill="1" applyBorder="1" applyAlignment="1">
      <alignment horizontal="right"/>
    </xf>
    <xf numFmtId="164" fontId="11" fillId="3" borderId="48" xfId="0" applyNumberFormat="1" applyFont="1" applyFill="1" applyBorder="1" applyAlignment="1">
      <alignment horizontal="right"/>
    </xf>
    <xf numFmtId="0" fontId="10" fillId="2" borderId="47" xfId="0" applyFont="1" applyFill="1" applyBorder="1" applyAlignment="1">
      <alignment horizontal="left" vertical="center" wrapText="1"/>
    </xf>
    <xf numFmtId="0" fontId="11" fillId="3" borderId="48" xfId="0" applyFont="1" applyFill="1" applyBorder="1" applyAlignment="1">
      <alignment horizontal="right" wrapText="1"/>
    </xf>
    <xf numFmtId="0" fontId="10" fillId="2" borderId="55" xfId="0" applyFont="1" applyFill="1" applyBorder="1" applyAlignment="1">
      <alignment horizontal="left" vertical="center" wrapText="1"/>
    </xf>
    <xf numFmtId="0" fontId="11" fillId="3" borderId="56" xfId="0" applyFont="1" applyFill="1" applyBorder="1" applyAlignment="1">
      <alignment horizontal="right"/>
    </xf>
    <xf numFmtId="0" fontId="10" fillId="2" borderId="50" xfId="0" applyFont="1" applyFill="1" applyBorder="1" applyAlignment="1">
      <alignment vertical="top"/>
    </xf>
    <xf numFmtId="0" fontId="10" fillId="2" borderId="51" xfId="0" applyFont="1" applyFill="1" applyBorder="1" applyAlignment="1">
      <alignment vertical="top"/>
    </xf>
    <xf numFmtId="0" fontId="10" fillId="2" borderId="52" xfId="0" applyFont="1" applyFill="1" applyBorder="1" applyAlignment="1">
      <alignment vertical="top"/>
    </xf>
    <xf numFmtId="0" fontId="11" fillId="2" borderId="41" xfId="0" applyFont="1" applyFill="1" applyBorder="1" applyAlignment="1">
      <alignment horizontal="left" vertical="top"/>
    </xf>
    <xf numFmtId="0" fontId="8" fillId="2" borderId="2" xfId="0" applyFont="1" applyFill="1" applyBorder="1" applyAlignment="1">
      <alignment vertical="top"/>
    </xf>
    <xf numFmtId="0" fontId="8" fillId="2" borderId="2" xfId="0" applyFont="1" applyFill="1" applyBorder="1" applyAlignment="1" applyProtection="1">
      <alignment vertical="top"/>
      <protection locked="0"/>
    </xf>
    <xf numFmtId="0" fontId="0" fillId="0" borderId="0" xfId="0" applyProtection="1">
      <protection locked="0"/>
    </xf>
    <xf numFmtId="0" fontId="6" fillId="0" borderId="1" xfId="0" applyFont="1" applyBorder="1" applyAlignment="1" applyProtection="1">
      <alignment horizontal="left" vertical="top" wrapText="1"/>
      <protection locked="0"/>
    </xf>
    <xf numFmtId="0" fontId="5" fillId="0" borderId="1" xfId="0" applyFont="1" applyBorder="1" applyAlignment="1" applyProtection="1">
      <alignment horizontal="left" vertical="top" wrapText="1"/>
      <protection locked="0"/>
    </xf>
    <xf numFmtId="0" fontId="6" fillId="6" borderId="0" xfId="0" applyFont="1" applyFill="1" applyAlignment="1">
      <alignment horizontal="left" vertical="center"/>
    </xf>
    <xf numFmtId="0" fontId="4" fillId="6" borderId="0" xfId="0" applyFont="1" applyFill="1" applyAlignment="1">
      <alignment horizontal="left" vertical="center"/>
    </xf>
    <xf numFmtId="0" fontId="4" fillId="4" borderId="1" xfId="0" applyFont="1" applyFill="1" applyBorder="1"/>
    <xf numFmtId="0" fontId="11" fillId="3" borderId="50" xfId="0" applyFont="1" applyFill="1" applyBorder="1" applyAlignment="1">
      <alignment horizontal="right"/>
    </xf>
    <xf numFmtId="0" fontId="11" fillId="2" borderId="40" xfId="0" applyFont="1" applyFill="1" applyBorder="1" applyAlignment="1">
      <alignment horizontal="left" vertical="top"/>
    </xf>
    <xf numFmtId="0" fontId="11" fillId="2" borderId="58" xfId="0" applyFont="1" applyFill="1" applyBorder="1" applyAlignment="1">
      <alignment horizontal="left" vertical="top"/>
    </xf>
    <xf numFmtId="0" fontId="11" fillId="2" borderId="59" xfId="0" applyFont="1" applyFill="1" applyBorder="1" applyAlignment="1">
      <alignment horizontal="left" vertical="top"/>
    </xf>
    <xf numFmtId="0" fontId="11" fillId="2" borderId="60" xfId="0" applyFont="1" applyFill="1" applyBorder="1" applyAlignment="1">
      <alignment horizontal="left" vertical="top"/>
    </xf>
    <xf numFmtId="0" fontId="11" fillId="2" borderId="61" xfId="0" applyFont="1" applyFill="1" applyBorder="1" applyAlignment="1">
      <alignment horizontal="left" vertical="top"/>
    </xf>
    <xf numFmtId="0" fontId="10" fillId="5" borderId="53" xfId="0" applyFont="1" applyFill="1" applyBorder="1" applyAlignment="1">
      <alignment horizontal="left" vertical="top"/>
    </xf>
    <xf numFmtId="0" fontId="10" fillId="5" borderId="54" xfId="0" applyFont="1" applyFill="1" applyBorder="1" applyAlignment="1">
      <alignment horizontal="left" vertical="top"/>
    </xf>
    <xf numFmtId="0" fontId="11" fillId="3" borderId="52" xfId="0" applyFont="1" applyFill="1" applyBorder="1" applyAlignment="1">
      <alignment horizontal="right"/>
    </xf>
    <xf numFmtId="0" fontId="11" fillId="3" borderId="51" xfId="0" applyFont="1" applyFill="1" applyBorder="1" applyAlignment="1">
      <alignment horizontal="right"/>
    </xf>
    <xf numFmtId="0" fontId="11" fillId="3" borderId="42" xfId="0" applyFont="1" applyFill="1" applyBorder="1" applyAlignment="1">
      <alignment horizontal="center"/>
    </xf>
    <xf numFmtId="0" fontId="0" fillId="7" borderId="42" xfId="0" applyFill="1" applyBorder="1"/>
    <xf numFmtId="0" fontId="0" fillId="0" borderId="42" xfId="0" applyBorder="1"/>
    <xf numFmtId="2" fontId="12" fillId="6" borderId="51" xfId="0" applyNumberFormat="1" applyFont="1" applyFill="1" applyBorder="1" applyAlignment="1">
      <alignment horizontal="right"/>
    </xf>
    <xf numFmtId="0" fontId="12" fillId="6" borderId="50" xfId="0" applyFont="1" applyFill="1" applyBorder="1" applyAlignment="1">
      <alignment horizontal="right"/>
    </xf>
    <xf numFmtId="0" fontId="12" fillId="6" borderId="52" xfId="0" applyFont="1" applyFill="1" applyBorder="1" applyAlignment="1">
      <alignment horizontal="right"/>
    </xf>
    <xf numFmtId="0" fontId="11" fillId="2" borderId="39" xfId="0" applyFont="1" applyFill="1" applyBorder="1" applyAlignment="1">
      <alignment horizontal="left" vertical="top"/>
    </xf>
    <xf numFmtId="0" fontId="0" fillId="7" borderId="50" xfId="0" applyFill="1" applyBorder="1" applyAlignment="1">
      <alignment horizontal="right"/>
    </xf>
    <xf numFmtId="14" fontId="0" fillId="7" borderId="52" xfId="0" applyNumberFormat="1" applyFill="1" applyBorder="1" applyAlignment="1">
      <alignment horizontal="right"/>
    </xf>
    <xf numFmtId="164" fontId="6" fillId="7" borderId="50" xfId="0" applyNumberFormat="1" applyFont="1" applyFill="1" applyBorder="1" applyAlignment="1">
      <alignment horizontal="right"/>
    </xf>
    <xf numFmtId="14" fontId="0" fillId="7" borderId="51" xfId="0" applyNumberFormat="1" applyFill="1" applyBorder="1" applyAlignment="1">
      <alignment horizontal="right"/>
    </xf>
    <xf numFmtId="0" fontId="6" fillId="7" borderId="52" xfId="0" applyFont="1" applyFill="1" applyBorder="1" applyAlignment="1">
      <alignment horizontal="right"/>
    </xf>
    <xf numFmtId="0" fontId="15" fillId="0" borderId="42" xfId="1"/>
    <xf numFmtId="0" fontId="11" fillId="9" borderId="54" xfId="0" applyFont="1" applyFill="1" applyBorder="1" applyAlignment="1">
      <alignment horizontal="right"/>
    </xf>
    <xf numFmtId="14" fontId="11" fillId="3" borderId="48" xfId="0" applyNumberFormat="1" applyFont="1" applyFill="1" applyBorder="1" applyAlignment="1">
      <alignment horizontal="right"/>
    </xf>
    <xf numFmtId="0" fontId="11" fillId="9" borderId="48" xfId="0" applyFont="1" applyFill="1" applyBorder="1" applyAlignment="1">
      <alignment horizontal="right" vertical="center"/>
    </xf>
    <xf numFmtId="0" fontId="0" fillId="10" borderId="48" xfId="0" applyFill="1" applyBorder="1" applyAlignment="1">
      <alignment horizontal="right"/>
    </xf>
    <xf numFmtId="0" fontId="8" fillId="0" borderId="42" xfId="0" applyFont="1" applyBorder="1"/>
    <xf numFmtId="0" fontId="15" fillId="6" borderId="42" xfId="1" applyFill="1"/>
    <xf numFmtId="0" fontId="9" fillId="0" borderId="14" xfId="1" applyFont="1" applyBorder="1"/>
    <xf numFmtId="0" fontId="11" fillId="3" borderId="42" xfId="1" applyFont="1" applyFill="1"/>
    <xf numFmtId="0" fontId="3" fillId="0" borderId="7" xfId="1" applyFont="1" applyBorder="1"/>
    <xf numFmtId="0" fontId="3" fillId="4" borderId="7" xfId="1" applyFont="1" applyFill="1" applyBorder="1"/>
    <xf numFmtId="0" fontId="10" fillId="2" borderId="39" xfId="1" applyFont="1" applyFill="1" applyBorder="1" applyAlignment="1">
      <alignment horizontal="left" vertical="top"/>
    </xf>
    <xf numFmtId="0" fontId="10" fillId="2" borderId="40" xfId="1" applyFont="1" applyFill="1" applyBorder="1" applyAlignment="1">
      <alignment horizontal="left" vertical="top"/>
    </xf>
    <xf numFmtId="0" fontId="10" fillId="2" borderId="49" xfId="1" applyFont="1" applyFill="1" applyBorder="1" applyAlignment="1">
      <alignment horizontal="left" vertical="top"/>
    </xf>
    <xf numFmtId="0" fontId="10" fillId="2" borderId="57" xfId="1" applyFont="1" applyFill="1" applyBorder="1" applyAlignment="1">
      <alignment horizontal="left" vertical="top"/>
    </xf>
    <xf numFmtId="0" fontId="3" fillId="0" borderId="10" xfId="1" applyFont="1" applyBorder="1"/>
    <xf numFmtId="0" fontId="3" fillId="0" borderId="14" xfId="1" applyFont="1" applyBorder="1"/>
    <xf numFmtId="0" fontId="11" fillId="4" borderId="43" xfId="1" applyFont="1" applyFill="1" applyBorder="1"/>
    <xf numFmtId="0" fontId="11" fillId="3" borderId="10" xfId="1" applyFont="1" applyFill="1" applyBorder="1"/>
    <xf numFmtId="0" fontId="11" fillId="3" borderId="17" xfId="1" applyFont="1" applyFill="1" applyBorder="1"/>
    <xf numFmtId="0" fontId="11" fillId="4" borderId="32" xfId="1" applyFont="1" applyFill="1" applyBorder="1"/>
    <xf numFmtId="0" fontId="3" fillId="4" borderId="32" xfId="1" applyFont="1" applyFill="1" applyBorder="1"/>
    <xf numFmtId="0" fontId="11" fillId="3" borderId="14" xfId="1" applyFont="1" applyFill="1" applyBorder="1"/>
    <xf numFmtId="0" fontId="11" fillId="3" borderId="21" xfId="1" applyFont="1" applyFill="1" applyBorder="1"/>
    <xf numFmtId="0" fontId="11" fillId="3" borderId="43" xfId="1" applyFont="1" applyFill="1" applyBorder="1"/>
    <xf numFmtId="0" fontId="3" fillId="0" borderId="43" xfId="1" applyFont="1" applyBorder="1"/>
    <xf numFmtId="0" fontId="3" fillId="4" borderId="43" xfId="1" applyFont="1" applyFill="1" applyBorder="1"/>
    <xf numFmtId="0" fontId="3" fillId="4" borderId="16" xfId="1" applyFont="1" applyFill="1" applyBorder="1"/>
    <xf numFmtId="0" fontId="15" fillId="7" borderId="42" xfId="1" applyFill="1"/>
    <xf numFmtId="0" fontId="3" fillId="8" borderId="16" xfId="1" applyFont="1" applyFill="1" applyBorder="1"/>
    <xf numFmtId="0" fontId="3" fillId="8" borderId="22" xfId="1" applyFont="1" applyFill="1" applyBorder="1"/>
    <xf numFmtId="0" fontId="11" fillId="0" borderId="71" xfId="0" applyFont="1" applyBorder="1" applyAlignment="1">
      <alignment horizontal="right"/>
    </xf>
    <xf numFmtId="0" fontId="11" fillId="0" borderId="74" xfId="0" applyFont="1" applyBorder="1" applyAlignment="1">
      <alignment horizontal="right"/>
    </xf>
    <xf numFmtId="0" fontId="11" fillId="0" borderId="65" xfId="0" applyFont="1" applyBorder="1" applyAlignment="1">
      <alignment horizontal="right"/>
    </xf>
    <xf numFmtId="0" fontId="11" fillId="0" borderId="42" xfId="1" applyFont="1" applyAlignment="1">
      <alignment horizontal="right"/>
    </xf>
    <xf numFmtId="0" fontId="12" fillId="0" borderId="42" xfId="1" applyFont="1" applyAlignment="1">
      <alignment horizontal="right"/>
    </xf>
    <xf numFmtId="0" fontId="3" fillId="0" borderId="42" xfId="1" applyFont="1" applyAlignment="1">
      <alignment horizontal="right"/>
    </xf>
    <xf numFmtId="0" fontId="11" fillId="0" borderId="42" xfId="1" quotePrefix="1" applyFont="1" applyAlignment="1">
      <alignment horizontal="right"/>
    </xf>
    <xf numFmtId="0" fontId="11" fillId="2" borderId="53" xfId="1" applyFont="1" applyFill="1" applyBorder="1" applyAlignment="1">
      <alignment horizontal="left" vertical="top"/>
    </xf>
    <xf numFmtId="0" fontId="11" fillId="2" borderId="79" xfId="1" applyFont="1" applyFill="1" applyBorder="1" applyAlignment="1">
      <alignment horizontal="left" vertical="top"/>
    </xf>
    <xf numFmtId="0" fontId="3" fillId="2" borderId="79" xfId="1" applyFont="1" applyFill="1" applyBorder="1" applyAlignment="1">
      <alignment horizontal="left" vertical="top"/>
    </xf>
    <xf numFmtId="0" fontId="11" fillId="2" borderId="54" xfId="1" applyFont="1" applyFill="1" applyBorder="1" applyAlignment="1">
      <alignment horizontal="left" vertical="top"/>
    </xf>
    <xf numFmtId="0" fontId="11" fillId="0" borderId="64" xfId="1" applyFont="1" applyBorder="1" applyAlignment="1">
      <alignment horizontal="right"/>
    </xf>
    <xf numFmtId="0" fontId="12" fillId="0" borderId="65" xfId="1" applyFont="1" applyBorder="1" applyAlignment="1">
      <alignment horizontal="right"/>
    </xf>
    <xf numFmtId="0" fontId="11" fillId="0" borderId="65" xfId="1" applyFont="1" applyBorder="1" applyAlignment="1">
      <alignment horizontal="right"/>
    </xf>
    <xf numFmtId="0" fontId="3" fillId="0" borderId="65" xfId="1" applyFont="1" applyBorder="1" applyAlignment="1">
      <alignment horizontal="right"/>
    </xf>
    <xf numFmtId="0" fontId="11" fillId="0" borderId="66" xfId="1" applyFont="1" applyBorder="1" applyAlignment="1">
      <alignment horizontal="right"/>
    </xf>
    <xf numFmtId="0" fontId="12" fillId="0" borderId="67" xfId="1" applyFont="1" applyBorder="1" applyAlignment="1">
      <alignment horizontal="right"/>
    </xf>
    <xf numFmtId="0" fontId="11" fillId="0" borderId="67" xfId="1" applyFont="1" applyBorder="1" applyAlignment="1">
      <alignment horizontal="right"/>
    </xf>
    <xf numFmtId="0" fontId="3" fillId="0" borderId="67" xfId="1" applyFont="1" applyBorder="1" applyAlignment="1">
      <alignment horizontal="right"/>
    </xf>
    <xf numFmtId="0" fontId="11" fillId="0" borderId="68" xfId="1" quotePrefix="1" applyFont="1" applyBorder="1" applyAlignment="1">
      <alignment horizontal="right"/>
    </xf>
    <xf numFmtId="0" fontId="11" fillId="0" borderId="69" xfId="1" quotePrefix="1" applyFont="1" applyBorder="1" applyAlignment="1">
      <alignment horizontal="right"/>
    </xf>
    <xf numFmtId="0" fontId="11" fillId="0" borderId="70" xfId="1" applyFont="1" applyBorder="1" applyAlignment="1">
      <alignment horizontal="right"/>
    </xf>
    <xf numFmtId="0" fontId="12" fillId="0" borderId="71" xfId="1" applyFont="1" applyBorder="1" applyAlignment="1">
      <alignment horizontal="right"/>
    </xf>
    <xf numFmtId="0" fontId="11" fillId="0" borderId="71" xfId="1" applyFont="1" applyBorder="1" applyAlignment="1">
      <alignment horizontal="right"/>
    </xf>
    <xf numFmtId="0" fontId="3" fillId="0" borderId="71" xfId="1" applyFont="1" applyBorder="1" applyAlignment="1">
      <alignment horizontal="right"/>
    </xf>
    <xf numFmtId="0" fontId="11" fillId="0" borderId="72" xfId="1" quotePrefix="1" applyFont="1" applyBorder="1" applyAlignment="1">
      <alignment horizontal="right"/>
    </xf>
    <xf numFmtId="0" fontId="11" fillId="0" borderId="73" xfId="1" applyFont="1" applyBorder="1" applyAlignment="1">
      <alignment horizontal="right"/>
    </xf>
    <xf numFmtId="0" fontId="12" fillId="0" borderId="74" xfId="1" applyFont="1" applyBorder="1" applyAlignment="1">
      <alignment horizontal="right"/>
    </xf>
    <xf numFmtId="0" fontId="11" fillId="0" borderId="74" xfId="1" applyFont="1" applyBorder="1" applyAlignment="1">
      <alignment horizontal="right"/>
    </xf>
    <xf numFmtId="0" fontId="3" fillId="0" borderId="74" xfId="1" applyFont="1" applyBorder="1" applyAlignment="1">
      <alignment horizontal="right"/>
    </xf>
    <xf numFmtId="0" fontId="11" fillId="0" borderId="75" xfId="1" quotePrefix="1" applyFont="1" applyBorder="1" applyAlignment="1">
      <alignment horizontal="right"/>
    </xf>
    <xf numFmtId="0" fontId="3" fillId="0" borderId="76" xfId="1" applyFont="1" applyBorder="1" applyAlignment="1">
      <alignment horizontal="right"/>
    </xf>
    <xf numFmtId="0" fontId="3" fillId="0" borderId="77" xfId="1" applyFont="1" applyBorder="1" applyAlignment="1">
      <alignment horizontal="right" vertical="center"/>
    </xf>
    <xf numFmtId="0" fontId="11" fillId="0" borderId="77" xfId="1" applyFont="1" applyBorder="1" applyAlignment="1">
      <alignment horizontal="right" vertical="center"/>
    </xf>
    <xf numFmtId="0" fontId="3" fillId="0" borderId="77" xfId="1" applyFont="1" applyBorder="1" applyAlignment="1">
      <alignment horizontal="right"/>
    </xf>
    <xf numFmtId="0" fontId="11" fillId="0" borderId="78" xfId="1" applyFont="1" applyBorder="1" applyAlignment="1">
      <alignment horizontal="right"/>
    </xf>
    <xf numFmtId="0" fontId="6" fillId="0" borderId="64" xfId="0" applyFont="1" applyBorder="1" applyAlignment="1">
      <alignment horizontal="right"/>
    </xf>
    <xf numFmtId="2" fontId="11" fillId="0" borderId="65" xfId="0" applyNumberFormat="1" applyFont="1" applyBorder="1" applyAlignment="1">
      <alignment horizontal="right"/>
    </xf>
    <xf numFmtId="0" fontId="14" fillId="0" borderId="65" xfId="0" applyFont="1" applyBorder="1" applyAlignment="1">
      <alignment horizontal="right"/>
    </xf>
    <xf numFmtId="0" fontId="14" fillId="0" borderId="74" xfId="0" applyFont="1" applyBorder="1" applyAlignment="1">
      <alignment horizontal="right"/>
    </xf>
    <xf numFmtId="2" fontId="11" fillId="0" borderId="71" xfId="0" applyNumberFormat="1" applyFont="1" applyBorder="1" applyAlignment="1">
      <alignment horizontal="right"/>
    </xf>
    <xf numFmtId="0" fontId="14" fillId="0" borderId="71" xfId="0" applyFont="1" applyBorder="1" applyAlignment="1">
      <alignment horizontal="right"/>
    </xf>
    <xf numFmtId="0" fontId="11" fillId="0" borderId="75" xfId="0" applyFont="1" applyBorder="1" applyAlignment="1">
      <alignment horizontal="right"/>
    </xf>
    <xf numFmtId="0" fontId="11" fillId="0" borderId="68" xfId="0" applyFont="1" applyBorder="1" applyAlignment="1">
      <alignment horizontal="right"/>
    </xf>
    <xf numFmtId="0" fontId="11" fillId="0" borderId="72" xfId="0" applyFont="1" applyBorder="1" applyAlignment="1">
      <alignment horizontal="right"/>
    </xf>
    <xf numFmtId="0" fontId="11" fillId="3" borderId="42" xfId="0" applyFont="1" applyFill="1" applyBorder="1" applyAlignment="1">
      <alignment horizontal="center" vertical="center"/>
    </xf>
    <xf numFmtId="0" fontId="8" fillId="0" borderId="64" xfId="0" applyFont="1" applyBorder="1" applyAlignment="1">
      <alignment horizontal="right"/>
    </xf>
    <xf numFmtId="2" fontId="8" fillId="0" borderId="65" xfId="0" applyNumberFormat="1" applyFont="1" applyBorder="1" applyAlignment="1">
      <alignment horizontal="right"/>
    </xf>
    <xf numFmtId="0" fontId="8" fillId="0" borderId="65" xfId="0" applyFont="1" applyBorder="1" applyAlignment="1">
      <alignment horizontal="right"/>
    </xf>
    <xf numFmtId="0" fontId="8" fillId="0" borderId="73" xfId="0" applyFont="1" applyBorder="1" applyAlignment="1">
      <alignment horizontal="right"/>
    </xf>
    <xf numFmtId="2" fontId="8" fillId="0" borderId="74" xfId="0" applyNumberFormat="1" applyFont="1" applyBorder="1" applyAlignment="1">
      <alignment horizontal="right"/>
    </xf>
    <xf numFmtId="0" fontId="8" fillId="0" borderId="74" xfId="0" applyFont="1" applyBorder="1" applyAlignment="1">
      <alignment horizontal="right"/>
    </xf>
    <xf numFmtId="0" fontId="8" fillId="0" borderId="70" xfId="0" applyFont="1" applyBorder="1" applyAlignment="1">
      <alignment horizontal="right"/>
    </xf>
    <xf numFmtId="2" fontId="8" fillId="0" borderId="71" xfId="0" applyNumberFormat="1" applyFont="1" applyBorder="1" applyAlignment="1">
      <alignment horizontal="right"/>
    </xf>
    <xf numFmtId="0" fontId="8" fillId="0" borderId="71" xfId="0" applyFont="1" applyBorder="1" applyAlignment="1">
      <alignment horizontal="right"/>
    </xf>
    <xf numFmtId="0" fontId="11" fillId="0" borderId="77" xfId="0" applyFont="1" applyBorder="1" applyAlignment="1">
      <alignment horizontal="right"/>
    </xf>
    <xf numFmtId="164" fontId="11" fillId="0" borderId="77" xfId="0" applyNumberFormat="1" applyFont="1" applyBorder="1" applyAlignment="1">
      <alignment horizontal="right"/>
    </xf>
    <xf numFmtId="0" fontId="5" fillId="0" borderId="77" xfId="0" applyFont="1" applyBorder="1" applyAlignment="1">
      <alignment horizontal="right"/>
    </xf>
    <xf numFmtId="2" fontId="11" fillId="0" borderId="77" xfId="0" applyNumberFormat="1" applyFont="1" applyBorder="1" applyAlignment="1">
      <alignment horizontal="right"/>
    </xf>
    <xf numFmtId="0" fontId="0" fillId="0" borderId="77" xfId="0" applyBorder="1" applyAlignment="1">
      <alignment horizontal="right"/>
    </xf>
    <xf numFmtId="0" fontId="11" fillId="4" borderId="42" xfId="0" applyFont="1" applyFill="1" applyBorder="1" applyAlignment="1">
      <alignment horizontal="center"/>
    </xf>
    <xf numFmtId="0" fontId="3" fillId="0" borderId="73" xfId="0" applyFont="1" applyBorder="1" applyAlignment="1">
      <alignment horizontal="right"/>
    </xf>
    <xf numFmtId="0" fontId="3" fillId="0" borderId="64" xfId="0" applyFont="1" applyBorder="1" applyAlignment="1">
      <alignment horizontal="right"/>
    </xf>
    <xf numFmtId="0" fontId="3" fillId="0" borderId="70" xfId="0" applyFont="1" applyBorder="1" applyAlignment="1">
      <alignment horizontal="right"/>
    </xf>
    <xf numFmtId="0" fontId="3" fillId="0" borderId="74" xfId="0" applyFont="1" applyBorder="1" applyAlignment="1">
      <alignment horizontal="right"/>
    </xf>
    <xf numFmtId="0" fontId="3" fillId="0" borderId="65" xfId="0" applyFont="1" applyBorder="1" applyAlignment="1">
      <alignment horizontal="right"/>
    </xf>
    <xf numFmtId="0" fontId="3" fillId="0" borderId="71" xfId="0" applyFont="1" applyBorder="1" applyAlignment="1">
      <alignment horizontal="right"/>
    </xf>
    <xf numFmtId="0" fontId="11" fillId="0" borderId="76" xfId="0" applyFont="1" applyBorder="1" applyAlignment="1">
      <alignment horizontal="right" vertical="top"/>
    </xf>
    <xf numFmtId="2" fontId="11" fillId="10" borderId="77" xfId="0" applyNumberFormat="1" applyFont="1" applyFill="1" applyBorder="1" applyAlignment="1">
      <alignment horizontal="right"/>
    </xf>
    <xf numFmtId="0" fontId="11" fillId="11" borderId="45" xfId="0" applyFont="1" applyFill="1" applyBorder="1" applyAlignment="1">
      <alignment vertical="top" wrapText="1"/>
    </xf>
    <xf numFmtId="0" fontId="11" fillId="11" borderId="45" xfId="0" applyFont="1" applyFill="1" applyBorder="1" applyAlignment="1">
      <alignment horizontal="left" vertical="top" wrapText="1"/>
    </xf>
    <xf numFmtId="0" fontId="11" fillId="10" borderId="40" xfId="0" applyFont="1" applyFill="1" applyBorder="1" applyAlignment="1">
      <alignment horizontal="right"/>
    </xf>
    <xf numFmtId="0" fontId="3" fillId="10" borderId="40" xfId="0" applyFont="1" applyFill="1" applyBorder="1" applyAlignment="1">
      <alignment horizontal="right"/>
    </xf>
    <xf numFmtId="0" fontId="11" fillId="10" borderId="41" xfId="0" applyFont="1" applyFill="1" applyBorder="1" applyAlignment="1">
      <alignment horizontal="right"/>
    </xf>
    <xf numFmtId="0" fontId="11" fillId="10" borderId="42" xfId="0" applyFont="1" applyFill="1" applyBorder="1" applyAlignment="1">
      <alignment horizontal="right"/>
    </xf>
    <xf numFmtId="0" fontId="3" fillId="10" borderId="42" xfId="0" applyFont="1" applyFill="1" applyBorder="1" applyAlignment="1">
      <alignment horizontal="right"/>
    </xf>
    <xf numFmtId="0" fontId="11" fillId="10" borderId="9" xfId="0" applyFont="1" applyFill="1" applyBorder="1" applyAlignment="1">
      <alignment horizontal="right"/>
    </xf>
    <xf numFmtId="0" fontId="8" fillId="10" borderId="42" xfId="0" applyFont="1" applyFill="1" applyBorder="1" applyAlignment="1">
      <alignment horizontal="right"/>
    </xf>
    <xf numFmtId="2" fontId="11" fillId="10" borderId="42" xfId="0" applyNumberFormat="1" applyFont="1" applyFill="1" applyBorder="1" applyAlignment="1">
      <alignment horizontal="right"/>
    </xf>
    <xf numFmtId="0" fontId="11" fillId="10" borderId="62" xfId="0" applyFont="1" applyFill="1" applyBorder="1" applyAlignment="1">
      <alignment horizontal="right"/>
    </xf>
    <xf numFmtId="0" fontId="8" fillId="10" borderId="62" xfId="0" applyFont="1" applyFill="1" applyBorder="1" applyAlignment="1">
      <alignment horizontal="right"/>
    </xf>
    <xf numFmtId="0" fontId="11" fillId="10" borderId="63" xfId="0" applyFont="1" applyFill="1" applyBorder="1" applyAlignment="1">
      <alignment horizontal="right"/>
    </xf>
    <xf numFmtId="0" fontId="3" fillId="7" borderId="51" xfId="0" applyFont="1" applyFill="1" applyBorder="1" applyAlignment="1">
      <alignment horizontal="right"/>
    </xf>
    <xf numFmtId="11" fontId="0" fillId="6" borderId="0" xfId="0" applyNumberFormat="1" applyFill="1"/>
    <xf numFmtId="2" fontId="11" fillId="0" borderId="74" xfId="0" applyNumberFormat="1" applyFont="1" applyBorder="1" applyAlignment="1">
      <alignment horizontal="right"/>
    </xf>
    <xf numFmtId="0" fontId="11" fillId="10" borderId="75" xfId="0" applyFont="1" applyFill="1" applyBorder="1" applyAlignment="1">
      <alignment horizontal="right"/>
    </xf>
    <xf numFmtId="0" fontId="11" fillId="10" borderId="68" xfId="0" applyFont="1" applyFill="1" applyBorder="1" applyAlignment="1">
      <alignment horizontal="right"/>
    </xf>
    <xf numFmtId="0" fontId="11" fillId="10" borderId="72" xfId="0" applyFont="1" applyFill="1" applyBorder="1" applyAlignment="1">
      <alignment horizontal="right"/>
    </xf>
    <xf numFmtId="0" fontId="11" fillId="10" borderId="78" xfId="0" applyFont="1" applyFill="1" applyBorder="1" applyAlignment="1">
      <alignment horizontal="right" vertical="top"/>
    </xf>
    <xf numFmtId="0" fontId="11" fillId="10" borderId="74" xfId="0" applyFont="1" applyFill="1" applyBorder="1" applyAlignment="1">
      <alignment horizontal="right"/>
    </xf>
    <xf numFmtId="0" fontId="11" fillId="10" borderId="65" xfId="0" applyFont="1" applyFill="1" applyBorder="1" applyAlignment="1">
      <alignment horizontal="right"/>
    </xf>
    <xf numFmtId="0" fontId="11" fillId="10" borderId="71" xfId="0" applyFont="1" applyFill="1" applyBorder="1" applyAlignment="1">
      <alignment horizontal="right"/>
    </xf>
    <xf numFmtId="0" fontId="11" fillId="9" borderId="48" xfId="0" applyFont="1" applyFill="1" applyBorder="1" applyAlignment="1">
      <alignment horizontal="right"/>
    </xf>
    <xf numFmtId="0" fontId="7" fillId="12" borderId="80" xfId="0" applyFont="1" applyFill="1" applyBorder="1" applyAlignment="1">
      <alignment wrapText="1"/>
    </xf>
    <xf numFmtId="0" fontId="2" fillId="0" borderId="0" xfId="0" applyFont="1" applyAlignment="1">
      <alignment wrapText="1"/>
    </xf>
  </cellXfs>
  <cellStyles count="2">
    <cellStyle name="Normal" xfId="0" builtinId="0"/>
    <cellStyle name="Normal 2" xfId="1" xr:uid="{15B5984B-4EE4-4A35-88CA-1D33B63AE2B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6149340</xdr:colOff>
      <xdr:row>14</xdr:row>
      <xdr:rowOff>15240</xdr:rowOff>
    </xdr:from>
    <xdr:to>
      <xdr:col>0</xdr:col>
      <xdr:colOff>9479280</xdr:colOff>
      <xdr:row>25</xdr:row>
      <xdr:rowOff>160986</xdr:rowOff>
    </xdr:to>
    <xdr:pic>
      <xdr:nvPicPr>
        <xdr:cNvPr id="5" name="Graphic 4">
          <a:extLst>
            <a:ext uri="{FF2B5EF4-FFF2-40B4-BE49-F238E27FC236}">
              <a16:creationId xmlns:a16="http://schemas.microsoft.com/office/drawing/2014/main" id="{DBD6B997-55BC-D377-A518-A0F6247FA8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149340" y="3421380"/>
          <a:ext cx="3329940" cy="215742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baptiste mabboux" id="{4E9389FC-B427-4B78-B645-0674D7843CC2}" userId="f3aee38b355b722b" providerId="Windows Liv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M25" dT="2026-05-06T09:10:21.79" personId="{4E9389FC-B427-4B78-B645-0674D7843CC2}" id="{21B0A786-969E-4F8D-BD8E-9261146C0382}">
    <text>Computed from Q = m*cp*dT</text>
  </threadedComment>
</ThreadedComment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2:B10"/>
  <sheetViews>
    <sheetView showGridLines="0" zoomScale="55" zoomScaleNormal="55" workbookViewId="0">
      <selection activeCell="B16" sqref="B16"/>
    </sheetView>
  </sheetViews>
  <sheetFormatPr defaultColWidth="14.44140625" defaultRowHeight="15" customHeight="1" x14ac:dyDescent="0.3"/>
  <cols>
    <col min="1" max="1" width="18.109375" bestFit="1" customWidth="1"/>
    <col min="2" max="2" width="255.77734375" style="113" customWidth="1"/>
    <col min="3" max="3" width="29.44140625" customWidth="1"/>
  </cols>
  <sheetData>
    <row r="2" spans="1:2" ht="37.799999999999997" customHeight="1" x14ac:dyDescent="0.3">
      <c r="A2" s="68" t="s">
        <v>0</v>
      </c>
      <c r="B2" s="114" t="s">
        <v>1</v>
      </c>
    </row>
    <row r="3" spans="1:2" ht="15" customHeight="1" x14ac:dyDescent="0.3">
      <c r="A3" s="111"/>
      <c r="B3" s="112"/>
    </row>
    <row r="4" spans="1:2" ht="23.55" customHeight="1" x14ac:dyDescent="0.3">
      <c r="A4" s="68" t="s">
        <v>123</v>
      </c>
      <c r="B4" s="115" t="s">
        <v>124</v>
      </c>
    </row>
    <row r="5" spans="1:2" ht="14.4" x14ac:dyDescent="0.3">
      <c r="A5" s="111"/>
      <c r="B5" s="112"/>
    </row>
    <row r="6" spans="1:2" ht="72.45" customHeight="1" x14ac:dyDescent="0.3">
      <c r="A6" s="68" t="s">
        <v>2</v>
      </c>
      <c r="B6" s="115" t="s">
        <v>125</v>
      </c>
    </row>
    <row r="7" spans="1:2" ht="14.4" x14ac:dyDescent="0.3">
      <c r="A7" s="111"/>
      <c r="B7" s="112"/>
    </row>
    <row r="8" spans="1:2" ht="39.450000000000003" customHeight="1" x14ac:dyDescent="0.3">
      <c r="A8" s="68" t="s">
        <v>3</v>
      </c>
      <c r="B8" s="114" t="s">
        <v>4</v>
      </c>
    </row>
    <row r="9" spans="1:2" ht="14.4" x14ac:dyDescent="0.3">
      <c r="A9" s="111"/>
      <c r="B9" s="112"/>
    </row>
    <row r="10" spans="1:2" ht="55.8" customHeight="1" x14ac:dyDescent="0.3">
      <c r="A10" s="68" t="s">
        <v>5</v>
      </c>
      <c r="B10" s="115" t="s">
        <v>126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23"/>
  <sheetViews>
    <sheetView showGridLines="0" zoomScale="70" zoomScaleNormal="70" workbookViewId="0">
      <selection activeCell="B18" sqref="B18"/>
    </sheetView>
  </sheetViews>
  <sheetFormatPr defaultColWidth="14.44140625" defaultRowHeight="15" customHeight="1" x14ac:dyDescent="0.3"/>
  <cols>
    <col min="1" max="1" width="59" bestFit="1" customWidth="1"/>
    <col min="2" max="2" width="90.77734375" bestFit="1" customWidth="1"/>
    <col min="3" max="3" width="17.77734375" customWidth="1"/>
    <col min="4" max="4" width="12.6640625" customWidth="1"/>
    <col min="5" max="5" width="4.6640625" customWidth="1"/>
    <col min="6" max="6" width="7" customWidth="1"/>
    <col min="7" max="26" width="10.6640625" customWidth="1"/>
    <col min="27" max="16384" width="14.44140625" style="70"/>
  </cols>
  <sheetData>
    <row r="1" spans="1:4" ht="14.4" x14ac:dyDescent="0.3">
      <c r="A1" s="99" t="s">
        <v>66</v>
      </c>
      <c r="B1" s="142"/>
      <c r="C1" s="2"/>
      <c r="D1" s="6" t="s">
        <v>101</v>
      </c>
    </row>
    <row r="2" spans="1:4" ht="14.4" x14ac:dyDescent="0.3">
      <c r="A2" s="100" t="s">
        <v>67</v>
      </c>
      <c r="B2" s="101" t="s">
        <v>154</v>
      </c>
      <c r="D2" s="116" t="s">
        <v>6</v>
      </c>
    </row>
    <row r="3" spans="1:4" ht="14.4" x14ac:dyDescent="0.3">
      <c r="A3" s="100" t="s">
        <v>68</v>
      </c>
      <c r="B3" s="101" t="s">
        <v>7</v>
      </c>
      <c r="C3" s="70"/>
      <c r="D3" s="117" t="s">
        <v>132</v>
      </c>
    </row>
    <row r="4" spans="1:4" ht="14.4" x14ac:dyDescent="0.3">
      <c r="A4" s="100" t="s">
        <v>80</v>
      </c>
      <c r="B4" s="101" t="s">
        <v>81</v>
      </c>
      <c r="C4" s="70"/>
      <c r="D4" s="117" t="s">
        <v>133</v>
      </c>
    </row>
    <row r="5" spans="1:4" ht="14.4" x14ac:dyDescent="0.3">
      <c r="A5" s="100" t="s">
        <v>71</v>
      </c>
      <c r="B5" s="143">
        <v>46136</v>
      </c>
      <c r="C5" s="70"/>
      <c r="D5" s="116" t="s">
        <v>9</v>
      </c>
    </row>
    <row r="6" spans="1:4" ht="14.4" x14ac:dyDescent="0.3">
      <c r="A6" s="100" t="s">
        <v>75</v>
      </c>
      <c r="B6" s="143">
        <v>46136</v>
      </c>
      <c r="C6" s="70"/>
      <c r="D6" s="116" t="s">
        <v>13</v>
      </c>
    </row>
    <row r="7" spans="1:4" ht="14.4" x14ac:dyDescent="0.3">
      <c r="A7" s="100" t="s">
        <v>83</v>
      </c>
      <c r="B7" s="101" t="s">
        <v>84</v>
      </c>
      <c r="D7" s="117" t="s">
        <v>134</v>
      </c>
    </row>
    <row r="8" spans="1:4" ht="14.4" x14ac:dyDescent="0.3">
      <c r="A8" s="100" t="s">
        <v>69</v>
      </c>
      <c r="B8" s="102" t="s">
        <v>94</v>
      </c>
      <c r="C8" s="70"/>
      <c r="D8" s="117" t="s">
        <v>130</v>
      </c>
    </row>
    <row r="9" spans="1:4" ht="14.4" x14ac:dyDescent="0.3">
      <c r="A9" s="100" t="s">
        <v>70</v>
      </c>
      <c r="B9" s="101" t="s">
        <v>8</v>
      </c>
      <c r="C9" s="70"/>
      <c r="D9" s="117" t="s">
        <v>131</v>
      </c>
    </row>
    <row r="10" spans="1:4" ht="14.4" x14ac:dyDescent="0.3">
      <c r="A10" s="100" t="s">
        <v>102</v>
      </c>
      <c r="B10" s="98">
        <v>1</v>
      </c>
      <c r="D10" s="117" t="s">
        <v>135</v>
      </c>
    </row>
    <row r="11" spans="1:4" ht="14.4" x14ac:dyDescent="0.3">
      <c r="A11" s="100" t="s">
        <v>73</v>
      </c>
      <c r="B11" s="101" t="s">
        <v>10</v>
      </c>
      <c r="C11" s="70"/>
      <c r="D11" s="117" t="s">
        <v>136</v>
      </c>
    </row>
    <row r="12" spans="1:4" ht="28.8" x14ac:dyDescent="0.3">
      <c r="A12" s="103" t="s">
        <v>77</v>
      </c>
      <c r="B12" s="144" t="str">
        <f>TEXT(POWER_EL_OUT,0)&amp;"kW of electricity output"</f>
        <v>144kW of electricity output</v>
      </c>
      <c r="C12" s="1"/>
      <c r="D12" s="117" t="s">
        <v>137</v>
      </c>
    </row>
    <row r="13" spans="1:4" ht="21.45" customHeight="1" x14ac:dyDescent="0.3">
      <c r="A13" s="103" t="s">
        <v>43</v>
      </c>
      <c r="B13" s="101">
        <v>9</v>
      </c>
      <c r="C13" s="1"/>
      <c r="D13" s="117" t="s">
        <v>138</v>
      </c>
    </row>
    <row r="14" spans="1:4" ht="14.4" x14ac:dyDescent="0.3">
      <c r="A14" s="100" t="s">
        <v>76</v>
      </c>
      <c r="B14" s="264" t="s">
        <v>237</v>
      </c>
      <c r="C14" s="69"/>
      <c r="D14" s="116" t="s">
        <v>14</v>
      </c>
    </row>
    <row r="15" spans="1:4" ht="14.4" x14ac:dyDescent="0.3">
      <c r="A15" s="103" t="s">
        <v>15</v>
      </c>
      <c r="B15" s="104" t="s">
        <v>238</v>
      </c>
      <c r="C15" s="1"/>
      <c r="D15" s="116" t="s">
        <v>128</v>
      </c>
    </row>
    <row r="16" spans="1:4" ht="14.4" x14ac:dyDescent="0.3">
      <c r="A16" s="103" t="s">
        <v>78</v>
      </c>
      <c r="B16" s="145"/>
      <c r="C16" s="1"/>
      <c r="D16" s="116" t="s">
        <v>127</v>
      </c>
    </row>
    <row r="17" spans="1:4" ht="14.4" x14ac:dyDescent="0.3">
      <c r="A17" s="103" t="s">
        <v>82</v>
      </c>
      <c r="B17" s="145" t="s">
        <v>236</v>
      </c>
      <c r="C17" s="1"/>
      <c r="D17" s="117" t="s">
        <v>139</v>
      </c>
    </row>
    <row r="18" spans="1:4" ht="20.55" customHeight="1" x14ac:dyDescent="0.3">
      <c r="A18" s="100" t="s">
        <v>72</v>
      </c>
      <c r="B18" s="264" t="s">
        <v>236</v>
      </c>
      <c r="C18" s="70"/>
      <c r="D18" s="117" t="s">
        <v>140</v>
      </c>
    </row>
    <row r="19" spans="1:4" ht="14.4" x14ac:dyDescent="0.3">
      <c r="A19" s="100" t="s">
        <v>74</v>
      </c>
      <c r="B19" s="101" t="s">
        <v>153</v>
      </c>
      <c r="C19" s="70"/>
      <c r="D19" s="116" t="s">
        <v>11</v>
      </c>
    </row>
    <row r="20" spans="1:4" ht="14.4" x14ac:dyDescent="0.3">
      <c r="A20" s="100" t="s">
        <v>99</v>
      </c>
      <c r="B20" s="101" t="s">
        <v>153</v>
      </c>
      <c r="C20" s="70"/>
      <c r="D20" s="117" t="s">
        <v>141</v>
      </c>
    </row>
    <row r="21" spans="1:4" ht="15.75" customHeight="1" x14ac:dyDescent="0.3">
      <c r="A21" s="103" t="s">
        <v>79</v>
      </c>
      <c r="B21" s="101" t="s">
        <v>239</v>
      </c>
      <c r="C21" s="1"/>
      <c r="D21" s="117" t="s">
        <v>142</v>
      </c>
    </row>
    <row r="22" spans="1:4" ht="14.4" x14ac:dyDescent="0.3">
      <c r="A22" s="100" t="s">
        <v>12</v>
      </c>
      <c r="B22" s="145"/>
      <c r="C22" s="70"/>
      <c r="D22" s="117" t="s">
        <v>143</v>
      </c>
    </row>
    <row r="23" spans="1:4" ht="15.75" customHeight="1" thickBot="1" x14ac:dyDescent="0.35">
      <c r="A23" s="105" t="s">
        <v>85</v>
      </c>
      <c r="B23" s="106" t="s">
        <v>97</v>
      </c>
      <c r="C23" s="1"/>
      <c r="D23" s="117" t="s">
        <v>129</v>
      </c>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90D9F-6BD3-4557-9810-F38E866D8433}">
  <sheetPr codeName="Sheet15"/>
  <dimension ref="A1:P57"/>
  <sheetViews>
    <sheetView showGridLines="0" zoomScale="55" zoomScaleNormal="55" workbookViewId="0">
      <selection activeCell="D49" sqref="D49"/>
    </sheetView>
  </sheetViews>
  <sheetFormatPr defaultColWidth="14.44140625" defaultRowHeight="15" customHeight="1" x14ac:dyDescent="0.3"/>
  <cols>
    <col min="1" max="1" width="42.6640625" style="147" customWidth="1"/>
    <col min="2" max="2" width="19.44140625" style="147" bestFit="1" customWidth="1"/>
    <col min="3" max="3" width="17.33203125" style="147" customWidth="1"/>
    <col min="4" max="4" width="20.109375" style="147" bestFit="1" customWidth="1"/>
    <col min="5" max="5" width="19.44140625" style="147" bestFit="1" customWidth="1"/>
    <col min="6" max="6" width="23.44140625" style="147" customWidth="1"/>
    <col min="7" max="7" width="27" style="147" customWidth="1"/>
    <col min="8" max="8" width="23.44140625" style="147" customWidth="1"/>
    <col min="9" max="9" width="33.109375" style="147" bestFit="1" customWidth="1"/>
    <col min="10" max="10" width="27" style="147" customWidth="1"/>
    <col min="11" max="11" width="54.77734375" style="141" bestFit="1" customWidth="1"/>
    <col min="12" max="12" width="61.33203125" style="141" customWidth="1"/>
    <col min="13" max="13" width="16" style="141" customWidth="1"/>
    <col min="14" max="14" width="18.44140625" style="141" customWidth="1"/>
    <col min="15" max="15" width="14.33203125" style="141" customWidth="1"/>
    <col min="16" max="16" width="5.109375" style="141" customWidth="1"/>
    <col min="17" max="16384" width="14.44140625" style="141"/>
  </cols>
  <sheetData>
    <row r="1" spans="1:16" ht="15" customHeight="1" thickBot="1" x14ac:dyDescent="0.35"/>
    <row r="2" spans="1:16" thickBot="1" x14ac:dyDescent="0.35">
      <c r="A2" s="148" t="s">
        <v>65</v>
      </c>
      <c r="B2" s="149"/>
      <c r="C2" s="149"/>
      <c r="D2" s="149"/>
      <c r="E2" s="149"/>
      <c r="F2" s="149"/>
      <c r="G2" s="149"/>
      <c r="H2" s="149"/>
      <c r="I2" s="149"/>
      <c r="J2" s="149"/>
      <c r="K2" s="149"/>
      <c r="L2" s="150"/>
      <c r="M2" s="151"/>
      <c r="N2" s="151"/>
      <c r="O2" s="151"/>
      <c r="P2" s="151"/>
    </row>
    <row r="3" spans="1:16" thickBot="1" x14ac:dyDescent="0.35">
      <c r="A3" s="152" t="s">
        <v>16</v>
      </c>
      <c r="B3" s="153"/>
      <c r="C3" s="153"/>
      <c r="D3" s="153"/>
      <c r="E3" s="153"/>
      <c r="F3" s="153"/>
      <c r="G3" s="153"/>
      <c r="H3" s="153"/>
      <c r="I3" s="153"/>
      <c r="J3" s="153"/>
      <c r="K3" s="154"/>
      <c r="L3" s="155"/>
      <c r="M3" s="151"/>
      <c r="N3" s="151"/>
      <c r="O3" s="151"/>
      <c r="P3" s="151"/>
    </row>
    <row r="4" spans="1:16" thickBot="1" x14ac:dyDescent="0.35">
      <c r="A4" s="179" t="s">
        <v>100</v>
      </c>
      <c r="B4" s="180" t="s">
        <v>17</v>
      </c>
      <c r="C4" s="180" t="s">
        <v>18</v>
      </c>
      <c r="D4" s="180" t="s">
        <v>148</v>
      </c>
      <c r="E4" s="180" t="s">
        <v>20</v>
      </c>
      <c r="F4" s="181" t="s">
        <v>21</v>
      </c>
      <c r="G4" s="180" t="s">
        <v>22</v>
      </c>
      <c r="H4" s="180" t="s">
        <v>23</v>
      </c>
      <c r="I4" s="180" t="s">
        <v>24</v>
      </c>
      <c r="J4" s="180" t="s">
        <v>25</v>
      </c>
      <c r="K4" s="180" t="s">
        <v>26</v>
      </c>
      <c r="L4" s="182" t="s">
        <v>15</v>
      </c>
      <c r="M4" s="150"/>
      <c r="N4" s="151"/>
      <c r="O4" s="151"/>
      <c r="P4" s="151"/>
    </row>
    <row r="5" spans="1:16" thickBot="1" x14ac:dyDescent="0.35">
      <c r="A5" s="198" t="s">
        <v>214</v>
      </c>
      <c r="B5" s="199" t="s">
        <v>215</v>
      </c>
      <c r="C5" s="199" t="s">
        <v>214</v>
      </c>
      <c r="D5" s="199" t="s">
        <v>155</v>
      </c>
      <c r="E5" s="200" t="s">
        <v>27</v>
      </c>
      <c r="F5" s="201" t="s">
        <v>27</v>
      </c>
      <c r="G5" s="200" t="s">
        <v>27</v>
      </c>
      <c r="H5" s="200" t="s">
        <v>27</v>
      </c>
      <c r="I5" s="200" t="s">
        <v>27</v>
      </c>
      <c r="J5" s="200" t="s">
        <v>27</v>
      </c>
      <c r="K5" s="200" t="s">
        <v>27</v>
      </c>
      <c r="L5" s="202" t="s">
        <v>240</v>
      </c>
      <c r="M5" s="147"/>
      <c r="N5" s="151"/>
      <c r="O5" s="151"/>
      <c r="P5" s="151"/>
    </row>
    <row r="6" spans="1:16" thickBot="1" x14ac:dyDescent="0.35">
      <c r="A6" s="183" t="s">
        <v>216</v>
      </c>
      <c r="B6" s="184" t="s">
        <v>217</v>
      </c>
      <c r="C6" s="184" t="s">
        <v>218</v>
      </c>
      <c r="D6" s="184" t="s">
        <v>162</v>
      </c>
      <c r="E6" s="185">
        <v>25</v>
      </c>
      <c r="F6" s="186" t="s">
        <v>263</v>
      </c>
      <c r="G6" s="185">
        <v>1</v>
      </c>
      <c r="H6" s="185" t="s">
        <v>219</v>
      </c>
      <c r="I6" s="185">
        <v>-1</v>
      </c>
      <c r="J6" s="185" t="s">
        <v>220</v>
      </c>
      <c r="K6" s="185" t="s">
        <v>221</v>
      </c>
      <c r="L6" s="191" t="s">
        <v>241</v>
      </c>
      <c r="M6" s="147"/>
      <c r="N6" s="151"/>
      <c r="O6" s="151"/>
      <c r="P6" s="151"/>
    </row>
    <row r="7" spans="1:16" thickBot="1" x14ac:dyDescent="0.35">
      <c r="A7" s="187" t="s">
        <v>225</v>
      </c>
      <c r="B7" s="188" t="s">
        <v>226</v>
      </c>
      <c r="C7" s="188" t="s">
        <v>227</v>
      </c>
      <c r="D7" s="188" t="s">
        <v>162</v>
      </c>
      <c r="E7" s="189">
        <v>25</v>
      </c>
      <c r="F7" s="190" t="s">
        <v>263</v>
      </c>
      <c r="G7" s="189">
        <v>1</v>
      </c>
      <c r="H7" s="189" t="s">
        <v>219</v>
      </c>
      <c r="I7" s="189">
        <v>-1</v>
      </c>
      <c r="J7" s="189" t="s">
        <v>228</v>
      </c>
      <c r="K7" s="189" t="s">
        <v>229</v>
      </c>
      <c r="L7" s="192" t="s">
        <v>243</v>
      </c>
      <c r="M7" s="147"/>
      <c r="N7" s="151"/>
      <c r="O7" s="151"/>
      <c r="P7" s="151"/>
    </row>
    <row r="8" spans="1:16" thickBot="1" x14ac:dyDescent="0.35">
      <c r="A8" s="193" t="s">
        <v>222</v>
      </c>
      <c r="B8" s="194" t="s">
        <v>223</v>
      </c>
      <c r="C8" s="194" t="s">
        <v>218</v>
      </c>
      <c r="D8" s="194" t="s">
        <v>162</v>
      </c>
      <c r="E8" s="195">
        <v>25</v>
      </c>
      <c r="F8" s="196" t="s">
        <v>263</v>
      </c>
      <c r="G8" s="195">
        <v>1</v>
      </c>
      <c r="H8" s="195" t="s">
        <v>219</v>
      </c>
      <c r="I8" s="195">
        <v>-1</v>
      </c>
      <c r="J8" s="195" t="s">
        <v>220</v>
      </c>
      <c r="K8" s="195" t="s">
        <v>224</v>
      </c>
      <c r="L8" s="197" t="s">
        <v>242</v>
      </c>
      <c r="M8" s="147"/>
      <c r="N8" s="151"/>
      <c r="O8" s="151"/>
      <c r="P8" s="151"/>
    </row>
    <row r="9" spans="1:16" thickBot="1" x14ac:dyDescent="0.35">
      <c r="A9" s="175"/>
      <c r="B9" s="176"/>
      <c r="C9" s="176"/>
      <c r="D9" s="176"/>
      <c r="E9" s="175"/>
      <c r="F9" s="177"/>
      <c r="G9" s="175"/>
      <c r="H9" s="175"/>
      <c r="I9" s="175"/>
      <c r="J9" s="175"/>
      <c r="K9" s="175"/>
      <c r="L9" s="178"/>
      <c r="M9" s="147"/>
      <c r="N9" s="151"/>
      <c r="O9" s="151"/>
      <c r="P9" s="151"/>
    </row>
    <row r="10" spans="1:16" thickBot="1" x14ac:dyDescent="0.35">
      <c r="A10" s="156"/>
      <c r="B10" s="156"/>
      <c r="C10" s="156"/>
      <c r="D10" s="156"/>
      <c r="E10" s="156"/>
      <c r="F10" s="156"/>
      <c r="G10" s="156"/>
      <c r="H10" s="156"/>
      <c r="I10" s="149"/>
      <c r="J10" s="149"/>
      <c r="K10" s="149"/>
      <c r="L10" s="149"/>
      <c r="N10" s="151"/>
      <c r="O10" s="151"/>
      <c r="P10" s="151"/>
    </row>
    <row r="11" spans="1:16" thickBot="1" x14ac:dyDescent="0.35">
      <c r="A11" s="148" t="s">
        <v>64</v>
      </c>
      <c r="B11" s="157"/>
      <c r="C11" s="157"/>
      <c r="D11" s="157"/>
      <c r="E11" s="157"/>
      <c r="F11" s="157"/>
      <c r="G11" s="157"/>
      <c r="H11" s="157"/>
      <c r="I11" s="149"/>
      <c r="J11" s="158"/>
      <c r="K11" s="158"/>
      <c r="L11" s="158"/>
      <c r="M11" s="151"/>
      <c r="N11" s="151"/>
      <c r="O11" s="151"/>
      <c r="P11" s="151"/>
    </row>
    <row r="12" spans="1:16" thickBot="1" x14ac:dyDescent="0.35">
      <c r="A12" s="152" t="s">
        <v>28</v>
      </c>
      <c r="B12" s="153"/>
      <c r="C12" s="153"/>
      <c r="D12" s="153"/>
      <c r="E12" s="153"/>
      <c r="F12" s="153"/>
      <c r="G12" s="153"/>
      <c r="H12" s="153"/>
      <c r="I12" s="153"/>
      <c r="J12" s="153"/>
      <c r="K12" s="154"/>
      <c r="L12" s="155"/>
      <c r="M12" s="150"/>
      <c r="N12" s="151"/>
      <c r="O12" s="151"/>
      <c r="P12" s="151"/>
    </row>
    <row r="13" spans="1:16" thickBot="1" x14ac:dyDescent="0.35">
      <c r="A13" s="179" t="s">
        <v>100</v>
      </c>
      <c r="B13" s="180" t="s">
        <v>17</v>
      </c>
      <c r="C13" s="180" t="s">
        <v>18</v>
      </c>
      <c r="D13" s="180" t="s">
        <v>148</v>
      </c>
      <c r="E13" s="180" t="s">
        <v>20</v>
      </c>
      <c r="F13" s="181" t="s">
        <v>21</v>
      </c>
      <c r="G13" s="180" t="s">
        <v>22</v>
      </c>
      <c r="H13" s="180" t="s">
        <v>23</v>
      </c>
      <c r="I13" s="180" t="s">
        <v>24</v>
      </c>
      <c r="J13" s="180" t="s">
        <v>25</v>
      </c>
      <c r="K13" s="180" t="s">
        <v>26</v>
      </c>
      <c r="L13" s="182" t="s">
        <v>15</v>
      </c>
      <c r="M13" s="150"/>
      <c r="N13" s="151"/>
      <c r="O13" s="151"/>
      <c r="P13" s="151"/>
    </row>
    <row r="14" spans="1:16" thickBot="1" x14ac:dyDescent="0.35">
      <c r="A14" s="203" t="s">
        <v>27</v>
      </c>
      <c r="B14" s="204" t="s">
        <v>27</v>
      </c>
      <c r="C14" s="205" t="s">
        <v>27</v>
      </c>
      <c r="D14" s="205" t="s">
        <v>27</v>
      </c>
      <c r="E14" s="204" t="s">
        <v>27</v>
      </c>
      <c r="F14" s="204" t="s">
        <v>27</v>
      </c>
      <c r="G14" s="204" t="s">
        <v>27</v>
      </c>
      <c r="H14" s="206" t="s">
        <v>27</v>
      </c>
      <c r="I14" s="204" t="s">
        <v>27</v>
      </c>
      <c r="J14" s="204" t="s">
        <v>27</v>
      </c>
      <c r="K14" s="205" t="s">
        <v>27</v>
      </c>
      <c r="L14" s="207" t="s">
        <v>27</v>
      </c>
      <c r="M14" s="168"/>
      <c r="N14" s="151"/>
      <c r="O14" s="151"/>
      <c r="P14" s="151"/>
    </row>
    <row r="15" spans="1:16" ht="15.75" customHeight="1" thickBot="1" x14ac:dyDescent="0.35">
      <c r="A15" s="159"/>
      <c r="B15" s="159"/>
      <c r="C15" s="159"/>
      <c r="D15" s="159"/>
      <c r="E15" s="159"/>
      <c r="F15" s="159"/>
      <c r="G15" s="160"/>
      <c r="H15" s="149"/>
      <c r="I15" s="149"/>
      <c r="J15" s="161"/>
      <c r="K15" s="162"/>
      <c r="L15" s="162"/>
      <c r="M15" s="151"/>
      <c r="N15" s="151"/>
      <c r="O15" s="151"/>
      <c r="P15" s="151"/>
    </row>
    <row r="16" spans="1:16" ht="15.75" customHeight="1" thickBot="1" x14ac:dyDescent="0.35">
      <c r="A16" s="163"/>
      <c r="B16" s="163"/>
      <c r="C16" s="163"/>
      <c r="D16" s="163"/>
      <c r="E16" s="163"/>
      <c r="F16" s="164"/>
      <c r="G16" s="165"/>
      <c r="H16" s="166"/>
      <c r="I16" s="165"/>
      <c r="J16" s="158"/>
      <c r="K16" s="167"/>
      <c r="L16" s="151"/>
      <c r="M16" s="151"/>
      <c r="N16" s="151"/>
      <c r="O16" s="151"/>
      <c r="P16" s="151"/>
    </row>
    <row r="17" spans="10:16" ht="15.75" customHeight="1" thickBot="1" x14ac:dyDescent="0.35">
      <c r="K17" s="168"/>
      <c r="L17" s="168"/>
      <c r="M17" s="151"/>
      <c r="N17" s="151"/>
      <c r="O17" s="151"/>
      <c r="P17" s="151"/>
    </row>
    <row r="18" spans="10:16" ht="15.75" customHeight="1" thickBot="1" x14ac:dyDescent="0.35">
      <c r="L18" s="168"/>
      <c r="M18" s="151"/>
      <c r="N18" s="151"/>
      <c r="O18" s="151"/>
      <c r="P18" s="151"/>
    </row>
    <row r="19" spans="10:16" ht="15.75" customHeight="1" thickBot="1" x14ac:dyDescent="0.35">
      <c r="J19" s="169"/>
      <c r="K19" s="169"/>
      <c r="L19" s="170"/>
      <c r="M19" s="151"/>
      <c r="N19" s="151"/>
      <c r="O19" s="151"/>
      <c r="P19" s="151"/>
    </row>
    <row r="20" spans="10:16" ht="15.75" customHeight="1" thickBot="1" x14ac:dyDescent="0.35">
      <c r="J20" s="169"/>
      <c r="K20" s="169"/>
      <c r="L20" s="171"/>
      <c r="M20" s="151"/>
      <c r="N20" s="151"/>
      <c r="O20" s="151"/>
      <c r="P20" s="151"/>
    </row>
    <row r="21" spans="10:16" ht="15.75" customHeight="1" thickBot="1" x14ac:dyDescent="0.35">
      <c r="J21" s="169"/>
      <c r="K21" s="169"/>
      <c r="L21" s="147"/>
      <c r="M21" s="151"/>
      <c r="N21" s="151"/>
      <c r="O21" s="151"/>
      <c r="P21" s="151"/>
    </row>
    <row r="22" spans="10:16" ht="15.75" customHeight="1" thickBot="1" x14ac:dyDescent="0.35">
      <c r="J22" s="169"/>
      <c r="K22" s="169"/>
      <c r="L22" s="147"/>
      <c r="M22" s="151"/>
      <c r="N22" s="151"/>
      <c r="O22" s="151"/>
      <c r="P22" s="151"/>
    </row>
    <row r="23" spans="10:16" ht="15.75" customHeight="1" thickBot="1" x14ac:dyDescent="0.35">
      <c r="J23" s="169"/>
      <c r="K23" s="169"/>
      <c r="L23" s="147"/>
      <c r="M23" s="151"/>
      <c r="N23" s="151"/>
      <c r="O23" s="151"/>
      <c r="P23" s="151"/>
    </row>
    <row r="24" spans="10:16" ht="15.75" customHeight="1" thickBot="1" x14ac:dyDescent="0.35">
      <c r="J24" s="169"/>
      <c r="K24" s="169"/>
      <c r="L24" s="147"/>
      <c r="M24" s="151"/>
      <c r="N24" s="151"/>
      <c r="O24" s="151"/>
      <c r="P24" s="151"/>
    </row>
    <row r="25" spans="10:16" ht="15.75" customHeight="1" thickBot="1" x14ac:dyDescent="0.35">
      <c r="J25" s="169"/>
      <c r="K25" s="169"/>
      <c r="L25" s="147"/>
      <c r="M25" s="151"/>
      <c r="N25" s="151"/>
      <c r="O25" s="151"/>
      <c r="P25" s="151"/>
    </row>
    <row r="26" spans="10:16" ht="15.75" customHeight="1" x14ac:dyDescent="0.3"/>
    <row r="27" spans="10:16" ht="15.75" customHeight="1" x14ac:dyDescent="0.3"/>
    <row r="28" spans="10:16" ht="15.75" customHeight="1" x14ac:dyDescent="0.3"/>
    <row r="29" spans="10:16" ht="15.75" customHeight="1" x14ac:dyDescent="0.3"/>
    <row r="30" spans="10:16" ht="15.75" customHeight="1" x14ac:dyDescent="0.3"/>
    <row r="31" spans="10:16" ht="15.75" customHeight="1" x14ac:dyDescent="0.3"/>
    <row r="32" spans="10:16" ht="15.75" customHeight="1" x14ac:dyDescent="0.3"/>
    <row r="33" spans="11:16" ht="15.75" customHeight="1" x14ac:dyDescent="0.3"/>
    <row r="34" spans="11:16" ht="15.75" customHeight="1" x14ac:dyDescent="0.3"/>
    <row r="35" spans="11:16" ht="15.75" customHeight="1" x14ac:dyDescent="0.3"/>
    <row r="36" spans="11:16" ht="15.75" customHeight="1" x14ac:dyDescent="0.3"/>
    <row r="37" spans="11:16" s="147" customFormat="1" ht="15.75" customHeight="1" x14ac:dyDescent="0.3">
      <c r="K37" s="141"/>
      <c r="L37" s="141"/>
      <c r="M37" s="141"/>
      <c r="N37" s="141"/>
      <c r="O37" s="141"/>
      <c r="P37" s="141"/>
    </row>
    <row r="38" spans="11:16" s="147" customFormat="1" ht="15.75" customHeight="1" x14ac:dyDescent="0.3">
      <c r="K38" s="141"/>
      <c r="L38" s="141"/>
      <c r="M38" s="141"/>
      <c r="N38" s="141"/>
      <c r="O38" s="141"/>
      <c r="P38" s="141"/>
    </row>
    <row r="39" spans="11:16" s="147" customFormat="1" ht="15.75" customHeight="1" x14ac:dyDescent="0.3">
      <c r="K39" s="141"/>
      <c r="L39" s="141"/>
      <c r="M39" s="141"/>
      <c r="N39" s="141"/>
      <c r="O39" s="141"/>
      <c r="P39" s="141"/>
    </row>
    <row r="40" spans="11:16" s="147" customFormat="1" ht="15.75" customHeight="1" x14ac:dyDescent="0.3">
      <c r="K40" s="141"/>
      <c r="L40" s="141"/>
      <c r="M40" s="141"/>
      <c r="N40" s="141"/>
      <c r="O40" s="141"/>
      <c r="P40" s="141"/>
    </row>
    <row r="41" spans="11:16" s="147" customFormat="1" ht="15.75" customHeight="1" x14ac:dyDescent="0.3">
      <c r="K41" s="141"/>
      <c r="L41" s="141"/>
      <c r="M41" s="141"/>
      <c r="N41" s="141"/>
      <c r="O41" s="141"/>
      <c r="P41" s="141"/>
    </row>
    <row r="42" spans="11:16" s="147" customFormat="1" ht="15.75" customHeight="1" x14ac:dyDescent="0.3">
      <c r="K42" s="141"/>
      <c r="L42" s="141"/>
      <c r="M42" s="141"/>
      <c r="N42" s="141"/>
      <c r="O42" s="141"/>
      <c r="P42" s="141"/>
    </row>
    <row r="43" spans="11:16" s="147" customFormat="1" ht="15.75" customHeight="1" x14ac:dyDescent="0.3">
      <c r="K43" s="141"/>
      <c r="L43" s="141"/>
      <c r="M43" s="141"/>
      <c r="N43" s="141"/>
      <c r="O43" s="141"/>
      <c r="P43" s="141"/>
    </row>
    <row r="44" spans="11:16" s="147" customFormat="1" ht="15.75" customHeight="1" x14ac:dyDescent="0.3">
      <c r="K44" s="141"/>
      <c r="L44" s="141"/>
      <c r="M44" s="141"/>
      <c r="N44" s="141"/>
      <c r="O44" s="141"/>
      <c r="P44" s="141"/>
    </row>
    <row r="45" spans="11:16" s="147" customFormat="1" ht="15.75" customHeight="1" x14ac:dyDescent="0.3">
      <c r="K45" s="141"/>
      <c r="L45" s="141"/>
      <c r="M45" s="141"/>
      <c r="N45" s="141"/>
      <c r="O45" s="141"/>
      <c r="P45" s="141"/>
    </row>
    <row r="46" spans="11:16" s="147" customFormat="1" ht="15.75" customHeight="1" x14ac:dyDescent="0.3">
      <c r="K46" s="141"/>
      <c r="L46" s="141"/>
      <c r="M46" s="141"/>
      <c r="N46" s="141"/>
      <c r="O46" s="141"/>
      <c r="P46" s="141"/>
    </row>
    <row r="47" spans="11:16" s="147" customFormat="1" ht="15.75" customHeight="1" x14ac:dyDescent="0.3">
      <c r="K47" s="141"/>
      <c r="L47" s="141"/>
      <c r="M47" s="141"/>
      <c r="N47" s="141"/>
      <c r="O47" s="141"/>
      <c r="P47" s="141"/>
    </row>
    <row r="48" spans="11:16" s="147" customFormat="1" ht="15.75" customHeight="1" x14ac:dyDescent="0.3">
      <c r="K48" s="141"/>
      <c r="L48" s="141"/>
      <c r="M48" s="141"/>
      <c r="N48" s="141"/>
      <c r="O48" s="141"/>
      <c r="P48" s="141"/>
    </row>
    <row r="49" spans="11:16" s="147" customFormat="1" ht="15.75" customHeight="1" x14ac:dyDescent="0.3">
      <c r="K49" s="141"/>
      <c r="L49" s="141"/>
      <c r="M49" s="141"/>
      <c r="N49" s="141"/>
      <c r="O49" s="141"/>
      <c r="P49" s="141"/>
    </row>
    <row r="50" spans="11:16" s="147" customFormat="1" ht="15.75" customHeight="1" x14ac:dyDescent="0.3">
      <c r="K50" s="141"/>
      <c r="L50" s="141"/>
      <c r="M50" s="141"/>
      <c r="N50" s="141"/>
      <c r="O50" s="141"/>
      <c r="P50" s="141"/>
    </row>
    <row r="51" spans="11:16" s="147" customFormat="1" ht="15.75" customHeight="1" x14ac:dyDescent="0.3">
      <c r="K51" s="141"/>
      <c r="L51" s="141"/>
      <c r="M51" s="141"/>
      <c r="N51" s="141"/>
      <c r="O51" s="141"/>
      <c r="P51" s="141"/>
    </row>
    <row r="52" spans="11:16" s="147" customFormat="1" ht="15.75" customHeight="1" x14ac:dyDescent="0.3">
      <c r="K52" s="141"/>
      <c r="L52" s="141"/>
      <c r="M52" s="141"/>
      <c r="N52" s="141"/>
      <c r="O52" s="141"/>
      <c r="P52" s="141"/>
    </row>
    <row r="53" spans="11:16" s="147" customFormat="1" ht="15.75" customHeight="1" x14ac:dyDescent="0.3">
      <c r="K53" s="141"/>
      <c r="L53" s="141"/>
      <c r="M53" s="141"/>
      <c r="N53" s="141"/>
      <c r="O53" s="141"/>
      <c r="P53" s="141"/>
    </row>
    <row r="54" spans="11:16" s="147" customFormat="1" ht="15.75" customHeight="1" x14ac:dyDescent="0.3">
      <c r="K54" s="141"/>
      <c r="L54" s="141"/>
      <c r="M54" s="141"/>
      <c r="N54" s="141"/>
      <c r="O54" s="141"/>
      <c r="P54" s="141"/>
    </row>
    <row r="55" spans="11:16" s="147" customFormat="1" ht="15.75" customHeight="1" x14ac:dyDescent="0.3">
      <c r="K55" s="141"/>
      <c r="L55" s="141"/>
      <c r="M55" s="141"/>
      <c r="N55" s="141"/>
      <c r="O55" s="141"/>
      <c r="P55" s="141"/>
    </row>
    <row r="56" spans="11:16" s="147" customFormat="1" ht="15.75" customHeight="1" x14ac:dyDescent="0.3">
      <c r="K56" s="141"/>
      <c r="L56" s="141"/>
      <c r="M56" s="141"/>
      <c r="N56" s="141"/>
      <c r="O56" s="141"/>
      <c r="P56" s="141"/>
    </row>
    <row r="57" spans="11:16" s="147" customFormat="1" ht="15.75" customHeight="1" x14ac:dyDescent="0.3">
      <c r="K57" s="141"/>
      <c r="L57" s="141"/>
      <c r="M57" s="141"/>
      <c r="N57" s="141"/>
      <c r="O57" s="141"/>
      <c r="P57" s="141"/>
    </row>
  </sheetData>
  <dataValidations count="2">
    <dataValidation type="list" allowBlank="1" showErrorMessage="1" sqref="C5:C9" xr:uid="{20216D3E-0734-42B7-BB68-546F3F09595E}">
      <formula1>"ELECTRICITY,EMISSIONS,MASS"</formula1>
    </dataValidation>
    <dataValidation type="list" errorStyle="information" allowBlank="1" showInputMessage="1" showErrorMessage="1" sqref="D5:D8 F5:F8 H5:H8 D14 F14 H14" xr:uid="{B83C1A98-1C43-4990-AE00-52AE8B65F42A}">
      <formula1>"-,kg,s,m,K,°C,W,bar,kg/h,t/h,kW,kW/m2K,W/m2K,kJ/kgK,kJ/kg,m3/h,%,eur,eur/y,kWel/kWth,year"</formula1>
    </dataValidation>
  </dataValidation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58"/>
  <sheetViews>
    <sheetView showGridLines="0" topLeftCell="A5" zoomScale="70" zoomScaleNormal="70" workbookViewId="0">
      <selection activeCell="L35" sqref="A16:L35"/>
    </sheetView>
  </sheetViews>
  <sheetFormatPr defaultColWidth="14.44140625" defaultRowHeight="15" customHeight="1" x14ac:dyDescent="0.3"/>
  <cols>
    <col min="1" max="1" width="153.33203125" style="67" bestFit="1" customWidth="1"/>
    <col min="2" max="2" width="13.6640625" style="67" customWidth="1"/>
    <col min="3" max="3" width="36.44140625" style="67" bestFit="1" customWidth="1"/>
    <col min="4" max="4" width="14" style="67" customWidth="1"/>
    <col min="5" max="5" width="14.44140625" style="67" bestFit="1" customWidth="1"/>
    <col min="6" max="6" width="13.109375" style="67" bestFit="1" customWidth="1"/>
    <col min="7" max="7" width="46.109375" style="67" bestFit="1" customWidth="1"/>
    <col min="8" max="8" width="10.33203125" style="67" bestFit="1" customWidth="1"/>
    <col min="9" max="9" width="14.109375" style="67" bestFit="1" customWidth="1"/>
    <col min="10" max="10" width="24.33203125" style="67" bestFit="1" customWidth="1"/>
    <col min="11" max="11" width="20.109375" style="67" bestFit="1" customWidth="1"/>
    <col min="12" max="12" width="96" style="67" bestFit="1" customWidth="1"/>
    <col min="13" max="13" width="29.77734375" style="67" customWidth="1"/>
    <col min="14" max="39" width="10.6640625" style="67" customWidth="1"/>
    <col min="40" max="16384" width="14.44140625" style="67"/>
  </cols>
  <sheetData>
    <row r="1" spans="1:12" customFormat="1" ht="14.4" x14ac:dyDescent="0.3">
      <c r="A1" s="7" t="s">
        <v>29</v>
      </c>
      <c r="B1" s="8"/>
      <c r="C1" s="8"/>
      <c r="D1" s="8"/>
      <c r="E1" s="8"/>
      <c r="F1" s="8"/>
      <c r="G1" s="8"/>
      <c r="H1" s="8"/>
      <c r="I1" s="8"/>
      <c r="J1" s="8"/>
      <c r="K1" s="8"/>
      <c r="L1" s="8"/>
    </row>
    <row r="2" spans="1:12" ht="14.4" x14ac:dyDescent="0.3">
      <c r="A2" s="9" t="s">
        <v>30</v>
      </c>
      <c r="B2" s="8"/>
      <c r="C2" s="8"/>
      <c r="D2" s="8"/>
      <c r="E2" s="8"/>
      <c r="F2" s="8"/>
      <c r="G2" s="8"/>
      <c r="H2" s="8"/>
      <c r="I2" s="8"/>
      <c r="J2" s="8"/>
      <c r="K2" s="8"/>
      <c r="L2" s="8"/>
    </row>
    <row r="3" spans="1:12" ht="14.4" x14ac:dyDescent="0.3">
      <c r="A3" s="10" t="s">
        <v>31</v>
      </c>
      <c r="B3" s="11"/>
      <c r="C3" s="11"/>
      <c r="D3" s="11"/>
      <c r="E3" s="11"/>
      <c r="F3" s="11"/>
      <c r="G3" s="11"/>
      <c r="H3" s="11"/>
      <c r="I3" s="11"/>
      <c r="J3" s="11"/>
      <c r="K3" s="8"/>
      <c r="L3" s="8"/>
    </row>
    <row r="4" spans="1:12" ht="14.4" x14ac:dyDescent="0.3">
      <c r="A4" s="10" t="s">
        <v>32</v>
      </c>
      <c r="B4" s="11"/>
      <c r="C4" s="11"/>
      <c r="D4" s="11"/>
      <c r="E4" s="11"/>
      <c r="F4" s="11"/>
      <c r="G4" s="11"/>
      <c r="H4" s="11"/>
      <c r="I4" s="11"/>
      <c r="J4" s="11"/>
      <c r="K4" s="8"/>
      <c r="L4" s="8"/>
    </row>
    <row r="5" spans="1:12" ht="14.4" x14ac:dyDescent="0.3">
      <c r="A5" s="10" t="s">
        <v>33</v>
      </c>
      <c r="B5" s="11"/>
      <c r="C5" s="11"/>
      <c r="D5" s="11"/>
      <c r="E5" s="11"/>
      <c r="F5" s="11"/>
      <c r="G5" s="11"/>
      <c r="H5" s="11"/>
      <c r="I5" s="11"/>
      <c r="J5" s="11"/>
      <c r="K5" s="8"/>
      <c r="L5" s="8"/>
    </row>
    <row r="6" spans="1:12" ht="14.4" x14ac:dyDescent="0.3">
      <c r="A6" s="118" t="s">
        <v>144</v>
      </c>
      <c r="B6" s="11"/>
      <c r="C6" s="11"/>
      <c r="D6" s="11"/>
      <c r="E6" s="11"/>
      <c r="F6" s="11"/>
      <c r="G6" s="11"/>
      <c r="H6" s="11"/>
      <c r="I6" s="11"/>
      <c r="J6" s="11"/>
      <c r="K6" s="8"/>
      <c r="L6" s="8"/>
    </row>
    <row r="7" spans="1:12" ht="14.4" x14ac:dyDescent="0.3">
      <c r="A7" s="12" t="s">
        <v>34</v>
      </c>
      <c r="B7" s="11"/>
      <c r="C7" s="11"/>
      <c r="D7" s="11"/>
      <c r="E7" s="11"/>
      <c r="F7" s="11"/>
      <c r="G7" s="11"/>
      <c r="H7" s="11"/>
      <c r="I7" s="11"/>
      <c r="J7" s="11"/>
      <c r="K7" s="8"/>
      <c r="L7" s="8"/>
    </row>
    <row r="8" spans="1:12" ht="14.4" x14ac:dyDescent="0.3">
      <c r="A8" s="11" t="s">
        <v>35</v>
      </c>
      <c r="B8" s="11"/>
      <c r="C8" s="11"/>
      <c r="D8" s="11"/>
      <c r="E8" s="11"/>
      <c r="F8" s="11"/>
      <c r="G8" s="11"/>
      <c r="H8" s="11"/>
      <c r="I8" s="11"/>
      <c r="J8" s="11"/>
      <c r="K8" s="8"/>
      <c r="L8" s="8"/>
    </row>
    <row r="9" spans="1:12" ht="14.4" x14ac:dyDescent="0.3">
      <c r="A9" s="13" t="s">
        <v>36</v>
      </c>
      <c r="B9" s="14"/>
      <c r="C9" s="14"/>
      <c r="D9" s="14"/>
      <c r="E9" s="14"/>
      <c r="F9" s="14"/>
      <c r="G9" s="14"/>
      <c r="H9" s="14"/>
      <c r="I9" s="14"/>
      <c r="J9" s="14"/>
      <c r="K9" s="15"/>
      <c r="L9" s="15"/>
    </row>
    <row r="10" spans="1:12" ht="14.4" x14ac:dyDescent="0.3">
      <c r="A10" s="16" t="s">
        <v>37</v>
      </c>
      <c r="B10" s="14"/>
      <c r="C10" s="14"/>
      <c r="D10" s="14"/>
      <c r="E10" s="14"/>
      <c r="F10" s="14"/>
      <c r="G10" s="14"/>
      <c r="H10" s="14"/>
      <c r="I10" s="14"/>
      <c r="J10" s="14"/>
      <c r="K10" s="15"/>
      <c r="L10" s="15"/>
    </row>
    <row r="11" spans="1:12" ht="14.4" x14ac:dyDescent="0.3">
      <c r="A11" s="11"/>
      <c r="B11" s="14"/>
      <c r="C11" s="14"/>
      <c r="D11" s="14"/>
      <c r="E11" s="14"/>
      <c r="F11" s="14"/>
      <c r="G11" s="14"/>
      <c r="H11" s="14"/>
      <c r="I11" s="14"/>
      <c r="J11" s="14"/>
      <c r="K11" s="15"/>
      <c r="L11" s="15"/>
    </row>
    <row r="12" spans="1:12" ht="17.25" customHeight="1" thickBot="1" x14ac:dyDescent="0.35">
      <c r="A12" s="17"/>
      <c r="B12" s="18"/>
      <c r="C12" s="18"/>
      <c r="D12" s="18"/>
      <c r="E12" s="18"/>
      <c r="F12" s="18"/>
      <c r="G12" s="65"/>
      <c r="H12" s="18"/>
      <c r="I12" s="18"/>
      <c r="J12" s="18"/>
      <c r="K12" s="18"/>
      <c r="L12" s="18"/>
    </row>
    <row r="13" spans="1:12" ht="14.4" x14ac:dyDescent="0.3">
      <c r="A13" s="19"/>
      <c r="B13" s="20"/>
      <c r="C13" s="20"/>
      <c r="D13" s="20"/>
      <c r="E13" s="20"/>
      <c r="F13" s="20"/>
      <c r="G13" s="66"/>
      <c r="H13" s="20"/>
      <c r="I13" s="20"/>
      <c r="J13" s="20"/>
      <c r="K13" s="20"/>
      <c r="L13" s="20"/>
    </row>
    <row r="14" spans="1:12" thickBot="1" x14ac:dyDescent="0.35">
      <c r="A14" s="73" t="s">
        <v>3</v>
      </c>
      <c r="B14" s="89"/>
      <c r="C14" s="89"/>
      <c r="D14" s="89"/>
      <c r="E14" s="89"/>
      <c r="F14" s="89"/>
      <c r="G14" s="82"/>
      <c r="H14" s="89"/>
      <c r="I14" s="89"/>
      <c r="J14" s="89"/>
      <c r="K14" s="89"/>
      <c r="L14" s="90"/>
    </row>
    <row r="15" spans="1:12" thickBot="1" x14ac:dyDescent="0.35">
      <c r="A15" s="91" t="s">
        <v>98</v>
      </c>
      <c r="B15" s="92" t="s">
        <v>18</v>
      </c>
      <c r="C15" s="92" t="s">
        <v>60</v>
      </c>
      <c r="D15" s="92" t="s">
        <v>34</v>
      </c>
      <c r="E15" s="92" t="s">
        <v>152</v>
      </c>
      <c r="F15" s="92" t="s">
        <v>19</v>
      </c>
      <c r="G15" s="92" t="s">
        <v>151</v>
      </c>
      <c r="H15" s="93" t="s">
        <v>61</v>
      </c>
      <c r="I15" s="92" t="s">
        <v>62</v>
      </c>
      <c r="J15" s="92" t="s">
        <v>63</v>
      </c>
      <c r="K15" s="120" t="s">
        <v>104</v>
      </c>
      <c r="L15" s="94" t="s">
        <v>15</v>
      </c>
    </row>
    <row r="16" spans="1:12" ht="14.4" x14ac:dyDescent="0.3">
      <c r="A16" s="233" t="s">
        <v>244</v>
      </c>
      <c r="B16" s="173" t="s">
        <v>156</v>
      </c>
      <c r="C16" s="173" t="s">
        <v>157</v>
      </c>
      <c r="D16" s="173" t="s">
        <v>158</v>
      </c>
      <c r="E16" s="256">
        <v>80</v>
      </c>
      <c r="F16" s="173" t="s">
        <v>263</v>
      </c>
      <c r="G16" s="173" t="s">
        <v>27</v>
      </c>
      <c r="H16" s="261">
        <v>20</v>
      </c>
      <c r="I16" s="261">
        <v>200</v>
      </c>
      <c r="J16" s="211" t="s">
        <v>159</v>
      </c>
      <c r="K16" s="261" t="s">
        <v>301</v>
      </c>
      <c r="L16" s="214" t="s">
        <v>157</v>
      </c>
    </row>
    <row r="17" spans="1:12" ht="14.4" x14ac:dyDescent="0.3">
      <c r="A17" s="234" t="s">
        <v>245</v>
      </c>
      <c r="B17" s="174" t="s">
        <v>160</v>
      </c>
      <c r="C17" s="174" t="s">
        <v>274</v>
      </c>
      <c r="D17" s="174" t="s">
        <v>158</v>
      </c>
      <c r="E17" s="209">
        <v>7</v>
      </c>
      <c r="F17" s="174" t="s">
        <v>162</v>
      </c>
      <c r="G17" s="174" t="s">
        <v>27</v>
      </c>
      <c r="H17" s="262">
        <v>0.01</v>
      </c>
      <c r="I17" s="262">
        <v>5000</v>
      </c>
      <c r="J17" s="210" t="s">
        <v>163</v>
      </c>
      <c r="K17" s="262" t="s">
        <v>301</v>
      </c>
      <c r="L17" s="215" t="s">
        <v>161</v>
      </c>
    </row>
    <row r="18" spans="1:12" ht="14.4" x14ac:dyDescent="0.3">
      <c r="A18" s="234" t="s">
        <v>164</v>
      </c>
      <c r="B18" s="174" t="s">
        <v>165</v>
      </c>
      <c r="C18" s="174" t="s">
        <v>275</v>
      </c>
      <c r="D18" s="174" t="s">
        <v>167</v>
      </c>
      <c r="E18" s="209">
        <v>2</v>
      </c>
      <c r="F18" s="174" t="s">
        <v>168</v>
      </c>
      <c r="G18" s="174" t="s">
        <v>27</v>
      </c>
      <c r="H18" s="262">
        <v>2.0150000000000001</v>
      </c>
      <c r="I18" s="262">
        <v>2.016</v>
      </c>
      <c r="J18" s="210" t="s">
        <v>169</v>
      </c>
      <c r="K18" s="262" t="s">
        <v>301</v>
      </c>
      <c r="L18" s="215" t="s">
        <v>166</v>
      </c>
    </row>
    <row r="19" spans="1:12" ht="14.4" x14ac:dyDescent="0.3">
      <c r="A19" s="208" t="s">
        <v>170</v>
      </c>
      <c r="B19" s="174" t="s">
        <v>165</v>
      </c>
      <c r="C19" s="174" t="s">
        <v>171</v>
      </c>
      <c r="D19" s="174" t="s">
        <v>167</v>
      </c>
      <c r="E19" s="209">
        <v>18</v>
      </c>
      <c r="F19" s="174" t="s">
        <v>168</v>
      </c>
      <c r="G19" s="174" t="s">
        <v>27</v>
      </c>
      <c r="H19" s="262">
        <v>18.015000000000001</v>
      </c>
      <c r="I19" s="262">
        <v>18.02</v>
      </c>
      <c r="J19" s="210" t="s">
        <v>172</v>
      </c>
      <c r="K19" s="262" t="s">
        <v>301</v>
      </c>
      <c r="L19" s="215" t="s">
        <v>171</v>
      </c>
    </row>
    <row r="20" spans="1:12" ht="14.4" x14ac:dyDescent="0.3">
      <c r="A20" s="208" t="s">
        <v>173</v>
      </c>
      <c r="B20" s="174" t="s">
        <v>165</v>
      </c>
      <c r="C20" s="174" t="s">
        <v>174</v>
      </c>
      <c r="D20" s="174" t="s">
        <v>167</v>
      </c>
      <c r="E20" s="209">
        <v>32</v>
      </c>
      <c r="F20" s="174" t="s">
        <v>168</v>
      </c>
      <c r="G20" s="174" t="s">
        <v>27</v>
      </c>
      <c r="H20" s="262">
        <v>31.998000000000001</v>
      </c>
      <c r="I20" s="262">
        <v>32</v>
      </c>
      <c r="J20" s="210" t="s">
        <v>175</v>
      </c>
      <c r="K20" s="262" t="s">
        <v>301</v>
      </c>
      <c r="L20" s="215" t="s">
        <v>174</v>
      </c>
    </row>
    <row r="21" spans="1:12" ht="14.4" x14ac:dyDescent="0.3">
      <c r="A21" s="208" t="s">
        <v>176</v>
      </c>
      <c r="B21" s="174" t="s">
        <v>165</v>
      </c>
      <c r="C21" s="174" t="s">
        <v>177</v>
      </c>
      <c r="D21" s="174" t="s">
        <v>167</v>
      </c>
      <c r="E21" s="209">
        <v>96485.33</v>
      </c>
      <c r="F21" s="174" t="s">
        <v>178</v>
      </c>
      <c r="G21" s="174" t="s">
        <v>27</v>
      </c>
      <c r="H21" s="262">
        <v>96485.33</v>
      </c>
      <c r="I21" s="262">
        <v>96485.34</v>
      </c>
      <c r="J21" s="210" t="s">
        <v>179</v>
      </c>
      <c r="K21" s="262" t="s">
        <v>301</v>
      </c>
      <c r="L21" s="215" t="s">
        <v>177</v>
      </c>
    </row>
    <row r="22" spans="1:12" ht="14.4" x14ac:dyDescent="0.3">
      <c r="A22" s="234" t="s">
        <v>181</v>
      </c>
      <c r="B22" s="174" t="s">
        <v>160</v>
      </c>
      <c r="C22" s="174" t="s">
        <v>180</v>
      </c>
      <c r="D22" s="174" t="s">
        <v>158</v>
      </c>
      <c r="E22" s="209">
        <v>1.4</v>
      </c>
      <c r="F22" s="174" t="s">
        <v>181</v>
      </c>
      <c r="G22" s="174" t="s">
        <v>27</v>
      </c>
      <c r="H22" s="262">
        <v>0.4</v>
      </c>
      <c r="I22" s="262">
        <v>1.23</v>
      </c>
      <c r="J22" s="210" t="s">
        <v>182</v>
      </c>
      <c r="K22" s="262" t="s">
        <v>301</v>
      </c>
      <c r="L22" s="215" t="s">
        <v>180</v>
      </c>
    </row>
    <row r="23" spans="1:12" ht="14.4" x14ac:dyDescent="0.3">
      <c r="A23" s="234" t="s">
        <v>246</v>
      </c>
      <c r="B23" s="174" t="s">
        <v>160</v>
      </c>
      <c r="C23" s="174" t="s">
        <v>183</v>
      </c>
      <c r="D23" s="174" t="s">
        <v>158</v>
      </c>
      <c r="E23" s="209">
        <v>0.55000000000000004</v>
      </c>
      <c r="F23" s="174" t="s">
        <v>27</v>
      </c>
      <c r="G23" s="174" t="s">
        <v>27</v>
      </c>
      <c r="H23" s="262">
        <v>0</v>
      </c>
      <c r="I23" s="262">
        <v>1</v>
      </c>
      <c r="J23" s="210" t="s">
        <v>184</v>
      </c>
      <c r="K23" s="262" t="s">
        <v>301</v>
      </c>
      <c r="L23" s="215" t="s">
        <v>183</v>
      </c>
    </row>
    <row r="24" spans="1:12" ht="14.4" x14ac:dyDescent="0.3">
      <c r="A24" s="234" t="s">
        <v>247</v>
      </c>
      <c r="B24" s="174" t="s">
        <v>160</v>
      </c>
      <c r="C24" s="174" t="s">
        <v>280</v>
      </c>
      <c r="D24" s="174" t="s">
        <v>158</v>
      </c>
      <c r="E24" s="209">
        <v>1200</v>
      </c>
      <c r="F24" s="174" t="s">
        <v>186</v>
      </c>
      <c r="G24" s="174" t="s">
        <v>27</v>
      </c>
      <c r="H24" s="262">
        <v>100</v>
      </c>
      <c r="I24" s="262">
        <v>10000</v>
      </c>
      <c r="J24" s="210" t="s">
        <v>187</v>
      </c>
      <c r="K24" s="262" t="s">
        <v>301</v>
      </c>
      <c r="L24" s="215" t="s">
        <v>185</v>
      </c>
    </row>
    <row r="25" spans="1:12" ht="14.4" x14ac:dyDescent="0.3">
      <c r="A25" s="234" t="s">
        <v>248</v>
      </c>
      <c r="B25" s="174" t="s">
        <v>160</v>
      </c>
      <c r="C25" s="174" t="s">
        <v>276</v>
      </c>
      <c r="D25" s="174" t="s">
        <v>158</v>
      </c>
      <c r="E25" s="209">
        <v>5</v>
      </c>
      <c r="F25" s="174" t="s">
        <v>263</v>
      </c>
      <c r="G25" s="174" t="s">
        <v>27</v>
      </c>
      <c r="H25" s="262">
        <v>1</v>
      </c>
      <c r="I25" s="262">
        <v>50</v>
      </c>
      <c r="J25" s="210" t="s">
        <v>189</v>
      </c>
      <c r="K25" s="262" t="s">
        <v>301</v>
      </c>
      <c r="L25" s="215" t="s">
        <v>188</v>
      </c>
    </row>
    <row r="26" spans="1:12" ht="14.4" x14ac:dyDescent="0.3">
      <c r="A26" s="234" t="s">
        <v>249</v>
      </c>
      <c r="B26" s="174" t="s">
        <v>165</v>
      </c>
      <c r="C26" s="174" t="s">
        <v>289</v>
      </c>
      <c r="D26" s="174" t="s">
        <v>158</v>
      </c>
      <c r="E26" s="209">
        <v>60</v>
      </c>
      <c r="F26" s="174" t="s">
        <v>263</v>
      </c>
      <c r="G26" s="174" t="s">
        <v>27</v>
      </c>
      <c r="H26" s="262">
        <v>40</v>
      </c>
      <c r="I26" s="262">
        <v>180</v>
      </c>
      <c r="J26" s="210" t="s">
        <v>190</v>
      </c>
      <c r="K26" s="262" t="s">
        <v>301</v>
      </c>
      <c r="L26" s="215" t="s">
        <v>290</v>
      </c>
    </row>
    <row r="27" spans="1:12" ht="14.4" x14ac:dyDescent="0.3">
      <c r="A27" s="208" t="s">
        <v>191</v>
      </c>
      <c r="B27" s="174" t="s">
        <v>160</v>
      </c>
      <c r="C27" s="174" t="s">
        <v>192</v>
      </c>
      <c r="D27" s="174" t="s">
        <v>158</v>
      </c>
      <c r="E27" s="209">
        <v>0.06</v>
      </c>
      <c r="F27" s="174" t="s">
        <v>27</v>
      </c>
      <c r="G27" s="174" t="s">
        <v>27</v>
      </c>
      <c r="H27" s="262">
        <v>0</v>
      </c>
      <c r="I27" s="262">
        <v>1</v>
      </c>
      <c r="J27" s="210" t="s">
        <v>193</v>
      </c>
      <c r="K27" s="262" t="s">
        <v>301</v>
      </c>
      <c r="L27" s="215" t="s">
        <v>192</v>
      </c>
    </row>
    <row r="28" spans="1:12" ht="14.4" x14ac:dyDescent="0.3">
      <c r="A28" s="208" t="s">
        <v>194</v>
      </c>
      <c r="B28" s="174" t="s">
        <v>160</v>
      </c>
      <c r="C28" s="174" t="s">
        <v>195</v>
      </c>
      <c r="D28" s="174" t="s">
        <v>158</v>
      </c>
      <c r="E28" s="209">
        <v>40</v>
      </c>
      <c r="F28" s="174" t="s">
        <v>268</v>
      </c>
      <c r="G28" s="174" t="s">
        <v>27</v>
      </c>
      <c r="H28" s="262">
        <v>2</v>
      </c>
      <c r="I28" s="262">
        <v>50</v>
      </c>
      <c r="J28" s="210" t="s">
        <v>196</v>
      </c>
      <c r="K28" s="262" t="s">
        <v>301</v>
      </c>
      <c r="L28" s="215" t="s">
        <v>195</v>
      </c>
    </row>
    <row r="29" spans="1:12" ht="14.4" x14ac:dyDescent="0.3">
      <c r="A29" s="234" t="s">
        <v>250</v>
      </c>
      <c r="B29" s="174" t="s">
        <v>160</v>
      </c>
      <c r="C29" s="174" t="s">
        <v>277</v>
      </c>
      <c r="D29" s="174" t="s">
        <v>158</v>
      </c>
      <c r="E29" s="209">
        <f>MASSF_H2_IN/H2_MOL</f>
        <v>3.5</v>
      </c>
      <c r="F29" s="174" t="s">
        <v>198</v>
      </c>
      <c r="G29" s="174" t="s">
        <v>256</v>
      </c>
      <c r="H29" s="262">
        <v>5.0000000000000001E-3</v>
      </c>
      <c r="I29" s="262">
        <v>2500</v>
      </c>
      <c r="J29" s="210" t="s">
        <v>199</v>
      </c>
      <c r="K29" s="262" t="s">
        <v>301</v>
      </c>
      <c r="L29" s="215" t="s">
        <v>197</v>
      </c>
    </row>
    <row r="30" spans="1:12" ht="14.4" x14ac:dyDescent="0.3">
      <c r="A30" s="234" t="s">
        <v>251</v>
      </c>
      <c r="B30" s="174" t="s">
        <v>160</v>
      </c>
      <c r="C30" s="174" t="s">
        <v>288</v>
      </c>
      <c r="D30" s="174" t="s">
        <v>158</v>
      </c>
      <c r="E30" s="209">
        <f>MOLF_H2_IN*H2O_MOL</f>
        <v>63</v>
      </c>
      <c r="F30" s="174" t="s">
        <v>162</v>
      </c>
      <c r="G30" s="174" t="s">
        <v>257</v>
      </c>
      <c r="H30" s="262">
        <v>0.1</v>
      </c>
      <c r="I30" s="262">
        <v>45000</v>
      </c>
      <c r="J30" s="210" t="s">
        <v>201</v>
      </c>
      <c r="K30" s="262" t="s">
        <v>301</v>
      </c>
      <c r="L30" s="215" t="s">
        <v>200</v>
      </c>
    </row>
    <row r="31" spans="1:12" ht="14.4" x14ac:dyDescent="0.3">
      <c r="A31" s="234" t="s">
        <v>252</v>
      </c>
      <c r="B31" s="174" t="s">
        <v>160</v>
      </c>
      <c r="C31" s="174" t="s">
        <v>278</v>
      </c>
      <c r="D31" s="174" t="s">
        <v>158</v>
      </c>
      <c r="E31" s="209">
        <f>0.5*MOLF_H2_IN*O2_MOL</f>
        <v>56</v>
      </c>
      <c r="F31" s="174" t="s">
        <v>162</v>
      </c>
      <c r="G31" s="174" t="s">
        <v>258</v>
      </c>
      <c r="H31" s="262">
        <v>0.1</v>
      </c>
      <c r="I31" s="262">
        <v>40000</v>
      </c>
      <c r="J31" s="210" t="s">
        <v>203</v>
      </c>
      <c r="K31" s="262" t="s">
        <v>301</v>
      </c>
      <c r="L31" s="215" t="s">
        <v>202</v>
      </c>
    </row>
    <row r="32" spans="1:12" ht="14.4" x14ac:dyDescent="0.3">
      <c r="A32" s="234" t="s">
        <v>285</v>
      </c>
      <c r="B32" s="174" t="s">
        <v>160</v>
      </c>
      <c r="C32" s="174" t="s">
        <v>204</v>
      </c>
      <c r="D32" s="174" t="s">
        <v>158</v>
      </c>
      <c r="E32" s="209">
        <f>2*F*1000*MOLF_H2_IN/3600</f>
        <v>187610.36388888888</v>
      </c>
      <c r="F32" s="174" t="s">
        <v>205</v>
      </c>
      <c r="G32" s="174" t="s">
        <v>298</v>
      </c>
      <c r="H32" s="262">
        <v>1</v>
      </c>
      <c r="I32" s="262">
        <v>10000000</v>
      </c>
      <c r="J32" s="210" t="s">
        <v>206</v>
      </c>
      <c r="K32" s="262" t="s">
        <v>301</v>
      </c>
      <c r="L32" s="215" t="s">
        <v>204</v>
      </c>
    </row>
    <row r="33" spans="1:12" ht="14.4" x14ac:dyDescent="0.3">
      <c r="A33" s="234" t="s">
        <v>253</v>
      </c>
      <c r="B33" s="174" t="s">
        <v>207</v>
      </c>
      <c r="C33" s="174" t="s">
        <v>208</v>
      </c>
      <c r="D33" s="174" t="s">
        <v>158</v>
      </c>
      <c r="E33" s="209">
        <f>V*I_OUT*EFFIC/1000</f>
        <v>144.45998019444446</v>
      </c>
      <c r="F33" s="174" t="s">
        <v>155</v>
      </c>
      <c r="G33" s="174" t="s">
        <v>299</v>
      </c>
      <c r="H33" s="262">
        <v>0.5</v>
      </c>
      <c r="I33" s="262">
        <v>100000</v>
      </c>
      <c r="J33" s="210" t="s">
        <v>209</v>
      </c>
      <c r="K33" s="262" t="s">
        <v>301</v>
      </c>
      <c r="L33" s="215" t="s">
        <v>208</v>
      </c>
    </row>
    <row r="34" spans="1:12" ht="14.4" x14ac:dyDescent="0.3">
      <c r="A34" s="234" t="s">
        <v>254</v>
      </c>
      <c r="B34" s="174" t="s">
        <v>207</v>
      </c>
      <c r="C34" s="174" t="s">
        <v>210</v>
      </c>
      <c r="D34" s="174" t="s">
        <v>158</v>
      </c>
      <c r="E34" s="209" cm="1">
        <f t="array" ref="E34">POWER_EL_OUT*(1-EFFIC)/EFFIC</f>
        <v>118.19452924999999</v>
      </c>
      <c r="F34" s="174" t="s">
        <v>155</v>
      </c>
      <c r="G34" s="174" t="s">
        <v>259</v>
      </c>
      <c r="H34" s="262">
        <v>0.5</v>
      </c>
      <c r="I34" s="262">
        <v>150000</v>
      </c>
      <c r="J34" s="210" t="s">
        <v>211</v>
      </c>
      <c r="K34" s="262" t="s">
        <v>301</v>
      </c>
      <c r="L34" s="215" t="s">
        <v>210</v>
      </c>
    </row>
    <row r="35" spans="1:12" thickBot="1" x14ac:dyDescent="0.35">
      <c r="A35" s="235" t="s">
        <v>255</v>
      </c>
      <c r="B35" s="172" t="s">
        <v>160</v>
      </c>
      <c r="C35" s="172" t="s">
        <v>279</v>
      </c>
      <c r="D35" s="172" t="s">
        <v>158</v>
      </c>
      <c r="E35" s="212" cm="1">
        <f t="array" ref="E35">SIC_VAR*POWER_EL_OUT*(i*((i+1)^n))/((i+1)^(n-1))</f>
        <v>11025.18568844</v>
      </c>
      <c r="F35" s="172" t="s">
        <v>292</v>
      </c>
      <c r="G35" s="172" t="s">
        <v>260</v>
      </c>
      <c r="H35" s="263">
        <v>100</v>
      </c>
      <c r="I35" s="263">
        <v>1000000000</v>
      </c>
      <c r="J35" s="213" t="s">
        <v>213</v>
      </c>
      <c r="K35" s="263" t="s">
        <v>301</v>
      </c>
      <c r="L35" s="216" t="s">
        <v>212</v>
      </c>
    </row>
    <row r="58" spans="10:10" ht="15" customHeight="1" x14ac:dyDescent="0.3">
      <c r="J58" s="255"/>
    </row>
  </sheetData>
  <dataValidations count="3">
    <dataValidation type="list" allowBlank="1" showErrorMessage="1" sqref="B16:B35" xr:uid="{00000000-0002-0000-0300-000000000000}">
      <formula1>"CONTEXT,LITERATURE,MEASURED,DECISION"</formula1>
    </dataValidation>
    <dataValidation type="list" allowBlank="1" showErrorMessage="1" sqref="D16:D35" xr:uid="{00000000-0002-0000-0300-000001000000}">
      <formula1>"MANDATORY,OPTIONAL,PRIVATE"</formula1>
    </dataValidation>
    <dataValidation type="list" errorStyle="information" allowBlank="1" showInputMessage="1" showErrorMessage="1" sqref="F16:F35" xr:uid="{E41F773F-2187-4A23-8C47-C8F35186C3D5}">
      <formula1>"-,kg,s,m,K,°C,W,bar,kg/h,t/h,kW,kW/m2K,W/m2K,kJ/kgK,kJ/kg,m3/h,%,eur,eur/y,kWel/kWth,year"</formula1>
    </dataValidation>
  </dataValidations>
  <pageMargins left="0.7" right="0.7" top="0.75" bottom="0.75" header="0" footer="0"/>
  <pageSetup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E6F68-68C4-47FB-886E-D11D5290C740}">
  <sheetPr codeName="Sheet11"/>
  <dimension ref="A1:U42"/>
  <sheetViews>
    <sheetView showGridLines="0" topLeftCell="F1" zoomScale="55" zoomScaleNormal="55" workbookViewId="0">
      <selection activeCell="M25" sqref="M25"/>
    </sheetView>
  </sheetViews>
  <sheetFormatPr defaultColWidth="14.44140625" defaultRowHeight="15" customHeight="1" x14ac:dyDescent="0.3"/>
  <cols>
    <col min="1" max="1" width="59.109375" customWidth="1"/>
    <col min="2" max="2" width="43.77734375" customWidth="1"/>
    <col min="3" max="3" width="59.33203125" customWidth="1"/>
    <col min="4" max="4" width="45.33203125" customWidth="1"/>
    <col min="5" max="5" width="37.6640625" customWidth="1"/>
    <col min="6" max="6" width="42.109375" customWidth="1"/>
    <col min="7" max="7" width="34.33203125" customWidth="1"/>
    <col min="8" max="8" width="34.6640625" customWidth="1"/>
    <col min="9" max="9" width="29.109375" customWidth="1"/>
    <col min="10" max="10" width="35.33203125" customWidth="1"/>
    <col min="11" max="11" width="42.6640625" customWidth="1"/>
    <col min="12" max="12" width="43" customWidth="1"/>
    <col min="13" max="13" width="43.44140625" bestFit="1" customWidth="1"/>
    <col min="14" max="14" width="60.77734375" customWidth="1"/>
    <col min="15" max="15" width="22.33203125" bestFit="1" customWidth="1"/>
    <col min="16" max="16" width="19.77734375" customWidth="1"/>
    <col min="17" max="17" width="31.44140625" bestFit="1" customWidth="1"/>
    <col min="18" max="18" width="29" bestFit="1" customWidth="1"/>
    <col min="19" max="19" width="16.77734375" bestFit="1" customWidth="1"/>
    <col min="20" max="20" width="30.109375" customWidth="1"/>
    <col min="21" max="21" width="53.77734375" bestFit="1" customWidth="1"/>
    <col min="22" max="28" width="10.6640625" customWidth="1"/>
  </cols>
  <sheetData>
    <row r="1" spans="1:21" ht="14.25" customHeight="1" thickBot="1" x14ac:dyDescent="0.35">
      <c r="A1" s="87" t="s">
        <v>46</v>
      </c>
      <c r="B1" s="70"/>
      <c r="C1" s="70"/>
      <c r="D1" s="21"/>
      <c r="E1" s="22"/>
      <c r="F1" s="22"/>
      <c r="G1" s="22"/>
      <c r="H1" s="22"/>
      <c r="I1" s="4"/>
      <c r="J1" s="4"/>
      <c r="K1" s="5"/>
      <c r="L1" s="5"/>
      <c r="M1" s="5"/>
      <c r="N1" s="5"/>
    </row>
    <row r="2" spans="1:21" ht="50.4" customHeight="1" thickBot="1" x14ac:dyDescent="0.35">
      <c r="A2" s="241" t="s">
        <v>286</v>
      </c>
      <c r="B2" s="70"/>
      <c r="C2" s="70"/>
      <c r="D2" s="21"/>
      <c r="E2" s="22"/>
      <c r="F2" s="22"/>
      <c r="G2" s="22"/>
      <c r="H2" s="22"/>
      <c r="I2" s="4"/>
      <c r="J2" s="4"/>
      <c r="K2" s="5"/>
      <c r="L2" s="5"/>
      <c r="M2" s="5"/>
      <c r="N2" s="5"/>
    </row>
    <row r="3" spans="1:21" ht="14.25" customHeight="1" thickBot="1" x14ac:dyDescent="0.35">
      <c r="D3" s="21"/>
      <c r="E3" s="22"/>
      <c r="F3" s="22"/>
      <c r="G3" s="22"/>
      <c r="H3" s="22"/>
      <c r="I3" s="4"/>
      <c r="J3" s="4"/>
      <c r="K3" s="5"/>
      <c r="L3" s="5"/>
      <c r="M3" s="5"/>
      <c r="N3" s="5"/>
    </row>
    <row r="4" spans="1:21" thickBot="1" x14ac:dyDescent="0.35">
      <c r="A4" s="71"/>
      <c r="B4" s="23"/>
      <c r="C4" s="23"/>
      <c r="D4" s="4"/>
      <c r="E4" s="24"/>
      <c r="F4" s="24"/>
      <c r="G4" s="24"/>
      <c r="H4" s="25"/>
      <c r="I4" s="26"/>
      <c r="J4" s="26"/>
      <c r="K4" s="26"/>
      <c r="L4" s="26"/>
      <c r="M4" s="26"/>
      <c r="N4" s="26"/>
    </row>
    <row r="5" spans="1:21" thickBot="1" x14ac:dyDescent="0.35">
      <c r="A5" s="74" t="s">
        <v>48</v>
      </c>
      <c r="B5" s="75" t="s">
        <v>50</v>
      </c>
      <c r="C5" s="76" t="s">
        <v>49</v>
      </c>
      <c r="D5" s="51" t="s">
        <v>150</v>
      </c>
      <c r="E5" s="30"/>
      <c r="F5" s="30"/>
      <c r="G5" s="30"/>
      <c r="H5" s="28"/>
      <c r="I5" s="5"/>
      <c r="J5" s="5"/>
      <c r="K5" s="5"/>
      <c r="L5" s="5"/>
      <c r="M5" s="5"/>
      <c r="N5" s="5"/>
    </row>
    <row r="6" spans="1:21" thickBot="1" x14ac:dyDescent="0.35">
      <c r="A6" s="119" t="s">
        <v>230</v>
      </c>
      <c r="B6" s="128">
        <v>0</v>
      </c>
      <c r="C6" s="127">
        <v>1</v>
      </c>
      <c r="D6" s="31"/>
      <c r="E6" s="32"/>
      <c r="F6" s="33"/>
      <c r="G6" s="33"/>
      <c r="H6" s="34"/>
      <c r="I6" s="22"/>
      <c r="J6" s="22"/>
      <c r="K6" s="22"/>
      <c r="L6" s="22"/>
      <c r="M6" s="22"/>
      <c r="N6" s="22"/>
    </row>
    <row r="7" spans="1:21" thickBot="1" x14ac:dyDescent="0.35">
      <c r="A7" s="35"/>
      <c r="B7" s="36"/>
      <c r="C7" s="36"/>
      <c r="D7" s="37"/>
      <c r="E7" s="3"/>
      <c r="F7" s="24"/>
      <c r="G7" s="24"/>
      <c r="H7" s="25"/>
      <c r="I7" s="24"/>
      <c r="J7" s="24"/>
      <c r="K7" s="24"/>
      <c r="L7" s="24"/>
      <c r="M7" s="24"/>
      <c r="N7" s="24"/>
    </row>
    <row r="8" spans="1:21" ht="17.25" customHeight="1" thickBot="1" x14ac:dyDescent="0.35">
      <c r="A8" s="84" t="s">
        <v>47</v>
      </c>
      <c r="B8" s="70"/>
      <c r="C8" s="70"/>
      <c r="D8" s="25"/>
      <c r="E8" s="3"/>
      <c r="F8" s="24"/>
      <c r="G8" s="24"/>
      <c r="H8" s="25"/>
      <c r="I8" s="24"/>
      <c r="J8" s="24"/>
      <c r="K8" s="24"/>
      <c r="L8" s="24"/>
      <c r="M8" s="24"/>
      <c r="N8" s="24"/>
    </row>
    <row r="9" spans="1:21" ht="61.2" customHeight="1" thickBot="1" x14ac:dyDescent="0.35">
      <c r="A9" s="241" t="s">
        <v>272</v>
      </c>
      <c r="B9" s="70"/>
      <c r="C9" s="70"/>
      <c r="D9" s="3"/>
      <c r="E9" s="3"/>
      <c r="F9" s="24"/>
      <c r="G9" s="24"/>
      <c r="H9" s="25"/>
      <c r="I9" s="24"/>
      <c r="J9" s="24"/>
      <c r="K9" s="24"/>
      <c r="L9" s="24"/>
      <c r="M9" s="24"/>
      <c r="N9" s="24"/>
    </row>
    <row r="10" spans="1:21" thickBot="1" x14ac:dyDescent="0.35">
      <c r="A10" s="38"/>
      <c r="B10" s="24"/>
      <c r="C10" s="24"/>
      <c r="D10" s="3"/>
      <c r="E10" s="3"/>
      <c r="F10" s="24"/>
      <c r="G10" s="24"/>
      <c r="H10" s="25"/>
      <c r="I10" s="24"/>
      <c r="J10" s="24"/>
      <c r="K10" s="24"/>
      <c r="L10" s="24"/>
      <c r="M10" s="24"/>
      <c r="N10" s="24"/>
    </row>
    <row r="11" spans="1:21" thickBot="1" x14ac:dyDescent="0.35">
      <c r="A11" s="39" t="s">
        <v>59</v>
      </c>
      <c r="B11" s="24"/>
      <c r="C11" s="24"/>
      <c r="D11" s="3"/>
      <c r="E11" s="3"/>
      <c r="F11" s="24"/>
      <c r="G11" s="24"/>
      <c r="H11" s="25"/>
      <c r="I11" s="24"/>
      <c r="J11" s="24"/>
      <c r="K11" s="24"/>
      <c r="L11" s="24"/>
      <c r="M11" s="24"/>
      <c r="N11" s="24"/>
    </row>
    <row r="12" spans="1:21" thickBot="1" x14ac:dyDescent="0.35">
      <c r="A12" s="40" t="s">
        <v>58</v>
      </c>
      <c r="B12" s="41"/>
      <c r="D12" s="41"/>
      <c r="E12" s="41"/>
      <c r="F12" s="41"/>
      <c r="G12" s="41"/>
      <c r="H12" s="41"/>
      <c r="I12" s="42"/>
      <c r="J12" s="41"/>
      <c r="K12" s="41"/>
      <c r="L12" s="41"/>
      <c r="M12" s="27"/>
      <c r="N12" s="27"/>
    </row>
    <row r="13" spans="1:21" ht="19.5" customHeight="1" thickBot="1" x14ac:dyDescent="0.35">
      <c r="A13" s="73" t="s">
        <v>2</v>
      </c>
      <c r="B13" s="77"/>
      <c r="C13" s="77"/>
      <c r="D13" s="77"/>
      <c r="E13" s="77"/>
      <c r="F13" s="77"/>
      <c r="G13" s="77"/>
      <c r="H13" s="77"/>
      <c r="I13" s="77"/>
      <c r="J13" s="77"/>
      <c r="K13" s="77"/>
      <c r="L13" s="80"/>
      <c r="M13" s="80"/>
      <c r="N13" s="83"/>
    </row>
    <row r="14" spans="1:21" thickBot="1" x14ac:dyDescent="0.35">
      <c r="A14" s="91" t="s">
        <v>17</v>
      </c>
      <c r="B14" s="92" t="s">
        <v>18</v>
      </c>
      <c r="C14" s="92" t="s">
        <v>38</v>
      </c>
      <c r="D14" s="92" t="s">
        <v>147</v>
      </c>
      <c r="E14" s="92" t="s">
        <v>148</v>
      </c>
      <c r="F14" s="92" t="s">
        <v>145</v>
      </c>
      <c r="G14" s="93" t="s">
        <v>21</v>
      </c>
      <c r="H14" s="92" t="s">
        <v>146</v>
      </c>
      <c r="I14" s="92" t="s">
        <v>23</v>
      </c>
      <c r="J14" s="92" t="s">
        <v>24</v>
      </c>
      <c r="K14" s="92" t="s">
        <v>25</v>
      </c>
      <c r="L14" s="120" t="s">
        <v>26</v>
      </c>
      <c r="M14" s="120" t="s">
        <v>121</v>
      </c>
      <c r="N14" s="110" t="s">
        <v>15</v>
      </c>
    </row>
    <row r="15" spans="1:21" ht="14.4" x14ac:dyDescent="0.3">
      <c r="A15" s="221" t="s">
        <v>214</v>
      </c>
      <c r="B15" s="173" t="s">
        <v>214</v>
      </c>
      <c r="C15" s="173" t="s">
        <v>231</v>
      </c>
      <c r="D15" s="222">
        <f>POWER_EL_OUT</f>
        <v>144.45998019444446</v>
      </c>
      <c r="E15" s="173" t="s">
        <v>155</v>
      </c>
      <c r="F15" s="223" t="s">
        <v>27</v>
      </c>
      <c r="G15" s="223" t="s">
        <v>27</v>
      </c>
      <c r="H15" s="223" t="s">
        <v>27</v>
      </c>
      <c r="I15" s="223" t="s">
        <v>27</v>
      </c>
      <c r="J15" s="223" t="s">
        <v>27</v>
      </c>
      <c r="K15" s="223" t="s">
        <v>27</v>
      </c>
      <c r="L15" s="173" t="s">
        <v>27</v>
      </c>
      <c r="M15" s="236" t="s">
        <v>261</v>
      </c>
      <c r="N15" s="257" t="s">
        <v>240</v>
      </c>
      <c r="O15" s="1"/>
      <c r="P15" s="1"/>
      <c r="Q15" s="1"/>
      <c r="R15" s="1"/>
      <c r="S15" s="1"/>
      <c r="T15" s="1"/>
      <c r="U15" s="1"/>
    </row>
    <row r="16" spans="1:21" ht="14.4" x14ac:dyDescent="0.3">
      <c r="A16" s="218" t="s">
        <v>216</v>
      </c>
      <c r="B16" s="174" t="s">
        <v>218</v>
      </c>
      <c r="C16" s="174" t="s">
        <v>232</v>
      </c>
      <c r="D16" s="219">
        <f>MASSF_O2_IN</f>
        <v>56</v>
      </c>
      <c r="E16" s="174" t="s">
        <v>162</v>
      </c>
      <c r="F16" s="220">
        <v>25</v>
      </c>
      <c r="G16" s="220" t="s">
        <v>263</v>
      </c>
      <c r="H16" s="220">
        <v>1</v>
      </c>
      <c r="I16" s="220" t="s">
        <v>219</v>
      </c>
      <c r="J16" s="220">
        <v>-1</v>
      </c>
      <c r="K16" s="220" t="s">
        <v>220</v>
      </c>
      <c r="L16" s="174" t="s">
        <v>221</v>
      </c>
      <c r="M16" s="237" t="s">
        <v>262</v>
      </c>
      <c r="N16" s="258" t="s">
        <v>241</v>
      </c>
      <c r="O16" s="217"/>
      <c r="P16" s="217"/>
      <c r="Q16" s="217"/>
      <c r="R16" s="217"/>
      <c r="S16" s="217"/>
      <c r="T16" s="217"/>
      <c r="U16" s="217"/>
    </row>
    <row r="17" spans="1:21" ht="14.4" x14ac:dyDescent="0.3">
      <c r="A17" s="218" t="s">
        <v>222</v>
      </c>
      <c r="B17" s="174" t="s">
        <v>218</v>
      </c>
      <c r="C17" s="174" t="s">
        <v>232</v>
      </c>
      <c r="D17" s="219">
        <f>MASSF_H2_IN</f>
        <v>7</v>
      </c>
      <c r="E17" s="174" t="s">
        <v>162</v>
      </c>
      <c r="F17" s="220">
        <v>25</v>
      </c>
      <c r="G17" s="220" t="s">
        <v>263</v>
      </c>
      <c r="H17" s="220">
        <v>1</v>
      </c>
      <c r="I17" s="220" t="s">
        <v>219</v>
      </c>
      <c r="J17" s="220">
        <v>-1</v>
      </c>
      <c r="K17" s="220" t="s">
        <v>220</v>
      </c>
      <c r="L17" s="174" t="s">
        <v>224</v>
      </c>
      <c r="M17" s="237" t="s">
        <v>262</v>
      </c>
      <c r="N17" s="258" t="s">
        <v>242</v>
      </c>
      <c r="O17" s="217"/>
      <c r="P17" s="217"/>
      <c r="Q17" s="217"/>
      <c r="R17" s="217"/>
      <c r="S17" s="217"/>
      <c r="T17" s="217"/>
      <c r="U17" s="217"/>
    </row>
    <row r="18" spans="1:21" thickBot="1" x14ac:dyDescent="0.35">
      <c r="A18" s="224" t="s">
        <v>225</v>
      </c>
      <c r="B18" s="172" t="s">
        <v>227</v>
      </c>
      <c r="C18" s="172" t="s">
        <v>231</v>
      </c>
      <c r="D18" s="225">
        <f>MASSF_H2O_OUT</f>
        <v>63</v>
      </c>
      <c r="E18" s="172" t="s">
        <v>162</v>
      </c>
      <c r="F18" s="226">
        <v>25</v>
      </c>
      <c r="G18" s="226" t="s">
        <v>263</v>
      </c>
      <c r="H18" s="226">
        <v>1</v>
      </c>
      <c r="I18" s="226" t="s">
        <v>219</v>
      </c>
      <c r="J18" s="226">
        <v>-1</v>
      </c>
      <c r="K18" s="226" t="s">
        <v>228</v>
      </c>
      <c r="L18" s="172" t="s">
        <v>233</v>
      </c>
      <c r="M18" s="238" t="s">
        <v>262</v>
      </c>
      <c r="N18" s="259" t="s">
        <v>243</v>
      </c>
      <c r="O18" s="217"/>
      <c r="P18" s="217"/>
      <c r="Q18" s="217"/>
      <c r="R18" s="217"/>
      <c r="S18" s="217"/>
      <c r="T18" s="217"/>
      <c r="U18" s="217"/>
    </row>
    <row r="19" spans="1:21" thickBot="1" x14ac:dyDescent="0.35">
      <c r="A19" s="44"/>
      <c r="B19" s="36"/>
      <c r="C19" s="36"/>
      <c r="D19" s="36"/>
      <c r="E19" s="45"/>
      <c r="F19" s="46"/>
      <c r="G19" s="46"/>
      <c r="H19" s="46"/>
      <c r="I19" s="46"/>
      <c r="J19" s="45"/>
      <c r="K19" s="47"/>
      <c r="L19" s="36"/>
      <c r="M19" s="48"/>
      <c r="N19" s="36"/>
      <c r="O19" s="48"/>
      <c r="P19" s="48"/>
      <c r="Q19" s="48"/>
      <c r="R19" s="48"/>
      <c r="S19" s="48"/>
      <c r="T19" s="48"/>
      <c r="U19" s="48"/>
    </row>
    <row r="20" spans="1:21" ht="14.25" customHeight="1" thickBot="1" x14ac:dyDescent="0.35">
      <c r="A20" s="85" t="s">
        <v>56</v>
      </c>
      <c r="C20" s="70"/>
      <c r="D20" s="21"/>
      <c r="E20" s="22"/>
      <c r="F20" s="22"/>
      <c r="G20" s="22"/>
      <c r="H20" s="22"/>
      <c r="I20" s="4"/>
      <c r="J20" s="4"/>
      <c r="K20" s="5"/>
      <c r="L20" s="5"/>
      <c r="M20" s="5"/>
      <c r="N20" s="5"/>
      <c r="O20" s="22"/>
      <c r="P20" s="22"/>
      <c r="Q20" s="22"/>
      <c r="R20" s="22"/>
      <c r="S20" s="22"/>
      <c r="T20" s="22"/>
      <c r="U20" s="22"/>
    </row>
    <row r="21" spans="1:21" ht="39.450000000000003" customHeight="1" thickBot="1" x14ac:dyDescent="0.35">
      <c r="A21" s="241" t="s">
        <v>273</v>
      </c>
      <c r="C21" s="70"/>
      <c r="D21" s="21"/>
      <c r="E21" s="22"/>
      <c r="F21" s="22"/>
      <c r="G21" s="22"/>
      <c r="H21" s="22"/>
      <c r="I21" s="4"/>
      <c r="J21" s="4"/>
      <c r="K21" s="5"/>
      <c r="L21" s="5"/>
      <c r="M21" s="5"/>
      <c r="N21" s="5"/>
      <c r="O21" s="22"/>
      <c r="P21" s="22"/>
      <c r="Q21" s="22"/>
      <c r="R21" s="22"/>
      <c r="S21" s="22"/>
      <c r="T21" s="22"/>
      <c r="U21" s="22"/>
    </row>
    <row r="22" spans="1:21" thickBot="1" x14ac:dyDescent="0.35">
      <c r="A22" s="49"/>
      <c r="B22" s="24"/>
      <c r="C22" s="24"/>
      <c r="D22" s="24"/>
      <c r="E22" s="3"/>
      <c r="F22" s="43"/>
      <c r="G22" s="43"/>
      <c r="H22" s="43"/>
      <c r="I22" s="43"/>
      <c r="J22" s="3"/>
      <c r="K22" s="25"/>
      <c r="L22" s="24"/>
      <c r="M22" s="24"/>
      <c r="N22" s="24"/>
      <c r="O22" s="24"/>
      <c r="P22" s="24"/>
      <c r="Q22" s="24"/>
      <c r="R22" s="24"/>
      <c r="S22" s="24"/>
      <c r="T22" s="24"/>
      <c r="U22" s="24"/>
    </row>
    <row r="23" spans="1:21" thickBot="1" x14ac:dyDescent="0.35">
      <c r="A23" s="78" t="s">
        <v>40</v>
      </c>
      <c r="B23" s="79"/>
      <c r="C23" s="79"/>
      <c r="D23" s="79"/>
      <c r="E23" s="79"/>
      <c r="F23" s="79"/>
      <c r="G23" s="79"/>
      <c r="H23" s="79"/>
      <c r="I23" s="79"/>
      <c r="J23" s="79"/>
      <c r="K23" s="79"/>
      <c r="L23" s="79"/>
      <c r="M23" s="79"/>
      <c r="N23" s="79"/>
      <c r="O23" s="79"/>
      <c r="P23" s="79"/>
      <c r="Q23" s="79"/>
      <c r="R23" s="79"/>
      <c r="S23" s="79"/>
      <c r="T23" s="79"/>
      <c r="U23" s="83"/>
    </row>
    <row r="24" spans="1:21" thickBot="1" x14ac:dyDescent="0.35">
      <c r="A24" s="121" t="s">
        <v>52</v>
      </c>
      <c r="B24" s="122" t="s">
        <v>18</v>
      </c>
      <c r="C24" s="122" t="s">
        <v>109</v>
      </c>
      <c r="D24" s="123" t="s">
        <v>105</v>
      </c>
      <c r="E24" s="122" t="s">
        <v>110</v>
      </c>
      <c r="F24" s="122" t="s">
        <v>106</v>
      </c>
      <c r="G24" s="122" t="s">
        <v>111</v>
      </c>
      <c r="H24" s="122" t="s">
        <v>112</v>
      </c>
      <c r="I24" s="122" t="s">
        <v>113</v>
      </c>
      <c r="J24" s="122" t="s">
        <v>107</v>
      </c>
      <c r="K24" s="122" t="s">
        <v>114</v>
      </c>
      <c r="L24" s="122" t="s">
        <v>108</v>
      </c>
      <c r="M24" s="122" t="s">
        <v>115</v>
      </c>
      <c r="N24" s="122" t="s">
        <v>116</v>
      </c>
      <c r="O24" s="122" t="s">
        <v>117</v>
      </c>
      <c r="P24" s="122" t="s">
        <v>118</v>
      </c>
      <c r="Q24" s="122" t="s">
        <v>119</v>
      </c>
      <c r="R24" s="122" t="s">
        <v>120</v>
      </c>
      <c r="S24" s="124" t="s">
        <v>51</v>
      </c>
      <c r="T24" s="124" t="s">
        <v>121</v>
      </c>
      <c r="U24" s="110" t="s">
        <v>15</v>
      </c>
    </row>
    <row r="25" spans="1:21" ht="15.75" customHeight="1" thickBot="1" x14ac:dyDescent="0.35">
      <c r="A25" s="239" t="s">
        <v>234</v>
      </c>
      <c r="B25" s="227" t="s">
        <v>291</v>
      </c>
      <c r="C25" s="228">
        <f>T</f>
        <v>80</v>
      </c>
      <c r="D25" s="229" t="s">
        <v>263</v>
      </c>
      <c r="E25" s="228">
        <f>T_rec</f>
        <v>60</v>
      </c>
      <c r="F25" s="229" t="s">
        <v>263</v>
      </c>
      <c r="G25" s="230">
        <f>QF_OUT</f>
        <v>118.19452924999999</v>
      </c>
      <c r="H25" s="229" t="s">
        <v>155</v>
      </c>
      <c r="I25" s="230">
        <v>0</v>
      </c>
      <c r="J25" s="229" t="s">
        <v>155</v>
      </c>
      <c r="K25" s="240">
        <v>4.2</v>
      </c>
      <c r="L25" s="231" t="s">
        <v>265</v>
      </c>
      <c r="M25" s="240">
        <f>G25/K25/(C25-E25)*3600</f>
        <v>5065.4798249999985</v>
      </c>
      <c r="N25" s="229" t="s">
        <v>162</v>
      </c>
      <c r="O25" s="227">
        <v>5</v>
      </c>
      <c r="P25" s="229" t="s">
        <v>264</v>
      </c>
      <c r="Q25" s="230">
        <v>1</v>
      </c>
      <c r="R25" s="231" t="s">
        <v>266</v>
      </c>
      <c r="S25" s="230" t="s">
        <v>267</v>
      </c>
      <c r="T25" s="230" t="s">
        <v>262</v>
      </c>
      <c r="U25" s="260" t="s">
        <v>300</v>
      </c>
    </row>
    <row r="26" spans="1:21" ht="14.25" customHeight="1" thickBot="1" x14ac:dyDescent="0.35">
      <c r="A26" s="129"/>
      <c r="B26" s="129"/>
      <c r="C26" s="129"/>
      <c r="D26" s="129"/>
      <c r="E26" s="129"/>
      <c r="F26" s="129"/>
      <c r="G26" s="129"/>
      <c r="H26" s="129"/>
      <c r="I26" s="129"/>
      <c r="J26" s="129"/>
      <c r="K26" s="129"/>
      <c r="L26" s="130"/>
      <c r="M26" s="130"/>
      <c r="N26" s="130"/>
      <c r="O26" s="65"/>
      <c r="P26" s="65"/>
      <c r="Q26" s="65"/>
      <c r="R26" s="65"/>
      <c r="S26" s="65"/>
      <c r="T26" s="65"/>
      <c r="U26" s="65"/>
    </row>
    <row r="27" spans="1:21" ht="14.25" customHeight="1" thickBot="1" x14ac:dyDescent="0.35">
      <c r="A27" s="87" t="s">
        <v>44</v>
      </c>
      <c r="B27" s="70"/>
      <c r="C27" s="70"/>
      <c r="D27" s="21"/>
      <c r="E27" s="22"/>
      <c r="F27" s="22"/>
      <c r="G27" s="22"/>
      <c r="H27" s="22"/>
      <c r="I27" s="72"/>
      <c r="J27" s="4"/>
      <c r="K27" s="5"/>
      <c r="L27" s="70"/>
      <c r="M27" s="70"/>
      <c r="N27" s="70"/>
      <c r="O27" s="22"/>
      <c r="P27" s="22"/>
      <c r="Q27" s="22"/>
      <c r="R27" s="22"/>
      <c r="S27" s="22"/>
      <c r="T27" s="22"/>
      <c r="U27" s="22"/>
    </row>
    <row r="28" spans="1:21" ht="57.45" customHeight="1" thickBot="1" x14ac:dyDescent="0.35">
      <c r="A28" s="242" t="s">
        <v>287</v>
      </c>
      <c r="B28" s="70"/>
      <c r="C28" s="70"/>
      <c r="D28" s="21"/>
      <c r="E28" s="22"/>
      <c r="F28" s="22"/>
      <c r="G28" s="22"/>
      <c r="H28" s="22"/>
      <c r="I28" s="4"/>
      <c r="J28" s="4"/>
      <c r="K28" s="5"/>
      <c r="L28" s="70"/>
      <c r="M28" s="70"/>
      <c r="N28" s="70"/>
      <c r="O28" s="22"/>
      <c r="P28" s="22"/>
      <c r="Q28" s="22"/>
      <c r="R28" s="22"/>
      <c r="S28" s="22"/>
      <c r="T28" s="22"/>
      <c r="U28" s="22"/>
    </row>
    <row r="29" spans="1:21" ht="15.75" customHeight="1" thickBot="1" x14ac:dyDescent="0.35">
      <c r="A29" s="52"/>
      <c r="B29" s="41"/>
      <c r="C29" s="41"/>
      <c r="D29" s="41"/>
      <c r="E29" s="53"/>
      <c r="F29" s="27"/>
      <c r="G29" s="27"/>
      <c r="H29" s="27"/>
      <c r="I29" s="27"/>
      <c r="J29" s="30"/>
      <c r="K29" s="30"/>
      <c r="L29" s="30"/>
      <c r="M29" s="50"/>
      <c r="O29" s="30"/>
      <c r="P29" s="30"/>
      <c r="Q29" s="30"/>
      <c r="R29" s="30"/>
      <c r="S29" s="30"/>
      <c r="T29" s="30"/>
      <c r="U29" s="30"/>
    </row>
    <row r="30" spans="1:21" ht="15.75" customHeight="1" thickBot="1" x14ac:dyDescent="0.35">
      <c r="A30" s="107" t="s">
        <v>41</v>
      </c>
      <c r="B30" s="108"/>
      <c r="C30" s="108"/>
      <c r="D30" s="108"/>
      <c r="E30" s="108"/>
      <c r="F30" s="108"/>
      <c r="G30" s="109"/>
      <c r="H30" s="54" t="s">
        <v>122</v>
      </c>
      <c r="I30" s="30"/>
      <c r="J30" s="30"/>
      <c r="K30" s="30"/>
      <c r="L30" s="30"/>
      <c r="M30" s="30"/>
      <c r="N30" s="27"/>
      <c r="O30" s="30"/>
      <c r="P30" s="30"/>
      <c r="Q30" s="30"/>
      <c r="R30" s="30"/>
      <c r="S30" s="30"/>
      <c r="T30" s="30"/>
      <c r="U30" s="30"/>
    </row>
    <row r="31" spans="1:21" ht="15.75" customHeight="1" thickBot="1" x14ac:dyDescent="0.35">
      <c r="A31" s="91" t="s">
        <v>52</v>
      </c>
      <c r="B31" s="92" t="s">
        <v>18</v>
      </c>
      <c r="C31" s="92" t="s">
        <v>103</v>
      </c>
      <c r="D31" s="92" t="s">
        <v>104</v>
      </c>
      <c r="E31" s="92" t="s">
        <v>53</v>
      </c>
      <c r="F31" s="92" t="s">
        <v>39</v>
      </c>
      <c r="G31" s="94" t="s">
        <v>149</v>
      </c>
      <c r="H31" s="56"/>
      <c r="I31" s="55"/>
      <c r="J31" s="57"/>
      <c r="K31" s="33"/>
      <c r="L31" s="33"/>
      <c r="M31" s="33"/>
      <c r="N31" s="30"/>
      <c r="O31" s="30"/>
      <c r="P31" s="30"/>
      <c r="Q31" s="30"/>
      <c r="R31" s="30"/>
      <c r="S31" s="30"/>
      <c r="T31" s="30"/>
      <c r="U31" s="30"/>
    </row>
    <row r="32" spans="1:21" ht="15.75" customHeight="1" thickBot="1" x14ac:dyDescent="0.35">
      <c r="A32" s="243" t="s">
        <v>230</v>
      </c>
      <c r="B32" s="243" t="s">
        <v>270</v>
      </c>
      <c r="C32" s="243" t="s">
        <v>235</v>
      </c>
      <c r="D32" s="243" t="s">
        <v>271</v>
      </c>
      <c r="E32" s="244" t="s">
        <v>247</v>
      </c>
      <c r="F32" s="243">
        <f>SIC_VAR</f>
        <v>1200</v>
      </c>
      <c r="G32" s="245" t="s">
        <v>269</v>
      </c>
      <c r="H32" s="56"/>
      <c r="I32" s="58"/>
      <c r="J32" s="22"/>
      <c r="K32" s="3"/>
      <c r="L32" s="3"/>
      <c r="M32" s="24"/>
      <c r="N32" s="29"/>
      <c r="O32" s="30"/>
      <c r="P32" s="30"/>
      <c r="Q32" s="30"/>
      <c r="R32" s="30"/>
      <c r="S32" s="30"/>
      <c r="T32" s="30"/>
      <c r="U32" s="30"/>
    </row>
    <row r="33" spans="1:21" ht="15.75" customHeight="1" x14ac:dyDescent="0.3">
      <c r="A33" s="246"/>
      <c r="B33" s="246"/>
      <c r="C33" s="246"/>
      <c r="D33" s="246"/>
      <c r="E33" s="247" t="s">
        <v>253</v>
      </c>
      <c r="F33" s="246">
        <f>POWER_EL_OUT</f>
        <v>144.45998019444446</v>
      </c>
      <c r="G33" s="248" t="s">
        <v>155</v>
      </c>
      <c r="H33" s="232"/>
      <c r="I33" s="232"/>
      <c r="J33" s="232"/>
      <c r="K33" s="146"/>
      <c r="L33" s="146"/>
      <c r="M33" s="129"/>
      <c r="N33" s="129"/>
      <c r="O33" s="129"/>
      <c r="P33" s="129"/>
      <c r="Q33" s="129"/>
      <c r="R33" s="129"/>
      <c r="S33" s="129"/>
      <c r="T33" s="129"/>
      <c r="U33" s="129"/>
    </row>
    <row r="34" spans="1:21" ht="15.75" customHeight="1" x14ac:dyDescent="0.3">
      <c r="A34" s="246"/>
      <c r="B34" s="246"/>
      <c r="C34" s="246"/>
      <c r="D34" s="246"/>
      <c r="E34" s="249" t="s">
        <v>191</v>
      </c>
      <c r="F34" s="250">
        <f>VARIABLES!E27</f>
        <v>0.06</v>
      </c>
      <c r="G34" s="248" t="s">
        <v>27</v>
      </c>
      <c r="H34" s="232"/>
      <c r="I34" s="232"/>
      <c r="J34" s="232"/>
      <c r="K34" s="146"/>
      <c r="L34" s="146"/>
      <c r="M34" s="129"/>
      <c r="N34" s="129"/>
      <c r="O34" s="129"/>
      <c r="P34" s="129"/>
      <c r="Q34" s="129"/>
      <c r="R34" s="129"/>
      <c r="S34" s="129"/>
      <c r="T34" s="129"/>
      <c r="U34" s="129"/>
    </row>
    <row r="35" spans="1:21" ht="15.75" customHeight="1" thickBot="1" x14ac:dyDescent="0.35">
      <c r="A35" s="251"/>
      <c r="B35" s="251"/>
      <c r="C35" s="251"/>
      <c r="D35" s="251"/>
      <c r="E35" s="252" t="s">
        <v>194</v>
      </c>
      <c r="F35" s="251">
        <f>n</f>
        <v>40</v>
      </c>
      <c r="G35" s="253" t="s">
        <v>268</v>
      </c>
      <c r="H35" s="232"/>
      <c r="I35" s="232"/>
      <c r="J35" s="232"/>
      <c r="K35" s="146"/>
      <c r="L35" s="146"/>
      <c r="M35" s="129"/>
      <c r="N35" s="129"/>
      <c r="O35" s="129"/>
      <c r="P35" s="129"/>
      <c r="Q35" s="129"/>
      <c r="R35" s="129"/>
      <c r="S35" s="129"/>
      <c r="T35" s="129"/>
      <c r="U35" s="129"/>
    </row>
    <row r="36" spans="1:21" ht="42" customHeight="1" thickBot="1" x14ac:dyDescent="0.35">
      <c r="A36" s="88"/>
      <c r="B36" s="59"/>
      <c r="C36" s="131"/>
      <c r="D36" s="59"/>
      <c r="E36" s="59"/>
      <c r="F36" s="59"/>
      <c r="G36" s="59"/>
      <c r="H36" s="55"/>
    </row>
    <row r="37" spans="1:21" ht="15.75" customHeight="1" thickBot="1" x14ac:dyDescent="0.35">
      <c r="A37" s="87" t="s">
        <v>45</v>
      </c>
      <c r="B37" s="70"/>
      <c r="C37" s="70"/>
      <c r="D37" s="55"/>
      <c r="E37" s="55"/>
      <c r="F37" s="55"/>
      <c r="G37" s="55"/>
      <c r="H37" s="61"/>
    </row>
    <row r="38" spans="1:21" ht="34.799999999999997" customHeight="1" thickBot="1" x14ac:dyDescent="0.35">
      <c r="A38" s="86" t="s">
        <v>42</v>
      </c>
      <c r="B38" s="70"/>
      <c r="C38" s="70"/>
      <c r="D38" s="55"/>
      <c r="E38" s="55"/>
      <c r="F38" s="55"/>
      <c r="G38" s="55"/>
      <c r="H38" s="55"/>
    </row>
    <row r="39" spans="1:21" ht="15.75" customHeight="1" thickBot="1" x14ac:dyDescent="0.35">
      <c r="A39" s="60"/>
      <c r="B39" s="61"/>
      <c r="C39" s="45"/>
      <c r="D39" s="61"/>
      <c r="E39" s="61"/>
      <c r="F39" s="61"/>
      <c r="G39" s="61"/>
      <c r="H39" s="55"/>
    </row>
    <row r="40" spans="1:21" ht="15.75" customHeight="1" thickBot="1" x14ac:dyDescent="0.35">
      <c r="A40" s="62" t="s">
        <v>57</v>
      </c>
      <c r="B40" s="63"/>
      <c r="C40" s="64"/>
      <c r="D40" s="55"/>
      <c r="E40" s="55"/>
      <c r="F40" s="55"/>
      <c r="G40" s="55"/>
      <c r="H40" s="55"/>
    </row>
    <row r="41" spans="1:21" ht="15.75" customHeight="1" thickBot="1" x14ac:dyDescent="0.35">
      <c r="A41" s="125" t="s">
        <v>54</v>
      </c>
      <c r="B41" s="126" t="s">
        <v>55</v>
      </c>
      <c r="C41" s="55"/>
      <c r="D41" s="55"/>
      <c r="E41" s="55"/>
      <c r="F41" s="55"/>
      <c r="G41" s="55"/>
      <c r="H41" s="55"/>
    </row>
    <row r="42" spans="1:21" ht="15.75" customHeight="1" thickBot="1" x14ac:dyDescent="0.35">
      <c r="A42" s="119">
        <v>0</v>
      </c>
      <c r="B42" s="127">
        <v>0</v>
      </c>
      <c r="C42" s="55"/>
      <c r="D42" s="55"/>
      <c r="E42" s="55"/>
      <c r="F42" s="55"/>
      <c r="G42" s="55"/>
      <c r="H42" s="55"/>
    </row>
  </sheetData>
  <dataValidations count="4">
    <dataValidation type="list" allowBlank="1" showErrorMessage="1" sqref="B25" xr:uid="{85DCA4D6-6D6D-4BCF-A555-81D7FCA39C67}">
      <formula1>"Cold,Hot"</formula1>
    </dataValidation>
    <dataValidation type="list" allowBlank="1" showErrorMessage="1" sqref="C15:C18" xr:uid="{BE983E32-4CEA-46DA-8133-C8983BA7E6B4}">
      <formula1>"IN,OUT"</formula1>
    </dataValidation>
    <dataValidation type="list" allowBlank="1" showErrorMessage="1" sqref="B15:B18" xr:uid="{880133B7-C241-4476-BD5D-FAD497AD58EA}">
      <formula1>"MASS,ELECTRICITY,EMISSIONS,ENERGY"</formula1>
    </dataValidation>
    <dataValidation type="list" errorStyle="information" allowBlank="1" showInputMessage="1" showErrorMessage="1" sqref="E15:E18 G15:G18 I15:I18 D25 F25 H25 J25 L25 N25 P25 R25 G32:G35" xr:uid="{D63C5E95-C159-47E4-A6B9-AC82ABA87F80}">
      <formula1>"-,kg,s,m,K,°C,W,bar,kg/h,t/h,kW,kW/m2K,W/m2K,kJ/kgK,kJ/kg,m3/h,%,eur,eur/y,kWel/kWth,year"</formula1>
    </dataValidation>
  </dataValidations>
  <pageMargins left="0.7" right="0.7" top="0.75" bottom="0.75" header="0" footer="0"/>
  <pageSetup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C2"/>
  <sheetViews>
    <sheetView showGridLines="0" zoomScale="85" zoomScaleNormal="85" workbookViewId="0">
      <selection activeCell="F26" sqref="F26"/>
    </sheetView>
  </sheetViews>
  <sheetFormatPr defaultColWidth="14.44140625" defaultRowHeight="15" customHeight="1" x14ac:dyDescent="0.3"/>
  <cols>
    <col min="1" max="1" width="32.109375" bestFit="1" customWidth="1"/>
    <col min="2" max="2" width="20" customWidth="1"/>
    <col min="3" max="3" width="16.44140625" customWidth="1"/>
    <col min="6" max="6" width="24" customWidth="1"/>
  </cols>
  <sheetData>
    <row r="1" spans="1:3" ht="15" customHeight="1" thickBot="1" x14ac:dyDescent="0.35">
      <c r="A1" s="95" t="s">
        <v>96</v>
      </c>
      <c r="B1" s="96" t="s">
        <v>39</v>
      </c>
      <c r="C1" s="97" t="s">
        <v>19</v>
      </c>
    </row>
    <row r="2" spans="1:3" thickBot="1" x14ac:dyDescent="0.35">
      <c r="A2" s="133" t="s">
        <v>27</v>
      </c>
      <c r="B2" s="132" t="s">
        <v>27</v>
      </c>
      <c r="C2" s="134" t="s">
        <v>27</v>
      </c>
    </row>
  </sheetData>
  <dataValidations count="1">
    <dataValidation type="list" errorStyle="information" allowBlank="1" showInputMessage="1" showErrorMessage="1" sqref="C2" xr:uid="{223E4207-29F0-4EEA-94C1-CA8AC2BB0CC3}">
      <formula1>"-,kg,s,m,K,°C,W,bar,kg/h,t/h,kW,kW/m2K,W/m2K,kJ/kgK,kJ/kg,m3/h,%,eur,eur/y,kWel/kWth,year"</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D2"/>
  <sheetViews>
    <sheetView showGridLines="0" workbookViewId="0">
      <selection activeCell="B2" sqref="B2"/>
    </sheetView>
  </sheetViews>
  <sheetFormatPr defaultColWidth="14.44140625" defaultRowHeight="15" customHeight="1" x14ac:dyDescent="0.3"/>
  <cols>
    <col min="2" max="2" width="29.77734375" bestFit="1" customWidth="1"/>
  </cols>
  <sheetData>
    <row r="1" spans="1:4" thickBot="1" x14ac:dyDescent="0.35">
      <c r="A1" s="95" t="s">
        <v>69</v>
      </c>
      <c r="B1" s="96" t="s">
        <v>93</v>
      </c>
      <c r="C1" s="96" t="s">
        <v>91</v>
      </c>
      <c r="D1" s="97" t="s">
        <v>92</v>
      </c>
    </row>
    <row r="2" spans="1:4" ht="15" customHeight="1" thickBot="1" x14ac:dyDescent="0.35">
      <c r="A2" s="138" t="s">
        <v>94</v>
      </c>
      <c r="B2" s="254" t="s">
        <v>7</v>
      </c>
      <c r="C2" s="139">
        <v>46133</v>
      </c>
      <c r="D2" s="140" t="s">
        <v>95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G3"/>
  <sheetViews>
    <sheetView showGridLines="0" zoomScale="85" zoomScaleNormal="85" workbookViewId="0">
      <selection activeCell="E19" sqref="E19"/>
    </sheetView>
  </sheetViews>
  <sheetFormatPr defaultColWidth="8.77734375" defaultRowHeight="14.4" x14ac:dyDescent="0.3"/>
  <cols>
    <col min="1" max="1" width="12.77734375" customWidth="1"/>
    <col min="2" max="2" width="18.44140625" customWidth="1"/>
    <col min="3" max="3" width="12.77734375" customWidth="1"/>
    <col min="4" max="4" width="11.44140625" customWidth="1"/>
    <col min="5" max="5" width="10" customWidth="1"/>
    <col min="6" max="6" width="32" customWidth="1"/>
    <col min="7" max="7" width="14.44140625" bestFit="1" customWidth="1"/>
  </cols>
  <sheetData>
    <row r="1" spans="1:7" ht="15" thickBot="1" x14ac:dyDescent="0.35">
      <c r="A1" s="81" t="s">
        <v>89</v>
      </c>
      <c r="B1" s="80"/>
      <c r="C1" s="80"/>
      <c r="D1" s="80"/>
      <c r="E1" s="80"/>
      <c r="F1" s="80"/>
      <c r="G1" s="83"/>
    </row>
    <row r="2" spans="1:7" ht="15" thickBot="1" x14ac:dyDescent="0.35">
      <c r="A2" s="135" t="s">
        <v>90</v>
      </c>
      <c r="B2" s="120" t="s">
        <v>52</v>
      </c>
      <c r="C2" s="120" t="s">
        <v>18</v>
      </c>
      <c r="D2" s="120" t="s">
        <v>88</v>
      </c>
      <c r="E2" s="120" t="s">
        <v>87</v>
      </c>
      <c r="F2" s="120" t="s">
        <v>86</v>
      </c>
      <c r="G2" s="110" t="s">
        <v>71</v>
      </c>
    </row>
    <row r="3" spans="1:7" ht="15" thickBot="1" x14ac:dyDescent="0.35">
      <c r="A3" s="136">
        <v>1</v>
      </c>
      <c r="B3" s="254" t="s">
        <v>281</v>
      </c>
      <c r="C3" s="254" t="s">
        <v>282</v>
      </c>
      <c r="D3" s="254" t="s">
        <v>283</v>
      </c>
      <c r="E3" s="254" t="s">
        <v>284</v>
      </c>
      <c r="F3" s="254" t="s">
        <v>7</v>
      </c>
      <c r="G3" s="137">
        <v>46133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4D4E5-030F-4A13-8929-C07765834F1C}">
  <sheetPr codeName="Sheet3"/>
  <dimension ref="A1:A29"/>
  <sheetViews>
    <sheetView showGridLines="0" tabSelected="1" topLeftCell="A5" workbookViewId="0">
      <selection activeCell="D20" sqref="D20"/>
    </sheetView>
  </sheetViews>
  <sheetFormatPr defaultRowHeight="14.4" x14ac:dyDescent="0.3"/>
  <cols>
    <col min="1" max="1" width="140.77734375" style="266" customWidth="1"/>
    <col min="2" max="16384" width="8.88671875" style="266"/>
  </cols>
  <sheetData>
    <row r="1" spans="1:1" ht="15.6" thickTop="1" thickBot="1" x14ac:dyDescent="0.35">
      <c r="A1" s="265" t="s">
        <v>293</v>
      </c>
    </row>
    <row r="2" spans="1:1" ht="29.4" thickTop="1" x14ac:dyDescent="0.3">
      <c r="A2" s="266" t="s">
        <v>302</v>
      </c>
    </row>
    <row r="3" spans="1:1" ht="28.8" x14ac:dyDescent="0.3">
      <c r="A3" s="266" t="s">
        <v>303</v>
      </c>
    </row>
    <row r="4" spans="1:1" ht="15" thickBot="1" x14ac:dyDescent="0.35"/>
    <row r="5" spans="1:1" ht="15.6" thickTop="1" thickBot="1" x14ac:dyDescent="0.35">
      <c r="A5" s="265" t="s">
        <v>294</v>
      </c>
    </row>
    <row r="6" spans="1:1" ht="29.4" thickTop="1" x14ac:dyDescent="0.3">
      <c r="A6" s="266" t="s">
        <v>304</v>
      </c>
    </row>
    <row r="7" spans="1:1" x14ac:dyDescent="0.3">
      <c r="A7" s="266" t="str">
        <f>"Current Performance: Stack Voltage = "&amp;TEXT(V,"0.00")&amp;" V | Efficiency = "&amp;TEXT(EFFIC*100,"0")&amp;"%."</f>
        <v>Current Performance: Stack Voltage = 1.40 V | Efficiency = 55%.</v>
      </c>
    </row>
    <row r="8" spans="1:1" ht="15" thickBot="1" x14ac:dyDescent="0.35"/>
    <row r="9" spans="1:1" ht="15.6" thickTop="1" thickBot="1" x14ac:dyDescent="0.35">
      <c r="A9" s="265" t="s">
        <v>295</v>
      </c>
    </row>
    <row r="10" spans="1:1" ht="29.4" thickTop="1" x14ac:dyDescent="0.3">
      <c r="A10" s="266" t="s">
        <v>305</v>
      </c>
    </row>
    <row r="11" spans="1:1" x14ac:dyDescent="0.3">
      <c r="A11" s="266" t="str">
        <f>"Operational Constraints: Stack Temperature = "&amp;TEXT(T,"0.0")&amp;" °C | DT_min = "&amp;TEXT(DT_MIN,"0.0")&amp;" K."</f>
        <v>Operational Constraints: Stack Temperature = 80.0 °C | DT_min = 5.0 K.</v>
      </c>
    </row>
    <row r="12" spans="1:1" ht="15" thickBot="1" x14ac:dyDescent="0.35"/>
    <row r="13" spans="1:1" ht="15.6" thickTop="1" thickBot="1" x14ac:dyDescent="0.35">
      <c r="A13" s="265" t="s">
        <v>296</v>
      </c>
    </row>
    <row r="14" spans="1:1" ht="15" thickTop="1" x14ac:dyDescent="0.3">
      <c r="A14" s="266" t="str">
        <f>" Mass flow of the hydrogen: "&amp;TEXT(MASSF_H2_IN,"#,##0.00")&amp;" "&amp;"kg/h"</f>
        <v xml:space="preserve"> Mass flow of the hydrogen: 7.00 kg/h</v>
      </c>
    </row>
    <row r="15" spans="1:1" x14ac:dyDescent="0.3">
      <c r="A15" s="266" t="str">
        <f>" Mass flow of oxygen: "&amp;TEXT(MASSF_O2_IN,"#,##0.00")&amp;" "&amp;"kg/h"</f>
        <v xml:space="preserve"> Mass flow of oxygen: 56.00 kg/h</v>
      </c>
    </row>
    <row r="16" spans="1:1" x14ac:dyDescent="0.3">
      <c r="A16" s="266" t="str">
        <f>"Mass flow of water: "&amp;TEXT(MASSF_H2O_OUT,"#,##0.00")&amp;" "&amp;"kg/h"</f>
        <v>Mass flow of water: 63.00 kg/h</v>
      </c>
    </row>
    <row r="17" spans="1:1" x14ac:dyDescent="0.3">
      <c r="A17" s="266" t="str">
        <f>"Fuel cell power output: "&amp;TEXT(POWER_EL_OUT,"#,##0.00")&amp;" "&amp;"kW"</f>
        <v>Fuel cell power output: 144.46 kW</v>
      </c>
    </row>
    <row r="18" spans="1:1" x14ac:dyDescent="0.3">
      <c r="A18" s="266" t="str">
        <f>"Fuel cell heat output: "&amp;TEXT(QF_OUT,"#,##0.00")&amp;" "&amp;"kW"</f>
        <v>Fuel cell heat output: 118.19 kW</v>
      </c>
    </row>
    <row r="19" spans="1:1" x14ac:dyDescent="0.3">
      <c r="A19" s="266" t="str">
        <f>"Temperature of the fuel cell: "&amp;TEXT(T,"#,##0.00")&amp;" "&amp;"°C"</f>
        <v>Temperature of the fuel cell: 80.00 °C</v>
      </c>
    </row>
    <row r="20" spans="1:1" x14ac:dyDescent="0.3">
      <c r="A20" s="266" t="str">
        <f>"Cooling return temperature : "&amp;TEXT(T_rec,"#,##0.00")&amp;" "&amp;"°C"</f>
        <v>Cooling return temperature : 60.00 °C</v>
      </c>
    </row>
    <row r="21" spans="1:1" x14ac:dyDescent="0.3">
      <c r="A21" s="266" t="str">
        <f>"Voltage of the cell: "&amp;TEXT(V,"#,##0.00")&amp;" "&amp;"V"</f>
        <v>Voltage of the cell: 1.40 V</v>
      </c>
    </row>
    <row r="22" spans="1:1" x14ac:dyDescent="0.3">
      <c r="A22" s="266" t="str">
        <f>"Efficiency of the cell: "&amp;TEXT(EFFIC,"#,##0.00")&amp;" "&amp;"-"</f>
        <v>Efficiency of the cell: 0.55 -</v>
      </c>
    </row>
    <row r="23" spans="1:1" x14ac:dyDescent="0.3">
      <c r="A23" s="266" t="str">
        <f>"Specific investment cost: "&amp;TEXT(SIC_VAR,"#,##0.00")&amp;" "&amp;"Eur/kW"</f>
        <v>Specific investment cost: 1,200.00 Eur/kW</v>
      </c>
    </row>
    <row r="24" spans="1:1" x14ac:dyDescent="0.3">
      <c r="A24" s="266" t="str">
        <f>"Annualized investment: "&amp;TEXT(IC_VAR,"#,##0.00")&amp;" "&amp;"eur/y"</f>
        <v>Annualized investment: 11,025.19 eur/y</v>
      </c>
    </row>
    <row r="25" spans="1:1" x14ac:dyDescent="0.3">
      <c r="A25" s="266" t="str">
        <f>" Lifetime: "&amp;TEXT(n,"#,##0.00")&amp;" "&amp;"year"</f>
        <v xml:space="preserve"> Lifetime: 40.00 year</v>
      </c>
    </row>
    <row r="26" spans="1:1" x14ac:dyDescent="0.3">
      <c r="A26" s="266" t="str">
        <f>"Interest rate: "&amp;TEXT(i,"#,##0.00")&amp;" "&amp;"-"</f>
        <v>Interest rate: 0.06 -</v>
      </c>
    </row>
    <row r="27" spans="1:1" ht="15" thickBot="1" x14ac:dyDescent="0.35"/>
    <row r="28" spans="1:1" ht="15.6" thickTop="1" thickBot="1" x14ac:dyDescent="0.35">
      <c r="A28" s="265" t="s">
        <v>297</v>
      </c>
    </row>
    <row r="29" spans="1:1" ht="29.4" thickTop="1" x14ac:dyDescent="0.3">
      <c r="A29" s="266" t="s">
        <v>236</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58</vt:i4>
      </vt:variant>
    </vt:vector>
  </HeadingPairs>
  <TitlesOfParts>
    <vt:vector size="67" baseType="lpstr">
      <vt:lpstr>README</vt:lpstr>
      <vt:lpstr>METADATA</vt:lpstr>
      <vt:lpstr>CONNECTORS</vt:lpstr>
      <vt:lpstr>VARIABLES</vt:lpstr>
      <vt:lpstr>PEMFuelCell</vt:lpstr>
      <vt:lpstr>CALCULATIONS</vt:lpstr>
      <vt:lpstr>CHANGELOG</vt:lpstr>
      <vt:lpstr>SUPPL MATERIAL</vt:lpstr>
      <vt:lpstr>DOCUMENTATION</vt:lpstr>
      <vt:lpstr>DT_MIN</vt:lpstr>
      <vt:lpstr>DT_MIN_max</vt:lpstr>
      <vt:lpstr>DT_MIN_min</vt:lpstr>
      <vt:lpstr>EFFIC</vt:lpstr>
      <vt:lpstr>EFFIC_max</vt:lpstr>
      <vt:lpstr>EFFIC_min</vt:lpstr>
      <vt:lpstr>F</vt:lpstr>
      <vt:lpstr>F_max</vt:lpstr>
      <vt:lpstr>F_min</vt:lpstr>
      <vt:lpstr>H2_MOL</vt:lpstr>
      <vt:lpstr>H2_MOL_max</vt:lpstr>
      <vt:lpstr>H2_MOL_min</vt:lpstr>
      <vt:lpstr>H2O_MOL</vt:lpstr>
      <vt:lpstr>H2O_MOL_max</vt:lpstr>
      <vt:lpstr>H2O_MOL_min</vt:lpstr>
      <vt:lpstr>i</vt:lpstr>
      <vt:lpstr>i_max</vt:lpstr>
      <vt:lpstr>i_min</vt:lpstr>
      <vt:lpstr>I_OUT</vt:lpstr>
      <vt:lpstr>I_OUT_max</vt:lpstr>
      <vt:lpstr>I_OUT_min</vt:lpstr>
      <vt:lpstr>IC_VAR</vt:lpstr>
      <vt:lpstr>IC_VAR_max</vt:lpstr>
      <vt:lpstr>IC_VAR_min</vt:lpstr>
      <vt:lpstr>MASSF_H2_IN</vt:lpstr>
      <vt:lpstr>MASSF_H2_IN_max</vt:lpstr>
      <vt:lpstr>MASSF_H2_IN_min</vt:lpstr>
      <vt:lpstr>MASSF_H2O_OUT</vt:lpstr>
      <vt:lpstr>MASSF_H2O_OUT_max</vt:lpstr>
      <vt:lpstr>MASSF_H2O_OUT_min</vt:lpstr>
      <vt:lpstr>MASSF_O2_IN</vt:lpstr>
      <vt:lpstr>MASSF_O2_IN_max</vt:lpstr>
      <vt:lpstr>MASSF_O2_IN_min</vt:lpstr>
      <vt:lpstr>MOLF_H2_IN</vt:lpstr>
      <vt:lpstr>MOLF_H2_IN_max</vt:lpstr>
      <vt:lpstr>MOLF_H2_IN_min</vt:lpstr>
      <vt:lpstr>n</vt:lpstr>
      <vt:lpstr>n_max</vt:lpstr>
      <vt:lpstr>n_min</vt:lpstr>
      <vt:lpstr>O2_MOL</vt:lpstr>
      <vt:lpstr>O2_MOL_max</vt:lpstr>
      <vt:lpstr>O2_MOL_min</vt:lpstr>
      <vt:lpstr>POWER_EL_OUT</vt:lpstr>
      <vt:lpstr>POWER_EL_OUT_max</vt:lpstr>
      <vt:lpstr>POWER_EL_OUT_min</vt:lpstr>
      <vt:lpstr>QF_OUT</vt:lpstr>
      <vt:lpstr>QF_OUT_max</vt:lpstr>
      <vt:lpstr>QF_OUT_min</vt:lpstr>
      <vt:lpstr>SIC_VAR</vt:lpstr>
      <vt:lpstr>SIC_VAR_max</vt:lpstr>
      <vt:lpstr>SIC_VAR_min</vt:lpstr>
      <vt:lpstr>T</vt:lpstr>
      <vt:lpstr>T_max</vt:lpstr>
      <vt:lpstr>T_min</vt:lpstr>
      <vt:lpstr>T_rec</vt:lpstr>
      <vt:lpstr>V</vt:lpstr>
      <vt:lpstr>V_max</vt:lpstr>
      <vt:lpstr>V_min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A Florez Orrego</dc:creator>
  <cp:lastModifiedBy>baptiste mabboux</cp:lastModifiedBy>
  <dcterms:created xsi:type="dcterms:W3CDTF">2023-07-04T12:09:19Z</dcterms:created>
  <dcterms:modified xsi:type="dcterms:W3CDTF">2026-05-06T09:21:34Z</dcterms:modified>
</cp:coreProperties>
</file>