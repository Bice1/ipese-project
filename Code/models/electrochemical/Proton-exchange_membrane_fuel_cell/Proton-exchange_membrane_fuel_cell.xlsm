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workbookPr codeName="ThisWorkbook"/>
  <mc:AlternateContent xmlns:mc="http://schemas.openxmlformats.org/markup-compatibility/2006">
    <mc:Choice Requires="x15">
      <x15ac:absPath xmlns:x15ac="http://schemas.microsoft.com/office/spreadsheetml/2010/11/ac" url="C:\Users\Quentin\Documents\epfl\ipese project\Code\models\electrochemical\Proton-exchange_membrane_fuel_cell\"/>
    </mc:Choice>
  </mc:AlternateContent>
  <xr:revisionPtr revIDLastSave="0" documentId="13_ncr:1_{FEAC7065-288F-4034-AEED-093DB0AF63C3}" xr6:coauthVersionLast="47" xr6:coauthVersionMax="47" xr10:uidLastSave="{00000000-0000-0000-0000-000000000000}"/>
  <bookViews>
    <workbookView xWindow="-98" yWindow="-98" windowWidth="21795" windowHeight="12975" firstSheet="1" activeTab="3" xr2:uid="{00000000-000D-0000-FFFF-FFFF00000000}"/>
  </bookViews>
  <sheets>
    <sheet name="README" sheetId="1" r:id="rId1"/>
    <sheet name="METADATA" sheetId="2" r:id="rId2"/>
    <sheet name="CONNECTORS" sheetId="20" r:id="rId3"/>
    <sheet name="PEMFuelCell" sheetId="24" r:id="rId4"/>
    <sheet name="VARIABLES" sheetId="4" r:id="rId5"/>
    <sheet name="CALCULATIONS" sheetId="10" r:id="rId6"/>
    <sheet name="CHANGELOG" sheetId="9" r:id="rId7"/>
    <sheet name="SUPPL MATERIAL" sheetId="11" r:id="rId8"/>
    <sheet name="DOCUMENTATION" sheetId="25" r:id="rId9"/>
  </sheets>
  <definedNames>
    <definedName name="DT_MIN">VARIABLES!$E$25</definedName>
    <definedName name="DT_MIN_max">VARIABLES!$I$25</definedName>
    <definedName name="DT_MIN_min">VARIABLES!$H$25</definedName>
    <definedName name="EFFIC">VARIABLES!$E$23</definedName>
    <definedName name="EFFIC_max">VARIABLES!$I$23</definedName>
    <definedName name="EFFIC_min">VARIABLES!$H$23</definedName>
    <definedName name="F">VARIABLES!$E$21</definedName>
    <definedName name="F_max">VARIABLES!$I$21</definedName>
    <definedName name="F_min">VARIABLES!$H$21</definedName>
    <definedName name="H2_MOL">VARIABLES!$E$18</definedName>
    <definedName name="H2_MOL_max">VARIABLES!$I$18</definedName>
    <definedName name="H2_MOL_min">VARIABLES!$H$18</definedName>
    <definedName name="H2O_MOL">VARIABLES!$E$19</definedName>
    <definedName name="H2O_MOL_max">VARIABLES!$I$19</definedName>
    <definedName name="H2O_MOL_min">VARIABLES!$H$19</definedName>
    <definedName name="i">VARIABLES!$E$27</definedName>
    <definedName name="i_max">VARIABLES!$I$27</definedName>
    <definedName name="i_min">VARIABLES!$H$27</definedName>
    <definedName name="I_OUT">VARIABLES!$E$32</definedName>
    <definedName name="I_OUT_max">VARIABLES!$I$32</definedName>
    <definedName name="I_OUT_min">VARIABLES!$H$32</definedName>
    <definedName name="IC_VAR">VARIABLES!$E$35</definedName>
    <definedName name="IC_VAR_max">VARIABLES!$I$35</definedName>
    <definedName name="IC_VAR_min">VARIABLES!$H$35</definedName>
    <definedName name="MASSF_H2_IN">VARIABLES!$E$17</definedName>
    <definedName name="MASSF_H2_IN_max">VARIABLES!$I$17</definedName>
    <definedName name="MASSF_H2_IN_min">VARIABLES!$H$17</definedName>
    <definedName name="MASSF_H2O_OUT">VARIABLES!$E$30</definedName>
    <definedName name="MASSF_H2O_OUT_max">VARIABLES!$I$30</definedName>
    <definedName name="MASSF_H2O_OUT_min">VARIABLES!$H$30</definedName>
    <definedName name="MASSF_O2_IN">VARIABLES!$E$31</definedName>
    <definedName name="MASSF_O2_IN_max">VARIABLES!$I$31</definedName>
    <definedName name="MASSF_O2_IN_min">VARIABLES!$H$31</definedName>
    <definedName name="MOLF_H2_IN">VARIABLES!$E$29</definedName>
    <definedName name="MOLF_H2_IN_max">VARIABLES!$I$29</definedName>
    <definedName name="MOLF_H2_IN_min">VARIABLES!$H$29</definedName>
    <definedName name="n">VARIABLES!$E$28</definedName>
    <definedName name="n_max">VARIABLES!$I$28</definedName>
    <definedName name="n_min">VARIABLES!$H$28</definedName>
    <definedName name="O2_MOL">VARIABLES!$E$20</definedName>
    <definedName name="O2_MOL_max">VARIABLES!$I$20</definedName>
    <definedName name="O2_MOL_min">VARIABLES!$H$20</definedName>
    <definedName name="POWER_EL_OUT">VARIABLES!$E$33</definedName>
    <definedName name="POWER_EL_OUT_max">VARIABLES!$I$33</definedName>
    <definedName name="POWER_EL_OUT_min">VARIABLES!$H$33</definedName>
    <definedName name="QF_OUT">VARIABLES!$E$34</definedName>
    <definedName name="QF_OUT_max">VARIABLES!$I$34</definedName>
    <definedName name="QF_OUT_min">VARIABLES!$H$34</definedName>
    <definedName name="SIC_VAR">VARIABLES!$E$24</definedName>
    <definedName name="SIC_VAR_max">VARIABLES!$I$24</definedName>
    <definedName name="SIC_VAR_min">VARIABLES!$H$24</definedName>
    <definedName name="T">VARIABLES!$E$16</definedName>
    <definedName name="T_max">VARIABLES!$I$16</definedName>
    <definedName name="T_min">VARIABLES!$H$16</definedName>
    <definedName name="T_rec">VARIABLES!$E$26</definedName>
    <definedName name="V">VARIABLES!$E$22</definedName>
    <definedName name="V_max">VARIABLES!$I$22</definedName>
    <definedName name="V_min">VARIABLES!$H$22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bNxJkgama/kYeBi4o0J15qkHQT9g9UA3B49WFr4NTgI="/>
    </ext>
  </extLst>
</workbook>
</file>

<file path=xl/calcChain.xml><?xml version="1.0" encoding="utf-8"?>
<calcChain xmlns="http://schemas.openxmlformats.org/spreadsheetml/2006/main">
  <c r="A26" i="25" l="1"/>
  <c r="A25" i="25"/>
  <c r="A24" i="25"/>
  <c r="A23" i="25"/>
  <c r="A22" i="25"/>
  <c r="A21" i="25"/>
  <c r="A20" i="25"/>
  <c r="A19" i="25"/>
  <c r="A18" i="25"/>
  <c r="A17" i="25"/>
  <c r="A16" i="25"/>
  <c r="A15" i="25"/>
  <c r="A14" i="25"/>
  <c r="A11" i="25"/>
  <c r="A7" i="25"/>
  <c r="B12" i="2"/>
  <c r="M25" i="24"/>
  <c r="E33" i="4"/>
  <c r="E32" i="4"/>
  <c r="E25" i="24"/>
  <c r="E29" i="4"/>
  <c r="E30" i="4" s="1"/>
  <c r="F35" i="24" l="1"/>
  <c r="F34" i="24"/>
  <c r="F32" i="24"/>
  <c r="C25" i="24" l="1"/>
  <c r="D17" i="24"/>
  <c r="F33" i="24" l="1"/>
  <c r="E34" i="4" a="1"/>
  <c r="E34" i="4" s="1"/>
  <c r="G25" i="24" s="1"/>
  <c r="D15" i="24"/>
  <c r="E31" i="4"/>
  <c r="D16" i="24" s="1"/>
  <c r="E35" i="4" a="1"/>
  <c r="E35" i="4" s="1"/>
  <c r="D18"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tc={21B0A786-969E-4F8D-BD8E-9261146C0382}</author>
  </authors>
  <commentList>
    <comment ref="M25" authorId="0" shapeId="0" xr:uid="{21B0A786-969E-4F8D-BD8E-9261146C038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Computed from Q = m*cp*dT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<sst xmlns="http://schemas.openxmlformats.org/spreadsheetml/2006/main" count="523" uniqueCount="306">
  <si>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</si>
  <si>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</si>
  <si>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</si>
  <si>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</si>
  <si>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</si>
  <si>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</si>
  <si>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</si>
  <si>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</si>
  <si>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</si>
  <si>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The creation date of the model</t>
  </si>
  <si>
    <t>GRAY-BOX</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</si>
  <si>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</si>
  <si>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</si>
  <si>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</si>
  <si>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</si>
  <si>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</si>
  <si>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</si>
  <si>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</si>
  <si>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</si>
  <si>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</si>
  <si>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t>
  </si>
  <si>
    <t>TEMPERATURE UNIT</t>
  </si>
  <si>
    <t>PRESSURE</t>
  </si>
  <si>
    <t>PRESSURE UNIT</t>
  </si>
  <si>
    <t>VAPOR FRACTION [MASS]</t>
  </si>
  <si>
    <t>PHASE</t>
  </si>
  <si>
    <t>COMPOSITION [MOLE/MASS]</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</si>
  <si>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</si>
  <si>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</si>
  <si>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</si>
  <si>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</si>
  <si>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</si>
  <si>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</si>
  <si>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</si>
  <si>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</si>
  <si>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</si>
  <si>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</si>
  <si>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</si>
  <si>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DIRECTION</t>
  </si>
  <si>
    <t>VALUE</t>
  </si>
  <si>
    <t>HEAT STREAMS</t>
  </si>
  <si>
    <t>EQUIPMENTS</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</si>
  <si>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</si>
  <si>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</si>
  <si>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</si>
  <si>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</si>
  <si>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</si>
  <si>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</si>
  <si>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</si>
  <si>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</si>
  <si>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</si>
  <si>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</si>
  <si>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</si>
  <si>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</si>
  <si>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</si>
  <si>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</si>
  <si>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</si>
  <si>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</si>
  <si>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</si>
  <si>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</si>
  <si>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FULL NAME</t>
  </si>
  <si>
    <t>MIN BOUND</t>
  </si>
  <si>
    <t>MAX BOUND</t>
  </si>
  <si>
    <t>LATEX SYNTAX</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</si>
  <si>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</si>
  <si>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</si>
  <si>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</si>
  <si>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</si>
  <si>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</si>
  <si>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</si>
  <si>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</si>
  <si>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</si>
  <si>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</si>
  <si>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</si>
  <si>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</si>
  <si>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</si>
  <si>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</si>
  <si>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</si>
  <si>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</si>
  <si>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</si>
  <si>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</si>
  <si>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</si>
  <si>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</si>
  <si>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</si>
  <si>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</si>
  <si>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</si>
  <si>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</si>
  <si>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</si>
  <si>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</si>
  <si>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</si>
  <si>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</si>
  <si>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</si>
  <si>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</si>
  <si>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</si>
  <si>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</si>
  <si>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</si>
  <si>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</si>
  <si>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See SUPPL MATERIAL tab</t>
  </si>
  <si>
    <t>VARIABLE NAME</t>
  </si>
  <si>
    <t>SOFTWARE FILE</t>
  </si>
  <si>
    <t>UID</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</si>
  <si>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</si>
  <si>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</si>
  <si>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</si>
  <si>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</si>
  <si>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</si>
  <si>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</si>
  <si>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</si>
  <si>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</si>
  <si>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</si>
  <si>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</si>
  <si>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</si>
  <si>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</si>
  <si>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</si>
  <si>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</si>
  <si>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</si>
  <si>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</si>
  <si>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DTMIN CONTR VALUE</t>
  </si>
  <si>
    <t>DTMIN CONTR UNIT</t>
  </si>
  <si>
    <t>HEAT TRANSFER COEF VALUE</t>
  </si>
  <si>
    <t>HEAT TRANSFER COEF UNIT</t>
  </si>
  <si>
    <t>REFERENCE STREAM</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</si>
  <si>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</si>
  <si>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</si>
  <si>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</si>
  <si>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</si>
  <si>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</si>
  <si>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</si>
  <si>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</si>
  <si>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</si>
  <si>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</si>
  <si>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</si>
  <si>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</si>
  <si>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</si>
  <si>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</si>
  <si>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</si>
  <si>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</si>
  <si>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</si>
  <si>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</si>
  <si>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</si>
  <si>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</si>
  <si>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</si>
  <si>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</si>
  <si>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</si>
  <si>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</si>
  <si>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</si>
  <si>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</si>
  <si>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</si>
  <si>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</si>
  <si>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UNIT</t>
  </si>
  <si>
    <t>Compare Fmin and Fmax to define if it scalable of fixed, if fixed Fmin=Fmax=Fmult</t>
  </si>
  <si>
    <t>FORMULA OR PATH</t>
  </si>
  <si>
    <t>DEFAULT VALUE</t>
  </si>
  <si>
    <t>None</t>
  </si>
  <si>
    <t>Proton-exchange membrane fuel cell</t>
  </si>
  <si>
    <t>kW</t>
  </si>
  <si>
    <t>CONTEXT</t>
  </si>
  <si>
    <t>Temperature of the fuel cell</t>
  </si>
  <si>
    <t>MANDATORY</t>
  </si>
  <si>
    <t>$T_{cell}}$</t>
  </si>
  <si>
    <t>DECISION</t>
  </si>
  <si>
    <t xml:space="preserve"> Mass flow of the hydrogen consumed in the fuel cell</t>
  </si>
  <si>
    <t>kg/h</t>
  </si>
  <si>
    <t>$\dot{m}_{hydrogen}}$</t>
  </si>
  <si>
    <t>H2_MOL</t>
  </si>
  <si>
    <t>LITERATURE</t>
  </si>
  <si>
    <t xml:space="preserve"> Molecular mass of hydrogen consumed</t>
  </si>
  <si>
    <t>PRIVATE</t>
  </si>
  <si>
    <t>kg/kmol</t>
  </si>
  <si>
    <t>$M_{hydrogen}}$</t>
  </si>
  <si>
    <t>H2O_MOL</t>
  </si>
  <si>
    <t>Molecular mass of water</t>
  </si>
  <si>
    <t>$M_{water}}$</t>
  </si>
  <si>
    <t>O2_MOL</t>
  </si>
  <si>
    <t xml:space="preserve"> Molecular mass of oxygen</t>
  </si>
  <si>
    <t>$M_{oxygen}}$</t>
  </si>
  <si>
    <t>F</t>
  </si>
  <si>
    <t>Faraday constant</t>
  </si>
  <si>
    <t>As/mol</t>
  </si>
  <si>
    <t>$F$</t>
  </si>
  <si>
    <t>Voltage of the cell</t>
  </si>
  <si>
    <t>V</t>
  </si>
  <si>
    <t>$V_{cell}}$</t>
  </si>
  <si>
    <t>Efficiency of the cell</t>
  </si>
  <si>
    <t>$eta_{cell}}$</t>
  </si>
  <si>
    <t>Specific investment cost of the fuell cell</t>
  </si>
  <si>
    <t>Eur/kW</t>
  </si>
  <si>
    <t>$C_{cell}}$</t>
  </si>
  <si>
    <t>Minimum temperature difference contribution of the streams</t>
  </si>
  <si>
    <t>$Delta T_{stream}}$</t>
  </si>
  <si>
    <t>$T_{rec, cell}}$</t>
  </si>
  <si>
    <t>i</t>
  </si>
  <si>
    <t>Interest rate</t>
  </si>
  <si>
    <t>$i$</t>
  </si>
  <si>
    <t>n</t>
  </si>
  <si>
    <t xml:space="preserve"> Lifetime</t>
  </si>
  <si>
    <t>$L_{equipment}}$</t>
  </si>
  <si>
    <t>Molar flow of hydrogen into the fuel cell</t>
  </si>
  <si>
    <t>kmol/h</t>
  </si>
  <si>
    <t>$\dot{n}_{hydrogen}}$</t>
  </si>
  <si>
    <t>Volumetric flow of water out of the fuel cell</t>
  </si>
  <si>
    <t>$Q_{water}}$</t>
  </si>
  <si>
    <t xml:space="preserve"> Mass flow of oxygen into the fuel cell</t>
  </si>
  <si>
    <t>$\dot{m}_{oxygen}}$</t>
  </si>
  <si>
    <t xml:space="preserve"> Fuel cell current</t>
  </si>
  <si>
    <t>A</t>
  </si>
  <si>
    <t>$I_{cell}}$</t>
  </si>
  <si>
    <t>MEASURED</t>
  </si>
  <si>
    <t>Fuel cell power output</t>
  </si>
  <si>
    <t>$P_{cell}}$</t>
  </si>
  <si>
    <t>Fuel cell heat output</t>
  </si>
  <si>
    <t>$Q_{cell}}$</t>
  </si>
  <si>
    <t>Annualized investment of PEM fuel cell</t>
  </si>
  <si>
    <t>$IC_{cell}}$</t>
  </si>
  <si>
    <t>ELECTRICITY</t>
  </si>
  <si>
    <t>Electricity</t>
  </si>
  <si>
    <t>OXYVENT</t>
  </si>
  <si>
    <t>Oxygen</t>
  </si>
  <si>
    <t>EMISSIONS</t>
  </si>
  <si>
    <t>bar</t>
  </si>
  <si>
    <t>(V)</t>
  </si>
  <si>
    <t>MASSFRAC:02[1]</t>
  </si>
  <si>
    <t>HYDROGEN</t>
  </si>
  <si>
    <t>Hydrogen</t>
  </si>
  <si>
    <t>MASSFRAC:H2[1]</t>
  </si>
  <si>
    <t>WATER</t>
  </si>
  <si>
    <t>Water</t>
  </si>
  <si>
    <t>MASS</t>
  </si>
  <si>
    <t>(L)</t>
  </si>
  <si>
    <t>MASSFRAC:H2O[1]</t>
  </si>
  <si>
    <t>PEM_Fuel_Cell</t>
  </si>
  <si>
    <t>OUT</t>
  </si>
  <si>
    <t>IN</t>
  </si>
  <si>
    <t>MASSFRAC:H20[1]</t>
  </si>
  <si>
    <t>Heat_PEMfuelc</t>
  </si>
  <si>
    <t>PEM_Fuel_Cell_Stack</t>
  </si>
  <si>
    <t>[1] Fuel Cell Systems Explained, 2003, Second Edition, James Larminie and Andrew Dicks, John Wiley &amp; Sons, Ltd ISBN: 0-470-84857-X, available at: https://onlinelibrary.wiley.com/doi/pdf/10.1002/9781118878330.app2</t>
  </si>
  <si>
    <t>Fuel Cell, Hydrogen, Oxygen, Electricity, Energy Conversion</t>
  </si>
  <si>
    <t>This model represent a PEM fuel cell</t>
  </si>
  <si>
    <t>Figures/PEMFuelCell.svg</t>
  </si>
  <si>
    <t>Produced electricity</t>
  </si>
  <si>
    <t>Consumed oxygen</t>
  </si>
  <si>
    <t>Consumed hydrogen</t>
  </si>
  <si>
    <t>Condensed water</t>
  </si>
  <si>
    <t>T</t>
  </si>
  <si>
    <t>MASSF_H2_IN</t>
  </si>
  <si>
    <t>EFFIC</t>
  </si>
  <si>
    <t>SIC_VAR</t>
  </si>
  <si>
    <t>DT_MIN</t>
  </si>
  <si>
    <t>T_rec</t>
  </si>
  <si>
    <t>MOLF_H2_IN</t>
  </si>
  <si>
    <t>MASSF_H2O_OUT</t>
  </si>
  <si>
    <t>MASSF_O2_IN</t>
  </si>
  <si>
    <t>POWER_EL_OUT</t>
  </si>
  <si>
    <t>QF_OUT</t>
  </si>
  <si>
    <t>IC_VAR</t>
  </si>
  <si>
    <t>MASSF_H2_IN/H2_MOL</t>
  </si>
  <si>
    <t>MOLF_H2_IN*H2O_MOL/1000</t>
  </si>
  <si>
    <t>0.5*MOLF_H2_IN*O2_MOL</t>
  </si>
  <si>
    <t>POWER_EL_OUT*(1-EFFIC)/EFFIC</t>
  </si>
  <si>
    <t>SIC_VAR*POWER_EL_OUT*(i*((i+1)^n))/((i+1)^(n-1))</t>
  </si>
  <si>
    <t>Yes</t>
  </si>
  <si>
    <t>No</t>
  </si>
  <si>
    <t>°C</t>
  </si>
  <si>
    <t>K</t>
  </si>
  <si>
    <t>kJ/kgK</t>
  </si>
  <si>
    <t>kW/m2K</t>
  </si>
  <si>
    <t>DEFAULT</t>
  </si>
  <si>
    <t>year</t>
  </si>
  <si>
    <t>eur/kW</t>
  </si>
  <si>
    <t>Asset</t>
  </si>
  <si>
    <t>@Florez-Orrego et al</t>
  </si>
  <si>
    <t>The electricity produced by the fuel cell (in kW) is exported. Oxygen and hydrogen are imported. The water produced by the fuel cell (in kg/h) is exported.</t>
  </si>
  <si>
    <t>There is one heat stream that carries away the waste heat produced during operation.</t>
  </si>
  <si>
    <t xml:space="preserve"> Mass flow of the hydrogen</t>
  </si>
  <si>
    <t xml:space="preserve"> Molecular mass of hydrogen </t>
  </si>
  <si>
    <t>Minimum temperature difference</t>
  </si>
  <si>
    <t>Molar flow of hydrogen</t>
  </si>
  <si>
    <t xml:space="preserve"> Mass flow of oxygen</t>
  </si>
  <si>
    <t>Annualized investment</t>
  </si>
  <si>
    <t>Specific investment cost</t>
  </si>
  <si>
    <t>PEMFuelCell</t>
  </si>
  <si>
    <t>Drawio</t>
  </si>
  <si>
    <t>.svg</t>
  </si>
  <si>
    <t>50 kB</t>
  </si>
  <si>
    <t>I_OUT</t>
  </si>
  <si>
    <t>Scalable PEM system converting H2/O2 into 132.7 kW electricity and water. Includes stack, pumps, and heat exchangers with an 80°C waste heat output.</t>
  </si>
  <si>
    <t>The PEM fuel cell system is composed of the fuel cell stack, 3 pumps for the lean air, oxygen and water outlet annd 2 heat exchangers for the water condensation and the air cooling.</t>
  </si>
  <si>
    <t>Mass flow of water</t>
  </si>
  <si>
    <t xml:space="preserve">Cooling return temperature </t>
  </si>
  <si>
    <t>Cooling return of the fuel cell</t>
  </si>
  <si>
    <t>Hot</t>
  </si>
  <si>
    <t>eur/y</t>
  </si>
  <si>
    <t>1. Overview</t>
  </si>
  <si>
    <t>2. Faraday’s Law and Power Output</t>
  </si>
  <si>
    <t>3. Design Constraints</t>
  </si>
  <si>
    <t>4. Key Model Parameters</t>
  </si>
  <si>
    <t>5. References</t>
  </si>
  <si>
    <t>2*F*1000*MOLF_H2_IN/3600</t>
  </si>
  <si>
    <t>V*I_OUT*EFFIC/1000</t>
  </si>
  <si>
    <t>Water cooling of the electrolizer</t>
  </si>
  <si>
    <t>EPFL IPESE research group</t>
  </si>
  <si>
    <t>The Low-Temperature Proton Exchange Membrane (PEM) Fuel Cell is an electrochemical device that converts the chemical energy of hydrogen directly into electrical power. Unlike combustion-based systems, it operates without thermal-to-mechanical conversion, allowing for high efficiency and zero local carbon emissions.</t>
  </si>
  <si>
    <t>The stack generates liquid water and low-grade waste heat as byproducts. An integrated cooling system extracts this thermal energy, entering the stack at a return temperature (T_rec) and exiting at the stack operating temperature (T).</t>
  </si>
  <si>
    <t>The electrical current produced is directly proportional to the molar flow rate of hydrogen consumed (governed by Faraday’s Law). The net electrical power output is determined by the product of the cell voltage, generated current, and operational efficiency.</t>
  </si>
  <si>
    <t>The stack temperature must be maintained within the membrane's stability limits (typically 60-90 °C). A minimum temperature difference (DT_MIN) is enforced for internal heat exchangers to ensure feasible heat transfer.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</si>
</sst>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sz val="11"/>
      <color rgb="FF000000"/>
      <name val="Calibri"/>
      <family val="2"/>
    </font>
    <font>
      <b/>
      <sz val="11"/>
      <color rgb="FFFF0000"/>
      <name val="Calibri"/>
      <family val="2"/>
    </font>
    <font>
      <sz val="11"/>
      <color rgb="FF000000"/>
      <name val="Calibri"/>
      <family val="2"/>
      <scheme val="minor"/>
    </font>
    <font>
      <sz val="11"/>
      <color theme="1"/>
      <name val="Calibri"/>
      <family val="2"/>
      <scheme val="minor"/>
    </font>
  </fonts>
  <fills count="13">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indexed="64"/>
      </patternFill>
    </fill>
    <fill>
      <patternFill patternType="solid">
        <fgColor theme="2"/>
        <bgColor rgb="FFFFFFFF"/>
      </patternFill>
    </fill>
    <fill>
      <patternFill patternType="solid">
        <fgColor theme="5" tint="0.79998168889431442"/>
        <bgColor theme="0"/>
      </patternFill>
    </fill>
    <fill>
      <patternFill patternType="solid">
        <fgColor theme="5" tint="0.79998168889431442"/>
        <bgColor indexed="64"/>
      </patternFill>
    </fill>
    <fill>
      <patternFill patternType="solid">
        <fgColor theme="5" tint="0.79998168889431442"/>
        <bgColor rgb="FFFFFFFF"/>
      </patternFill>
    </fill>
    <fill>
      <patternFill patternType="solid">
        <fgColor rgb="FFDDEBF7"/>
        <bgColor indexed="64"/>
      </patternFill>
    </fill>
  </fills>
  <borders count="81">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style="thin">
        <color rgb="FFFFFFFF"/>
      </left>
      <right/>
      <top style="thin">
        <color rgb="FFFFFFFF"/>
      </top>
      <bottom/>
      <diagonal/>
    </border>
    <border>
      <left/>
      <right/>
      <top style="medium">
        <color rgb="FFFFFFFF"/>
      </top>
      <bottom style="medium">
        <color rgb="FFFFFFFF"/>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style="medium">
        <color rgb="FFFFFFFF"/>
      </top>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top/>
      <bottom/>
      <diagonal/>
    </border>
    <border>
      <left/>
      <right style="medium">
        <color indexed="64"/>
      </right>
      <top/>
      <bottom/>
      <diagonal/>
    </border>
    <border>
      <left/>
      <right/>
      <top style="medium">
        <color rgb="FF000000"/>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rgb="FF000000"/>
      </right>
      <top style="medium">
        <color rgb="FF000000"/>
      </top>
      <bottom style="medium">
        <color indexed="64"/>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right/>
      <top/>
      <bottom style="medium">
        <color rgb="FF000000"/>
      </bottom>
      <diagonal/>
    </border>
    <border>
      <left/>
      <right style="medium">
        <color rgb="FF000000"/>
      </right>
      <top/>
      <bottom style="medium">
        <color rgb="FF000000"/>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medium">
        <color rgb="FF000000"/>
      </right>
      <top style="thin">
        <color theme="0" tint="-0.14999847407452621"/>
      </top>
      <bottom style="thin">
        <color theme="0" tint="-0.14999847407452621"/>
      </bottom>
      <diagonal/>
    </border>
    <border>
      <left style="thin">
        <color theme="0" tint="-0.14999847407452621"/>
      </left>
      <right style="medium">
        <color rgb="FF000000"/>
      </right>
      <top style="thin">
        <color theme="0" tint="-0.14999847407452621"/>
      </top>
      <bottom/>
      <diagonal/>
    </border>
    <border>
      <left/>
      <right style="thin">
        <color theme="0" tint="-0.14999847407452621"/>
      </right>
      <top style="thin">
        <color theme="0" tint="-0.14999847407452621"/>
      </top>
      <bottom style="medium">
        <color rgb="FF000000"/>
      </bottom>
      <diagonal/>
    </border>
    <border>
      <left style="thin">
        <color theme="0" tint="-0.14999847407452621"/>
      </left>
      <right style="thin">
        <color theme="0" tint="-0.14999847407452621"/>
      </right>
      <top style="thin">
        <color theme="0" tint="-0.14999847407452621"/>
      </top>
      <bottom style="medium">
        <color rgb="FF000000"/>
      </bottom>
      <diagonal/>
    </border>
    <border>
      <left style="thin">
        <color theme="0" tint="-0.14999847407452621"/>
      </left>
      <right style="medium">
        <color rgb="FF000000"/>
      </right>
      <top style="thin">
        <color theme="0" tint="-0.14999847407452621"/>
      </top>
      <bottom style="medium">
        <color rgb="FF000000"/>
      </bottom>
      <diagonal/>
    </border>
    <border>
      <left/>
      <right style="thin">
        <color theme="0" tint="-0.14999847407452621"/>
      </right>
      <top style="medium">
        <color rgb="FF000000"/>
      </top>
      <bottom style="thin">
        <color theme="0" tint="-0.14999847407452621"/>
      </bottom>
      <diagonal/>
    </border>
    <border>
      <left style="thin">
        <color theme="0" tint="-0.14999847407452621"/>
      </left>
      <right style="thin">
        <color theme="0" tint="-0.14999847407452621"/>
      </right>
      <top style="medium">
        <color rgb="FF000000"/>
      </top>
      <bottom style="thin">
        <color theme="0" tint="-0.14999847407452621"/>
      </bottom>
      <diagonal/>
    </border>
    <border>
      <left style="thin">
        <color theme="0" tint="-0.14999847407452621"/>
      </left>
      <right style="medium">
        <color rgb="FF000000"/>
      </right>
      <top style="medium">
        <color rgb="FF000000"/>
      </top>
      <bottom style="thin">
        <color theme="0" tint="-0.14999847407452621"/>
      </bottom>
      <diagonal/>
    </border>
    <border>
      <left/>
      <right style="thin">
        <color theme="0" tint="-0.14999847407452621"/>
      </right>
      <top style="medium">
        <color rgb="FF000000"/>
      </top>
      <bottom style="medium">
        <color rgb="FF000000"/>
      </bottom>
      <diagonal/>
    </border>
    <border>
      <left style="thin">
        <color theme="0" tint="-0.14999847407452621"/>
      </left>
      <right style="thin">
        <color theme="0" tint="-0.14999847407452621"/>
      </right>
      <top style="medium">
        <color rgb="FF000000"/>
      </top>
      <bottom style="medium">
        <color rgb="FF000000"/>
      </bottom>
      <diagonal/>
    </border>
    <border>
      <left style="thin">
        <color theme="0" tint="-0.14999847407452621"/>
      </left>
      <right style="medium">
        <color rgb="FF000000"/>
      </right>
      <top style="medium">
        <color rgb="FF000000"/>
      </top>
      <bottom style="medium">
        <color rgb="FF000000"/>
      </bottom>
      <diagonal/>
    </border>
    <border>
      <left/>
      <right/>
      <top style="medium">
        <color indexed="64"/>
      </top>
      <bottom/>
      <diagonal/>
    </border>
    <border>
      <left style="thick">
        <color indexed="64"/>
      </left>
      <right style="thick">
        <color indexed="64"/>
      </right>
      <top style="thick">
        <color indexed="64"/>
      </top>
      <bottom style="thick">
        <color indexed="64"/>
      </bottom>
      <diagonal/>
    </border>
  </borders>
  <cellStyleXfs count="2">
    <xf numFmtId="0" fontId="0" fillId="0" borderId="0"/>
    <xf numFmtId="0" fontId="15" fillId="0" borderId="42"/>
  </cellStyleXfs>
  <cellXfs count="267">
    <xf numFmtId="0" fontId="0" fillId="0" borderId="0" xfId="0"/>
    <xf numFmtId="0" fontId="11" fillId="3" borderId="4" xfId="0" applyFont="1" applyFill="1" applyBorder="1" applyAlignment="1">
      <alignment horizontal="center" vertical="center"/>
    </xf>
    <xf numFmtId="0" fontId="11" fillId="3" borderId="5" xfId="0" applyFont="1" applyFill="1" applyBorder="1" applyAlignment="1">
      <alignment horizontal="left" vertical="center"/>
    </xf>
    <xf numFmtId="0" fontId="8" fillId="0" borderId="7" xfId="0" applyFont="1" applyBorder="1"/>
    <xf numFmtId="0" fontId="8" fillId="4" borderId="7" xfId="0" applyFont="1" applyFill="1" applyBorder="1"/>
    <xf numFmtId="0" fontId="10" fillId="4" borderId="7" xfId="0" applyFont="1" applyFill="1" applyBorder="1" applyAlignment="1">
      <alignment horizontal="center"/>
    </xf>
    <xf numFmtId="0" fontId="9" fillId="0" borderId="14" xfId="0" applyFont="1" applyBorder="1"/>
    <xf numFmtId="0" fontId="13" fillId="4" borderId="1" xfId="0" applyFont="1" applyFill="1" applyBorder="1" applyAlignment="1">
      <alignment horizontal="left"/>
    </xf>
    <xf numFmtId="0" fontId="11" fillId="4" borderId="1" xfId="0" applyFont="1" applyFill="1" applyBorder="1"/>
    <xf numFmtId="0" fontId="11" fillId="4" borderId="1" xfId="0" applyFont="1" applyFill="1" applyBorder="1" applyAlignment="1">
      <alignment horizontal="left"/>
    </xf>
    <xf numFmtId="0" fontId="8" fillId="4" borderId="1" xfId="0" applyFont="1" applyFill="1" applyBorder="1" applyAlignment="1">
      <alignment horizontal="left"/>
    </xf>
    <xf numFmtId="0" fontId="8" fillId="4" borderId="1" xfId="0" applyFont="1" applyFill="1" applyBorder="1"/>
    <xf numFmtId="0" fontId="9" fillId="4" borderId="1" xfId="0" applyFont="1" applyFill="1" applyBorder="1"/>
    <xf numFmtId="0" fontId="7" fillId="4" borderId="14" xfId="0" applyFont="1" applyFill="1" applyBorder="1"/>
    <xf numFmtId="0" fontId="8" fillId="4" borderId="14" xfId="0" applyFont="1" applyFill="1" applyBorder="1"/>
    <xf numFmtId="0" fontId="11" fillId="4" borderId="14" xfId="0" applyFont="1" applyFill="1" applyBorder="1"/>
    <xf numFmtId="0" fontId="7" fillId="4" borderId="1" xfId="0" applyFont="1" applyFill="1" applyBorder="1"/>
    <xf numFmtId="0" fontId="11" fillId="4" borderId="26" xfId="0" applyFont="1" applyFill="1" applyBorder="1" applyAlignment="1">
      <alignment horizontal="center"/>
    </xf>
    <xf numFmtId="0" fontId="11" fillId="4" borderId="20" xfId="0" applyFont="1" applyFill="1" applyBorder="1" applyAlignment="1">
      <alignment horizontal="center"/>
    </xf>
    <xf numFmtId="0" fontId="11" fillId="4" borderId="27" xfId="0" applyFont="1" applyFill="1" applyBorder="1" applyAlignment="1">
      <alignment horizontal="center"/>
    </xf>
    <xf numFmtId="0" fontId="11" fillId="4" borderId="15" xfId="0" applyFont="1" applyFill="1" applyBorder="1" applyAlignment="1">
      <alignment horizontal="center"/>
    </xf>
    <xf numFmtId="0" fontId="13" fillId="4" borderId="16" xfId="0" applyFont="1" applyFill="1" applyBorder="1" applyAlignment="1">
      <alignment horizontal="left"/>
    </xf>
    <xf numFmtId="0" fontId="11" fillId="4" borderId="7" xfId="0" applyFont="1" applyFill="1" applyBorder="1" applyAlignment="1">
      <alignment horizontal="center"/>
    </xf>
    <xf numFmtId="0" fontId="10" fillId="4" borderId="15" xfId="0" applyFont="1" applyFill="1" applyBorder="1" applyAlignment="1">
      <alignment horizontal="center" vertical="center" wrapText="1"/>
    </xf>
    <xf numFmtId="0" fontId="11" fillId="3" borderId="7" xfId="0" applyFont="1" applyFill="1" applyBorder="1" applyAlignment="1">
      <alignment horizontal="center"/>
    </xf>
    <xf numFmtId="0" fontId="13" fillId="3" borderId="7" xfId="0" applyFont="1" applyFill="1" applyBorder="1" applyAlignment="1">
      <alignment horizontal="left"/>
    </xf>
    <xf numFmtId="0" fontId="10" fillId="4" borderId="0" xfId="0" applyFont="1" applyFill="1" applyAlignment="1">
      <alignment horizontal="center"/>
    </xf>
    <xf numFmtId="0" fontId="11" fillId="3" borderId="6" xfId="0" applyFont="1" applyFill="1" applyBorder="1" applyAlignment="1">
      <alignment horizontal="center"/>
    </xf>
    <xf numFmtId="0" fontId="13" fillId="3" borderId="6" xfId="0" applyFont="1" applyFill="1" applyBorder="1" applyAlignment="1">
      <alignment horizontal="left"/>
    </xf>
    <xf numFmtId="0" fontId="11" fillId="3" borderId="5" xfId="0" applyFont="1" applyFill="1" applyBorder="1" applyAlignment="1">
      <alignment horizontal="center"/>
    </xf>
    <xf numFmtId="0" fontId="11" fillId="3" borderId="4" xfId="0" applyFont="1" applyFill="1" applyBorder="1" applyAlignment="1">
      <alignment horizontal="center"/>
    </xf>
    <xf numFmtId="0" fontId="13" fillId="3" borderId="31" xfId="0" quotePrefix="1" applyFont="1" applyFill="1" applyBorder="1" applyAlignment="1">
      <alignment horizontal="left"/>
    </xf>
    <xf numFmtId="0" fontId="11" fillId="3" borderId="31" xfId="0" applyFont="1" applyFill="1" applyBorder="1" applyAlignment="1">
      <alignment horizontal="center"/>
    </xf>
    <xf numFmtId="0" fontId="11" fillId="3" borderId="3" xfId="0" applyFont="1" applyFill="1" applyBorder="1" applyAlignment="1">
      <alignment horizontal="center"/>
    </xf>
    <xf numFmtId="0" fontId="13" fillId="3" borderId="3" xfId="0" applyFont="1" applyFill="1" applyBorder="1" applyAlignment="1">
      <alignment horizontal="left"/>
    </xf>
    <xf numFmtId="0" fontId="13" fillId="3" borderId="20" xfId="0" applyFont="1" applyFill="1" applyBorder="1" applyAlignment="1">
      <alignment horizontal="left" vertical="center"/>
    </xf>
    <xf numFmtId="0" fontId="11" fillId="3" borderId="20" xfId="0" applyFont="1" applyFill="1" applyBorder="1" applyAlignment="1">
      <alignment horizontal="center"/>
    </xf>
    <xf numFmtId="0" fontId="13" fillId="3" borderId="7" xfId="0" quotePrefix="1" applyFont="1" applyFill="1" applyBorder="1" applyAlignment="1">
      <alignment horizontal="left"/>
    </xf>
    <xf numFmtId="0" fontId="13" fillId="3" borderId="7" xfId="0" applyFont="1" applyFill="1" applyBorder="1" applyAlignment="1">
      <alignment horizontal="left" vertical="center"/>
    </xf>
    <xf numFmtId="0" fontId="13" fillId="3" borderId="11" xfId="0" applyFont="1" applyFill="1" applyBorder="1" applyAlignment="1">
      <alignment horizontal="left" vertical="center"/>
    </xf>
    <xf numFmtId="0" fontId="13" fillId="3" borderId="12" xfId="0" applyFont="1" applyFill="1" applyBorder="1" applyAlignment="1">
      <alignment horizontal="left"/>
    </xf>
    <xf numFmtId="0" fontId="11" fillId="3" borderId="12" xfId="0" applyFont="1" applyFill="1" applyBorder="1" applyAlignment="1">
      <alignment horizontal="center"/>
    </xf>
    <xf numFmtId="0" fontId="11" fillId="3" borderId="12" xfId="0" applyFont="1" applyFill="1" applyBorder="1" applyAlignment="1">
      <alignment horizontal="left"/>
    </xf>
    <xf numFmtId="0" fontId="11" fillId="3" borderId="7" xfId="0" applyFont="1" applyFill="1" applyBorder="1" applyAlignment="1">
      <alignment horizontal="center" vertical="center"/>
    </xf>
    <xf numFmtId="0" fontId="11" fillId="3" borderId="13" xfId="0" applyFont="1" applyFill="1" applyBorder="1" applyAlignment="1">
      <alignment horizontal="center" vertical="center"/>
    </xf>
    <xf numFmtId="0" fontId="8" fillId="0" borderId="20" xfId="0" applyFont="1" applyBorder="1"/>
    <xf numFmtId="0" fontId="11" fillId="3" borderId="20" xfId="0" applyFont="1" applyFill="1" applyBorder="1" applyAlignment="1">
      <alignment horizontal="center" vertical="center"/>
    </xf>
    <xf numFmtId="0" fontId="13" fillId="3" borderId="20" xfId="0" applyFont="1" applyFill="1" applyBorder="1" applyAlignment="1">
      <alignment horizontal="left"/>
    </xf>
    <xf numFmtId="0" fontId="11" fillId="3" borderId="32" xfId="0" applyFont="1" applyFill="1" applyBorder="1" applyAlignment="1">
      <alignment horizontal="center"/>
    </xf>
    <xf numFmtId="0" fontId="11" fillId="3" borderId="16" xfId="0" applyFont="1" applyFill="1" applyBorder="1" applyAlignment="1">
      <alignment horizontal="center" vertical="center"/>
    </xf>
    <xf numFmtId="0" fontId="11" fillId="3" borderId="35" xfId="0" applyFont="1" applyFill="1" applyBorder="1" applyAlignment="1">
      <alignment horizontal="center"/>
    </xf>
    <xf numFmtId="0" fontId="13" fillId="3" borderId="5" xfId="0" quotePrefix="1" applyFont="1" applyFill="1" applyBorder="1" applyAlignment="1">
      <alignment horizontal="left"/>
    </xf>
    <xf numFmtId="0" fontId="11" fillId="3" borderId="18" xfId="0" applyFont="1" applyFill="1" applyBorder="1" applyAlignment="1">
      <alignment horizontal="center"/>
    </xf>
    <xf numFmtId="0" fontId="11" fillId="3" borderId="19" xfId="0" applyFont="1" applyFill="1" applyBorder="1" applyAlignment="1">
      <alignment horizontal="center"/>
    </xf>
    <xf numFmtId="0" fontId="13" fillId="3" borderId="11" xfId="0" quotePrefix="1" applyFont="1" applyFill="1" applyBorder="1" applyAlignment="1">
      <alignment horizontal="left"/>
    </xf>
    <xf numFmtId="0" fontId="11" fillId="4" borderId="4" xfId="0" applyFont="1" applyFill="1" applyBorder="1" applyAlignment="1">
      <alignment horizontal="center"/>
    </xf>
    <xf numFmtId="0" fontId="11" fillId="4" borderId="5" xfId="0" applyFont="1" applyFill="1" applyBorder="1" applyAlignment="1">
      <alignment horizontal="center"/>
    </xf>
    <xf numFmtId="0" fontId="11" fillId="4" borderId="3" xfId="0" applyFont="1" applyFill="1" applyBorder="1" applyAlignment="1">
      <alignment horizontal="center"/>
    </xf>
    <xf numFmtId="0" fontId="11" fillId="4" borderId="35" xfId="0" applyFont="1" applyFill="1" applyBorder="1" applyAlignment="1">
      <alignment horizontal="center"/>
    </xf>
    <xf numFmtId="0" fontId="11" fillId="4" borderId="10" xfId="0" applyFont="1" applyFill="1" applyBorder="1" applyAlignment="1">
      <alignment horizontal="center" vertical="center"/>
    </xf>
    <xf numFmtId="0" fontId="11" fillId="4" borderId="13" xfId="0" applyFont="1" applyFill="1" applyBorder="1" applyAlignment="1">
      <alignment horizontal="center" vertical="center"/>
    </xf>
    <xf numFmtId="0" fontId="11" fillId="4" borderId="20" xfId="0" applyFont="1" applyFill="1" applyBorder="1" applyAlignment="1">
      <alignment horizontal="center" vertical="center"/>
    </xf>
    <xf numFmtId="0" fontId="13" fillId="4" borderId="0" xfId="0" applyFont="1" applyFill="1" applyAlignment="1">
      <alignment horizontal="left"/>
    </xf>
    <xf numFmtId="0" fontId="11" fillId="4" borderId="0" xfId="0" applyFont="1" applyFill="1" applyAlignment="1">
      <alignment horizontal="center"/>
    </xf>
    <xf numFmtId="0" fontId="11" fillId="4" borderId="6" xfId="0" applyFont="1" applyFill="1" applyBorder="1" applyAlignment="1">
      <alignment horizontal="center"/>
    </xf>
    <xf numFmtId="0" fontId="11" fillId="4" borderId="32" xfId="0" applyFont="1" applyFill="1" applyBorder="1" applyAlignment="1">
      <alignment horizontal="center"/>
    </xf>
    <xf numFmtId="0" fontId="11" fillId="4" borderId="43" xfId="0" applyFont="1" applyFill="1" applyBorder="1" applyAlignment="1">
      <alignment horizontal="center"/>
    </xf>
    <xf numFmtId="0" fontId="0" fillId="6" borderId="0" xfId="0" applyFill="1"/>
    <xf numFmtId="0" fontId="7" fillId="0" borderId="1" xfId="0" applyFont="1" applyBorder="1" applyAlignment="1">
      <alignment horizontal="left" vertical="top"/>
    </xf>
    <xf numFmtId="0" fontId="11" fillId="3" borderId="42" xfId="0" applyFont="1" applyFill="1" applyBorder="1" applyAlignment="1">
      <alignment horizontal="left" vertical="center"/>
    </xf>
    <xf numFmtId="0" fontId="0" fillId="7" borderId="0" xfId="0" applyFill="1"/>
    <xf numFmtId="0" fontId="10" fillId="4" borderId="15" xfId="0" applyFont="1" applyFill="1" applyBorder="1" applyAlignment="1">
      <alignment horizontal="center" vertical="center"/>
    </xf>
    <xf numFmtId="2" fontId="8" fillId="4" borderId="7" xfId="0" applyNumberFormat="1" applyFont="1" applyFill="1" applyBorder="1"/>
    <xf numFmtId="0" fontId="10" fillId="2" borderId="23" xfId="0" applyFont="1" applyFill="1" applyBorder="1" applyAlignment="1">
      <alignment horizontal="left" vertical="top"/>
    </xf>
    <xf numFmtId="0" fontId="10" fillId="2" borderId="28" xfId="0" applyFont="1" applyFill="1" applyBorder="1" applyAlignment="1">
      <alignment horizontal="left" vertical="top"/>
    </xf>
    <xf numFmtId="0" fontId="10" fillId="2" borderId="29" xfId="0" applyFont="1" applyFill="1" applyBorder="1" applyAlignment="1">
      <alignment horizontal="left" vertical="top" wrapText="1"/>
    </xf>
    <xf numFmtId="0" fontId="10" fillId="2" borderId="30" xfId="0" applyFont="1" applyFill="1" applyBorder="1" applyAlignment="1">
      <alignment horizontal="left" vertical="top" wrapText="1"/>
    </xf>
    <xf numFmtId="0" fontId="10" fillId="2" borderId="24" xfId="0" applyFont="1" applyFill="1" applyBorder="1" applyAlignment="1">
      <alignment horizontal="left" vertical="top"/>
    </xf>
    <xf numFmtId="0" fontId="10" fillId="2" borderId="33" xfId="0" applyFont="1" applyFill="1" applyBorder="1" applyAlignment="1">
      <alignment horizontal="left" vertical="top"/>
    </xf>
    <xf numFmtId="0" fontId="10" fillId="2" borderId="34" xfId="0" applyFont="1" applyFill="1" applyBorder="1" applyAlignment="1">
      <alignment horizontal="left" vertical="top"/>
    </xf>
    <xf numFmtId="0" fontId="10" fillId="2" borderId="37" xfId="0" applyFont="1" applyFill="1" applyBorder="1" applyAlignment="1">
      <alignment horizontal="left" vertical="top"/>
    </xf>
    <xf numFmtId="0" fontId="10" fillId="2" borderId="36" xfId="0" applyFont="1" applyFill="1" applyBorder="1" applyAlignment="1">
      <alignment horizontal="left" vertical="top"/>
    </xf>
    <xf numFmtId="0" fontId="11" fillId="2" borderId="37" xfId="0" applyFont="1" applyFill="1" applyBorder="1" applyAlignment="1">
      <alignment horizontal="left" vertical="top"/>
    </xf>
    <xf numFmtId="0" fontId="10" fillId="2" borderId="38" xfId="0" applyFont="1" applyFill="1" applyBorder="1" applyAlignment="1">
      <alignment horizontal="left" vertical="top"/>
    </xf>
    <xf numFmtId="0" fontId="10" fillId="2" borderId="44" xfId="0" applyFont="1" applyFill="1" applyBorder="1" applyAlignment="1">
      <alignment horizontal="left" vertical="top"/>
    </xf>
    <xf numFmtId="0" fontId="10" fillId="2" borderId="46" xfId="0" applyFont="1" applyFill="1" applyBorder="1" applyAlignment="1">
      <alignment horizontal="left" vertical="top"/>
    </xf>
    <xf numFmtId="0" fontId="11" fillId="8" borderId="45" xfId="0" applyFont="1" applyFill="1" applyBorder="1" applyAlignment="1">
      <alignment horizontal="left" vertical="top" wrapText="1"/>
    </xf>
    <xf numFmtId="0" fontId="10" fillId="2" borderId="45" xfId="0" applyFont="1" applyFill="1" applyBorder="1" applyAlignment="1">
      <alignment horizontal="left" vertical="top"/>
    </xf>
    <xf numFmtId="0" fontId="11" fillId="4" borderId="17" xfId="0" applyFont="1" applyFill="1" applyBorder="1" applyAlignment="1">
      <alignment horizontal="center" vertical="center"/>
    </xf>
    <xf numFmtId="0" fontId="11" fillId="2" borderId="24" xfId="0" applyFont="1" applyFill="1" applyBorder="1" applyAlignment="1">
      <alignment horizontal="left" vertical="top"/>
    </xf>
    <xf numFmtId="0" fontId="11" fillId="2" borderId="25" xfId="0" applyFont="1" applyFill="1" applyBorder="1" applyAlignment="1">
      <alignment horizontal="left" vertical="top"/>
    </xf>
    <xf numFmtId="0" fontId="11" fillId="2" borderId="8" xfId="0" applyFont="1" applyFill="1" applyBorder="1" applyAlignment="1">
      <alignment horizontal="left" vertical="top"/>
    </xf>
    <xf numFmtId="0" fontId="11" fillId="2" borderId="42" xfId="0" applyFont="1" applyFill="1" applyBorder="1" applyAlignment="1">
      <alignment horizontal="left" vertical="top"/>
    </xf>
    <xf numFmtId="0" fontId="6" fillId="2" borderId="42" xfId="0" applyFont="1" applyFill="1" applyBorder="1" applyAlignment="1">
      <alignment horizontal="left" vertical="top"/>
    </xf>
    <xf numFmtId="0" fontId="11" fillId="2" borderId="9" xfId="0" applyFont="1" applyFill="1" applyBorder="1" applyAlignment="1">
      <alignment horizontal="left" vertical="top"/>
    </xf>
    <xf numFmtId="0" fontId="10" fillId="2" borderId="50" xfId="0" applyFont="1" applyFill="1" applyBorder="1" applyAlignment="1">
      <alignment horizontal="left" vertical="top"/>
    </xf>
    <xf numFmtId="0" fontId="10" fillId="2" borderId="51" xfId="0" applyFont="1" applyFill="1" applyBorder="1" applyAlignment="1">
      <alignment horizontal="left" vertical="top"/>
    </xf>
    <xf numFmtId="0" fontId="10" fillId="2" borderId="52" xfId="0" applyFont="1" applyFill="1" applyBorder="1" applyAlignment="1">
      <alignment horizontal="left" vertical="top"/>
    </xf>
    <xf numFmtId="0" fontId="0" fillId="6" borderId="48" xfId="0" applyFill="1" applyBorder="1"/>
    <xf numFmtId="0" fontId="10" fillId="2" borderId="53" xfId="0" applyFont="1" applyFill="1" applyBorder="1" applyAlignment="1">
      <alignment horizontal="left" vertical="center"/>
    </xf>
    <xf numFmtId="0" fontId="10" fillId="2" borderId="47" xfId="0" applyFont="1" applyFill="1" applyBorder="1" applyAlignment="1">
      <alignment horizontal="left" vertical="center"/>
    </xf>
    <xf numFmtId="0" fontId="11" fillId="3" borderId="48" xfId="0" applyFont="1" applyFill="1" applyBorder="1" applyAlignment="1">
      <alignment horizontal="right"/>
    </xf>
    <xf numFmtId="164" fontId="11" fillId="3" borderId="48" xfId="0" applyNumberFormat="1" applyFont="1" applyFill="1" applyBorder="1" applyAlignment="1">
      <alignment horizontal="right"/>
    </xf>
    <xf numFmtId="0" fontId="10" fillId="2" borderId="47" xfId="0" applyFont="1" applyFill="1" applyBorder="1" applyAlignment="1">
      <alignment horizontal="left" vertical="center" wrapText="1"/>
    </xf>
    <xf numFmtId="0" fontId="11" fillId="3" borderId="48" xfId="0" applyFont="1" applyFill="1" applyBorder="1" applyAlignment="1">
      <alignment horizontal="right" wrapText="1"/>
    </xf>
    <xf numFmtId="0" fontId="10" fillId="2" borderId="55" xfId="0" applyFont="1" applyFill="1" applyBorder="1" applyAlignment="1">
      <alignment horizontal="left" vertical="center" wrapText="1"/>
    </xf>
    <xf numFmtId="0" fontId="11" fillId="3" borderId="56" xfId="0" applyFont="1" applyFill="1" applyBorder="1" applyAlignment="1">
      <alignment horizontal="right"/>
    </xf>
    <xf numFmtId="0" fontId="10" fillId="2" borderId="50" xfId="0" applyFont="1" applyFill="1" applyBorder="1" applyAlignment="1">
      <alignment vertical="top"/>
    </xf>
    <xf numFmtId="0" fontId="10" fillId="2" borderId="51" xfId="0" applyFont="1" applyFill="1" applyBorder="1" applyAlignment="1">
      <alignment vertical="top"/>
    </xf>
    <xf numFmtId="0" fontId="10" fillId="2" borderId="52" xfId="0" applyFont="1" applyFill="1" applyBorder="1" applyAlignment="1">
      <alignment vertical="top"/>
    </xf>
    <xf numFmtId="0" fontId="11" fillId="2" borderId="41" xfId="0" applyFont="1" applyFill="1" applyBorder="1" applyAlignment="1">
      <alignment horizontal="left" vertical="top"/>
    </xf>
    <xf numFmtId="0" fontId="8" fillId="2" borderId="2" xfId="0" applyFont="1" applyFill="1" applyBorder="1" applyAlignment="1">
      <alignment vertical="top"/>
    </xf>
    <xf numFmtId="0" fontId="8" fillId="2" borderId="2" xfId="0" applyFont="1" applyFill="1" applyBorder="1" applyAlignment="1" applyProtection="1">
      <alignment vertical="top"/>
      <protection locked="0"/>
    </xf>
    <xf numFmtId="0" fontId="0" fillId="0" borderId="0" xfId="0" applyProtection="1">
      <protection locked="0"/>
    </xf>
    <xf numFmtId="0" fontId="6" fillId="0" borderId="1" xfId="0" applyFont="1" applyBorder="1" applyAlignment="1" applyProtection="1">
      <alignment horizontal="left" vertical="top" wrapText="1"/>
      <protection locked="0"/>
    </xf>
    <xf numFmtId="0" fontId="5" fillId="0" borderId="1" xfId="0" applyFont="1" applyBorder="1" applyAlignment="1" applyProtection="1">
      <alignment horizontal="left" vertical="top" wrapText="1"/>
      <protection locked="0"/>
    </xf>
    <xf numFmtId="0" fontId="6" fillId="6" borderId="0" xfId="0" applyFont="1" applyFill="1" applyAlignment="1">
      <alignment horizontal="left" vertical="center"/>
    </xf>
    <xf numFmtId="0" fontId="4" fillId="6" borderId="0" xfId="0" applyFont="1" applyFill="1" applyAlignment="1">
      <alignment horizontal="left" vertical="center"/>
    </xf>
    <xf numFmtId="0" fontId="4" fillId="4" borderId="1" xfId="0" applyFont="1" applyFill="1" applyBorder="1"/>
    <xf numFmtId="0" fontId="11" fillId="3" borderId="50" xfId="0" applyFont="1" applyFill="1" applyBorder="1" applyAlignment="1">
      <alignment horizontal="right"/>
    </xf>
    <xf numFmtId="0" fontId="11" fillId="2" borderId="40" xfId="0" applyFont="1" applyFill="1" applyBorder="1" applyAlignment="1">
      <alignment horizontal="left" vertical="top"/>
    </xf>
    <xf numFmtId="0" fontId="11" fillId="2" borderId="58" xfId="0" applyFont="1" applyFill="1" applyBorder="1" applyAlignment="1">
      <alignment horizontal="left" vertical="top"/>
    </xf>
    <xf numFmtId="0" fontId="11" fillId="2" borderId="59" xfId="0" applyFont="1" applyFill="1" applyBorder="1" applyAlignment="1">
      <alignment horizontal="left" vertical="top"/>
    </xf>
    <xf numFmtId="0" fontId="11" fillId="2" borderId="60" xfId="0" applyFont="1" applyFill="1" applyBorder="1" applyAlignment="1">
      <alignment horizontal="left" vertical="top"/>
    </xf>
    <xf numFmtId="0" fontId="11" fillId="2" borderId="61" xfId="0" applyFont="1" applyFill="1" applyBorder="1" applyAlignment="1">
      <alignment horizontal="left" vertical="top"/>
    </xf>
    <xf numFmtId="0" fontId="10" fillId="5" borderId="53" xfId="0" applyFont="1" applyFill="1" applyBorder="1" applyAlignment="1">
      <alignment horizontal="left" vertical="top"/>
    </xf>
    <xf numFmtId="0" fontId="10" fillId="5" borderId="54" xfId="0" applyFont="1" applyFill="1" applyBorder="1" applyAlignment="1">
      <alignment horizontal="left" vertical="top"/>
    </xf>
    <xf numFmtId="0" fontId="11" fillId="3" borderId="52" xfId="0" applyFont="1" applyFill="1" applyBorder="1" applyAlignment="1">
      <alignment horizontal="right"/>
    </xf>
    <xf numFmtId="0" fontId="11" fillId="3" borderId="51" xfId="0" applyFont="1" applyFill="1" applyBorder="1" applyAlignment="1">
      <alignment horizontal="right"/>
    </xf>
    <xf numFmtId="0" fontId="11" fillId="3" borderId="42" xfId="0" applyFont="1" applyFill="1" applyBorder="1" applyAlignment="1">
      <alignment horizontal="center"/>
    </xf>
    <xf numFmtId="0" fontId="0" fillId="7" borderId="42" xfId="0" applyFill="1" applyBorder="1"/>
    <xf numFmtId="0" fontId="0" fillId="0" borderId="42" xfId="0" applyBorder="1"/>
    <xf numFmtId="2" fontId="12" fillId="6" borderId="51" xfId="0" applyNumberFormat="1" applyFont="1" applyFill="1" applyBorder="1" applyAlignment="1">
      <alignment horizontal="right"/>
    </xf>
    <xf numFmtId="0" fontId="12" fillId="6" borderId="50" xfId="0" applyFont="1" applyFill="1" applyBorder="1" applyAlignment="1">
      <alignment horizontal="right"/>
    </xf>
    <xf numFmtId="0" fontId="12" fillId="6" borderId="52" xfId="0" applyFont="1" applyFill="1" applyBorder="1" applyAlignment="1">
      <alignment horizontal="right"/>
    </xf>
    <xf numFmtId="0" fontId="11" fillId="2" borderId="39" xfId="0" applyFont="1" applyFill="1" applyBorder="1" applyAlignment="1">
      <alignment horizontal="left" vertical="top"/>
    </xf>
    <xf numFmtId="0" fontId="0" fillId="7" borderId="50" xfId="0" applyFill="1" applyBorder="1" applyAlignment="1">
      <alignment horizontal="right"/>
    </xf>
    <xf numFmtId="14" fontId="0" fillId="7" borderId="52" xfId="0" applyNumberFormat="1" applyFill="1" applyBorder="1" applyAlignment="1">
      <alignment horizontal="right"/>
    </xf>
    <xf numFmtId="164" fontId="6" fillId="7" borderId="50" xfId="0" applyNumberFormat="1" applyFont="1" applyFill="1" applyBorder="1" applyAlignment="1">
      <alignment horizontal="right"/>
    </xf>
    <xf numFmtId="14" fontId="0" fillId="7" borderId="51" xfId="0" applyNumberFormat="1" applyFill="1" applyBorder="1" applyAlignment="1">
      <alignment horizontal="right"/>
    </xf>
    <xf numFmtId="0" fontId="6" fillId="7" borderId="52" xfId="0" applyFont="1" applyFill="1" applyBorder="1" applyAlignment="1">
      <alignment horizontal="right"/>
    </xf>
    <xf numFmtId="0" fontId="15" fillId="0" borderId="42" xfId="1"/>
    <xf numFmtId="0" fontId="11" fillId="9" borderId="54" xfId="0" applyFont="1" applyFill="1" applyBorder="1" applyAlignment="1">
      <alignment horizontal="right"/>
    </xf>
    <xf numFmtId="14" fontId="11" fillId="3" borderId="48" xfId="0" applyNumberFormat="1" applyFont="1" applyFill="1" applyBorder="1" applyAlignment="1">
      <alignment horizontal="right"/>
    </xf>
    <xf numFmtId="0" fontId="11" fillId="9" borderId="48" xfId="0" applyFont="1" applyFill="1" applyBorder="1" applyAlignment="1">
      <alignment horizontal="right" vertical="center"/>
    </xf>
    <xf numFmtId="0" fontId="0" fillId="10" borderId="48" xfId="0" applyFill="1" applyBorder="1" applyAlignment="1">
      <alignment horizontal="right"/>
    </xf>
    <xf numFmtId="0" fontId="8" fillId="0" borderId="42" xfId="0" applyFont="1" applyBorder="1"/>
    <xf numFmtId="0" fontId="15" fillId="6" borderId="42" xfId="1" applyFill="1"/>
    <xf numFmtId="0" fontId="9" fillId="0" borderId="14" xfId="1" applyFont="1" applyBorder="1"/>
    <xf numFmtId="0" fontId="11" fillId="3" borderId="42" xfId="1" applyFont="1" applyFill="1"/>
    <xf numFmtId="0" fontId="3" fillId="0" borderId="7" xfId="1" applyFont="1" applyBorder="1"/>
    <xf numFmtId="0" fontId="3" fillId="4" borderId="7" xfId="1" applyFont="1" applyFill="1" applyBorder="1"/>
    <xf numFmtId="0" fontId="10" fillId="2" borderId="39" xfId="1" applyFont="1" applyFill="1" applyBorder="1" applyAlignment="1">
      <alignment horizontal="left" vertical="top"/>
    </xf>
    <xf numFmtId="0" fontId="10" fillId="2" borderId="40" xfId="1" applyFont="1" applyFill="1" applyBorder="1" applyAlignment="1">
      <alignment horizontal="left" vertical="top"/>
    </xf>
    <xf numFmtId="0" fontId="10" fillId="2" borderId="49" xfId="1" applyFont="1" applyFill="1" applyBorder="1" applyAlignment="1">
      <alignment horizontal="left" vertical="top"/>
    </xf>
    <xf numFmtId="0" fontId="10" fillId="2" borderId="57" xfId="1" applyFont="1" applyFill="1" applyBorder="1" applyAlignment="1">
      <alignment horizontal="left" vertical="top"/>
    </xf>
    <xf numFmtId="0" fontId="3" fillId="0" borderId="10" xfId="1" applyFont="1" applyBorder="1"/>
    <xf numFmtId="0" fontId="3" fillId="0" borderId="14" xfId="1" applyFont="1" applyBorder="1"/>
    <xf numFmtId="0" fontId="11" fillId="4" borderId="43" xfId="1" applyFont="1" applyFill="1" applyBorder="1"/>
    <xf numFmtId="0" fontId="11" fillId="3" borderId="10" xfId="1" applyFont="1" applyFill="1" applyBorder="1"/>
    <xf numFmtId="0" fontId="11" fillId="3" borderId="17" xfId="1" applyFont="1" applyFill="1" applyBorder="1"/>
    <xf numFmtId="0" fontId="11" fillId="4" borderId="32" xfId="1" applyFont="1" applyFill="1" applyBorder="1"/>
    <xf numFmtId="0" fontId="3" fillId="4" borderId="32" xfId="1" applyFont="1" applyFill="1" applyBorder="1"/>
    <xf numFmtId="0" fontId="11" fillId="3" borderId="14" xfId="1" applyFont="1" applyFill="1" applyBorder="1"/>
    <xf numFmtId="0" fontId="11" fillId="3" borderId="21" xfId="1" applyFont="1" applyFill="1" applyBorder="1"/>
    <xf numFmtId="0" fontId="11" fillId="3" borderId="43" xfId="1" applyFont="1" applyFill="1" applyBorder="1"/>
    <xf numFmtId="0" fontId="3" fillId="0" borderId="43" xfId="1" applyFont="1" applyBorder="1"/>
    <xf numFmtId="0" fontId="3" fillId="4" borderId="43" xfId="1" applyFont="1" applyFill="1" applyBorder="1"/>
    <xf numFmtId="0" fontId="3" fillId="4" borderId="16" xfId="1" applyFont="1" applyFill="1" applyBorder="1"/>
    <xf numFmtId="0" fontId="15" fillId="7" borderId="42" xfId="1" applyFill="1"/>
    <xf numFmtId="0" fontId="3" fillId="8" borderId="16" xfId="1" applyFont="1" applyFill="1" applyBorder="1"/>
    <xf numFmtId="0" fontId="3" fillId="8" borderId="22" xfId="1" applyFont="1" applyFill="1" applyBorder="1"/>
    <xf numFmtId="0" fontId="11" fillId="0" borderId="71" xfId="0" applyFont="1" applyBorder="1" applyAlignment="1">
      <alignment horizontal="right"/>
    </xf>
    <xf numFmtId="0" fontId="11" fillId="0" borderId="74" xfId="0" applyFont="1" applyBorder="1" applyAlignment="1">
      <alignment horizontal="right"/>
    </xf>
    <xf numFmtId="0" fontId="11" fillId="0" borderId="65" xfId="0" applyFont="1" applyBorder="1" applyAlignment="1">
      <alignment horizontal="right"/>
    </xf>
    <xf numFmtId="0" fontId="11" fillId="0" borderId="42" xfId="1" applyFont="1" applyAlignment="1">
      <alignment horizontal="right"/>
    </xf>
    <xf numFmtId="0" fontId="12" fillId="0" borderId="42" xfId="1" applyFont="1" applyAlignment="1">
      <alignment horizontal="right"/>
    </xf>
    <xf numFmtId="0" fontId="3" fillId="0" borderId="42" xfId="1" applyFont="1" applyAlignment="1">
      <alignment horizontal="right"/>
    </xf>
    <xf numFmtId="0" fontId="11" fillId="0" borderId="42" xfId="1" quotePrefix="1" applyFont="1" applyAlignment="1">
      <alignment horizontal="right"/>
    </xf>
    <xf numFmtId="0" fontId="11" fillId="2" borderId="53" xfId="1" applyFont="1" applyFill="1" applyBorder="1" applyAlignment="1">
      <alignment horizontal="left" vertical="top"/>
    </xf>
    <xf numFmtId="0" fontId="11" fillId="2" borderId="79" xfId="1" applyFont="1" applyFill="1" applyBorder="1" applyAlignment="1">
      <alignment horizontal="left" vertical="top"/>
    </xf>
    <xf numFmtId="0" fontId="3" fillId="2" borderId="79" xfId="1" applyFont="1" applyFill="1" applyBorder="1" applyAlignment="1">
      <alignment horizontal="left" vertical="top"/>
    </xf>
    <xf numFmtId="0" fontId="11" fillId="2" borderId="54" xfId="1" applyFont="1" applyFill="1" applyBorder="1" applyAlignment="1">
      <alignment horizontal="left" vertical="top"/>
    </xf>
    <xf numFmtId="0" fontId="11" fillId="0" borderId="64" xfId="1" applyFont="1" applyBorder="1" applyAlignment="1">
      <alignment horizontal="right"/>
    </xf>
    <xf numFmtId="0" fontId="12" fillId="0" borderId="65" xfId="1" applyFont="1" applyBorder="1" applyAlignment="1">
      <alignment horizontal="right"/>
    </xf>
    <xf numFmtId="0" fontId="11" fillId="0" borderId="65" xfId="1" applyFont="1" applyBorder="1" applyAlignment="1">
      <alignment horizontal="right"/>
    </xf>
    <xf numFmtId="0" fontId="3" fillId="0" borderId="65" xfId="1" applyFont="1" applyBorder="1" applyAlignment="1">
      <alignment horizontal="right"/>
    </xf>
    <xf numFmtId="0" fontId="11" fillId="0" borderId="66" xfId="1" applyFont="1" applyBorder="1" applyAlignment="1">
      <alignment horizontal="right"/>
    </xf>
    <xf numFmtId="0" fontId="12" fillId="0" borderId="67" xfId="1" applyFont="1" applyBorder="1" applyAlignment="1">
      <alignment horizontal="right"/>
    </xf>
    <xf numFmtId="0" fontId="11" fillId="0" borderId="67" xfId="1" applyFont="1" applyBorder="1" applyAlignment="1">
      <alignment horizontal="right"/>
    </xf>
    <xf numFmtId="0" fontId="3" fillId="0" borderId="67" xfId="1" applyFont="1" applyBorder="1" applyAlignment="1">
      <alignment horizontal="right"/>
    </xf>
    <xf numFmtId="0" fontId="11" fillId="0" borderId="68" xfId="1" quotePrefix="1" applyFont="1" applyBorder="1" applyAlignment="1">
      <alignment horizontal="right"/>
    </xf>
    <xf numFmtId="0" fontId="11" fillId="0" borderId="69" xfId="1" quotePrefix="1" applyFont="1" applyBorder="1" applyAlignment="1">
      <alignment horizontal="right"/>
    </xf>
    <xf numFmtId="0" fontId="11" fillId="0" borderId="70" xfId="1" applyFont="1" applyBorder="1" applyAlignment="1">
      <alignment horizontal="right"/>
    </xf>
    <xf numFmtId="0" fontId="12" fillId="0" borderId="71" xfId="1" applyFont="1" applyBorder="1" applyAlignment="1">
      <alignment horizontal="right"/>
    </xf>
    <xf numFmtId="0" fontId="11" fillId="0" borderId="71" xfId="1" applyFont="1" applyBorder="1" applyAlignment="1">
      <alignment horizontal="right"/>
    </xf>
    <xf numFmtId="0" fontId="3" fillId="0" borderId="71" xfId="1" applyFont="1" applyBorder="1" applyAlignment="1">
      <alignment horizontal="right"/>
    </xf>
    <xf numFmtId="0" fontId="11" fillId="0" borderId="72" xfId="1" quotePrefix="1" applyFont="1" applyBorder="1" applyAlignment="1">
      <alignment horizontal="right"/>
    </xf>
    <xf numFmtId="0" fontId="11" fillId="0" borderId="73" xfId="1" applyFont="1" applyBorder="1" applyAlignment="1">
      <alignment horizontal="right"/>
    </xf>
    <xf numFmtId="0" fontId="12" fillId="0" borderId="74" xfId="1" applyFont="1" applyBorder="1" applyAlignment="1">
      <alignment horizontal="right"/>
    </xf>
    <xf numFmtId="0" fontId="11" fillId="0" borderId="74" xfId="1" applyFont="1" applyBorder="1" applyAlignment="1">
      <alignment horizontal="right"/>
    </xf>
    <xf numFmtId="0" fontId="3" fillId="0" borderId="74" xfId="1" applyFont="1" applyBorder="1" applyAlignment="1">
      <alignment horizontal="right"/>
    </xf>
    <xf numFmtId="0" fontId="11" fillId="0" borderId="75" xfId="1" quotePrefix="1" applyFont="1" applyBorder="1" applyAlignment="1">
      <alignment horizontal="right"/>
    </xf>
    <xf numFmtId="0" fontId="3" fillId="0" borderId="76" xfId="1" applyFont="1" applyBorder="1" applyAlignment="1">
      <alignment horizontal="right"/>
    </xf>
    <xf numFmtId="0" fontId="3" fillId="0" borderId="77" xfId="1" applyFont="1" applyBorder="1" applyAlignment="1">
      <alignment horizontal="right" vertical="center"/>
    </xf>
    <xf numFmtId="0" fontId="11" fillId="0" borderId="77" xfId="1" applyFont="1" applyBorder="1" applyAlignment="1">
      <alignment horizontal="right" vertical="center"/>
    </xf>
    <xf numFmtId="0" fontId="3" fillId="0" borderId="77" xfId="1" applyFont="1" applyBorder="1" applyAlignment="1">
      <alignment horizontal="right"/>
    </xf>
    <xf numFmtId="0" fontId="11" fillId="0" borderId="78" xfId="1" applyFont="1" applyBorder="1" applyAlignment="1">
      <alignment horizontal="right"/>
    </xf>
    <xf numFmtId="0" fontId="6" fillId="0" borderId="64" xfId="0" applyFont="1" applyBorder="1" applyAlignment="1">
      <alignment horizontal="right"/>
    </xf>
    <xf numFmtId="2" fontId="11" fillId="0" borderId="65" xfId="0" applyNumberFormat="1" applyFont="1" applyBorder="1" applyAlignment="1">
      <alignment horizontal="right"/>
    </xf>
    <xf numFmtId="0" fontId="14" fillId="0" borderId="65" xfId="0" applyFont="1" applyBorder="1" applyAlignment="1">
      <alignment horizontal="right"/>
    </xf>
    <xf numFmtId="0" fontId="14" fillId="0" borderId="74" xfId="0" applyFont="1" applyBorder="1" applyAlignment="1">
      <alignment horizontal="right"/>
    </xf>
    <xf numFmtId="2" fontId="11" fillId="0" borderId="71" xfId="0" applyNumberFormat="1" applyFont="1" applyBorder="1" applyAlignment="1">
      <alignment horizontal="right"/>
    </xf>
    <xf numFmtId="0" fontId="14" fillId="0" borderId="71" xfId="0" applyFont="1" applyBorder="1" applyAlignment="1">
      <alignment horizontal="right"/>
    </xf>
    <xf numFmtId="0" fontId="11" fillId="0" borderId="75" xfId="0" applyFont="1" applyBorder="1" applyAlignment="1">
      <alignment horizontal="right"/>
    </xf>
    <xf numFmtId="0" fontId="11" fillId="0" borderId="68" xfId="0" applyFont="1" applyBorder="1" applyAlignment="1">
      <alignment horizontal="right"/>
    </xf>
    <xf numFmtId="0" fontId="11" fillId="0" borderId="72" xfId="0" applyFont="1" applyBorder="1" applyAlignment="1">
      <alignment horizontal="right"/>
    </xf>
    <xf numFmtId="0" fontId="11" fillId="3" borderId="42" xfId="0" applyFont="1" applyFill="1" applyBorder="1" applyAlignment="1">
      <alignment horizontal="center" vertical="center"/>
    </xf>
    <xf numFmtId="2" fontId="8" fillId="0" borderId="65" xfId="0" applyNumberFormat="1" applyFont="1" applyBorder="1" applyAlignment="1">
      <alignment horizontal="right"/>
    </xf>
    <xf numFmtId="0" fontId="8" fillId="0" borderId="65" xfId="0" applyFont="1" applyBorder="1" applyAlignment="1">
      <alignment horizontal="right"/>
    </xf>
    <xf numFmtId="2" fontId="8" fillId="0" borderId="74" xfId="0" applyNumberFormat="1" applyFont="1" applyBorder="1" applyAlignment="1">
      <alignment horizontal="right"/>
    </xf>
    <xf numFmtId="0" fontId="8" fillId="0" borderId="74" xfId="0" applyFont="1" applyBorder="1" applyAlignment="1">
      <alignment horizontal="right"/>
    </xf>
    <xf numFmtId="2" fontId="8" fillId="0" borderId="71" xfId="0" applyNumberFormat="1" applyFont="1" applyBorder="1" applyAlignment="1">
      <alignment horizontal="right"/>
    </xf>
    <xf numFmtId="0" fontId="8" fillId="0" borderId="71" xfId="0" applyFont="1" applyBorder="1" applyAlignment="1">
      <alignment horizontal="right"/>
    </xf>
    <xf numFmtId="0" fontId="11" fillId="0" borderId="77" xfId="0" applyFont="1" applyBorder="1" applyAlignment="1">
      <alignment horizontal="right"/>
    </xf>
    <xf numFmtId="164" fontId="11" fillId="0" borderId="77" xfId="0" applyNumberFormat="1" applyFont="1" applyBorder="1" applyAlignment="1">
      <alignment horizontal="right"/>
    </xf>
    <xf numFmtId="0" fontId="5" fillId="0" borderId="77" xfId="0" applyFont="1" applyBorder="1" applyAlignment="1">
      <alignment horizontal="right"/>
    </xf>
    <xf numFmtId="2" fontId="11" fillId="0" borderId="77" xfId="0" applyNumberFormat="1" applyFont="1" applyBorder="1" applyAlignment="1">
      <alignment horizontal="right"/>
    </xf>
    <xf numFmtId="0" fontId="0" fillId="0" borderId="77" xfId="0" applyBorder="1" applyAlignment="1">
      <alignment horizontal="right"/>
    </xf>
    <xf numFmtId="0" fontId="11" fillId="4" borderId="42" xfId="0" applyFont="1" applyFill="1" applyBorder="1" applyAlignment="1">
      <alignment horizontal="center"/>
    </xf>
    <xf numFmtId="0" fontId="3" fillId="0" borderId="73" xfId="0" applyFont="1" applyBorder="1" applyAlignment="1">
      <alignment horizontal="right"/>
    </xf>
    <xf numFmtId="0" fontId="3" fillId="0" borderId="64" xfId="0" applyFont="1" applyBorder="1" applyAlignment="1">
      <alignment horizontal="right"/>
    </xf>
    <xf numFmtId="0" fontId="3" fillId="0" borderId="70" xfId="0" applyFont="1" applyBorder="1" applyAlignment="1">
      <alignment horizontal="right"/>
    </xf>
    <xf numFmtId="0" fontId="3" fillId="0" borderId="74" xfId="0" applyFont="1" applyBorder="1" applyAlignment="1">
      <alignment horizontal="right"/>
    </xf>
    <xf numFmtId="0" fontId="3" fillId="0" borderId="65" xfId="0" applyFont="1" applyBorder="1" applyAlignment="1">
      <alignment horizontal="right"/>
    </xf>
    <xf numFmtId="0" fontId="3" fillId="0" borderId="71" xfId="0" applyFont="1" applyBorder="1" applyAlignment="1">
      <alignment horizontal="right"/>
    </xf>
    <xf numFmtId="0" fontId="11" fillId="0" borderId="76" xfId="0" applyFont="1" applyBorder="1" applyAlignment="1">
      <alignment horizontal="right" vertical="top"/>
    </xf>
    <xf numFmtId="2" fontId="11" fillId="10" borderId="77" xfId="0" applyNumberFormat="1" applyFont="1" applyFill="1" applyBorder="1" applyAlignment="1">
      <alignment horizontal="right"/>
    </xf>
    <xf numFmtId="0" fontId="11" fillId="11" borderId="45" xfId="0" applyFont="1" applyFill="1" applyBorder="1" applyAlignment="1">
      <alignment vertical="top" wrapText="1"/>
    </xf>
    <xf numFmtId="0" fontId="11" fillId="11" borderId="45" xfId="0" applyFont="1" applyFill="1" applyBorder="1" applyAlignment="1">
      <alignment horizontal="left" vertical="top" wrapText="1"/>
    </xf>
    <xf numFmtId="0" fontId="11" fillId="10" borderId="40" xfId="0" applyFont="1" applyFill="1" applyBorder="1" applyAlignment="1">
      <alignment horizontal="right"/>
    </xf>
    <xf numFmtId="0" fontId="3" fillId="10" borderId="40" xfId="0" applyFont="1" applyFill="1" applyBorder="1" applyAlignment="1">
      <alignment horizontal="right"/>
    </xf>
    <xf numFmtId="0" fontId="11" fillId="10" borderId="41" xfId="0" applyFont="1" applyFill="1" applyBorder="1" applyAlignment="1">
      <alignment horizontal="right"/>
    </xf>
    <xf numFmtId="0" fontId="11" fillId="10" borderId="42" xfId="0" applyFont="1" applyFill="1" applyBorder="1" applyAlignment="1">
      <alignment horizontal="right"/>
    </xf>
    <xf numFmtId="0" fontId="3" fillId="10" borderId="42" xfId="0" applyFont="1" applyFill="1" applyBorder="1" applyAlignment="1">
      <alignment horizontal="right"/>
    </xf>
    <xf numFmtId="0" fontId="11" fillId="10" borderId="9" xfId="0" applyFont="1" applyFill="1" applyBorder="1" applyAlignment="1">
      <alignment horizontal="right"/>
    </xf>
    <xf numFmtId="0" fontId="8" fillId="10" borderId="42" xfId="0" applyFont="1" applyFill="1" applyBorder="1" applyAlignment="1">
      <alignment horizontal="right"/>
    </xf>
    <xf numFmtId="2" fontId="11" fillId="10" borderId="42" xfId="0" applyNumberFormat="1" applyFont="1" applyFill="1" applyBorder="1" applyAlignment="1">
      <alignment horizontal="right"/>
    </xf>
    <xf numFmtId="0" fontId="11" fillId="10" borderId="62" xfId="0" applyFont="1" applyFill="1" applyBorder="1" applyAlignment="1">
      <alignment horizontal="right"/>
    </xf>
    <xf numFmtId="0" fontId="8" fillId="10" borderId="62" xfId="0" applyFont="1" applyFill="1" applyBorder="1" applyAlignment="1">
      <alignment horizontal="right"/>
    </xf>
    <xf numFmtId="0" fontId="11" fillId="10" borderId="63" xfId="0" applyFont="1" applyFill="1" applyBorder="1" applyAlignment="1">
      <alignment horizontal="right"/>
    </xf>
    <xf numFmtId="0" fontId="3" fillId="7" borderId="51" xfId="0" applyFont="1" applyFill="1" applyBorder="1" applyAlignment="1">
      <alignment horizontal="right"/>
    </xf>
    <xf numFmtId="11" fontId="0" fillId="6" borderId="0" xfId="0" applyNumberFormat="1" applyFill="1"/>
    <xf numFmtId="2" fontId="11" fillId="0" borderId="74" xfId="0" applyNumberFormat="1" applyFont="1" applyBorder="1" applyAlignment="1">
      <alignment horizontal="right"/>
    </xf>
    <xf numFmtId="0" fontId="11" fillId="10" borderId="75" xfId="0" applyFont="1" applyFill="1" applyBorder="1" applyAlignment="1">
      <alignment horizontal="right"/>
    </xf>
    <xf numFmtId="0" fontId="11" fillId="10" borderId="68" xfId="0" applyFont="1" applyFill="1" applyBorder="1" applyAlignment="1">
      <alignment horizontal="right"/>
    </xf>
    <xf numFmtId="0" fontId="11" fillId="10" borderId="72" xfId="0" applyFont="1" applyFill="1" applyBorder="1" applyAlignment="1">
      <alignment horizontal="right"/>
    </xf>
    <xf numFmtId="0" fontId="11" fillId="10" borderId="78" xfId="0" applyFont="1" applyFill="1" applyBorder="1" applyAlignment="1">
      <alignment horizontal="right" vertical="top"/>
    </xf>
    <xf numFmtId="0" fontId="11" fillId="10" borderId="74" xfId="0" applyFont="1" applyFill="1" applyBorder="1" applyAlignment="1">
      <alignment horizontal="right"/>
    </xf>
    <xf numFmtId="0" fontId="11" fillId="10" borderId="65" xfId="0" applyFont="1" applyFill="1" applyBorder="1" applyAlignment="1">
      <alignment horizontal="right"/>
    </xf>
    <xf numFmtId="0" fontId="11" fillId="10" borderId="71" xfId="0" applyFont="1" applyFill="1" applyBorder="1" applyAlignment="1">
      <alignment horizontal="right"/>
    </xf>
    <xf numFmtId="0" fontId="11" fillId="9" borderId="48" xfId="0" applyFont="1" applyFill="1" applyBorder="1" applyAlignment="1">
      <alignment horizontal="right"/>
    </xf>
    <xf numFmtId="0" fontId="7" fillId="12" borderId="80" xfId="0" applyFont="1" applyFill="1" applyBorder="1" applyAlignment="1">
      <alignment wrapText="1"/>
    </xf>
    <xf numFmtId="0" fontId="2" fillId="0" borderId="0" xfId="0" applyFont="1" applyAlignment="1">
      <alignment wrapText="1"/>
    </xf>
    <xf numFmtId="0" fontId="1" fillId="0" borderId="73" xfId="0" applyFont="1" applyBorder="1" applyAlignment="1">
      <alignment horizontal="right"/>
    </xf>
    <xf numFmtId="0" fontId="1" fillId="0" borderId="64" xfId="0" applyFont="1" applyBorder="1" applyAlignment="1">
      <alignment horizontal="right"/>
    </xf>
    <xf numFmtId="0" fontId="1" fillId="0" borderId="70" xfId="0" applyFont="1" applyBorder="1" applyAlignment="1">
      <alignment horizontal="right"/>
    </xf>
  </cellXfs>
  <cellStyles count="2">
    <cellStyle name="Normal" xfId="0" builtinId="0"/>
    <cellStyle name="Normal 2" xfId="1" xr:uid="{15B5984B-4EE4-4A35-88CA-1D33B63AE2B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6149340</xdr:colOff>
      <xdr:row>14</xdr:row>
      <xdr:rowOff>15240</xdr:rowOff>
    </xdr:from>
    <xdr:to>
      <xdr:col>0</xdr:col>
      <xdr:colOff>9479280</xdr:colOff>
      <xdr:row>25</xdr:row>
      <xdr:rowOff>160986</xdr:rowOff>
    </xdr:to>
    <xdr:pic>
      <xdr:nvPicPr>
        <xdr:cNvPr id="5" name="Graphic 4">
          <a:extLst>
            <a:ext uri="{FF2B5EF4-FFF2-40B4-BE49-F238E27FC236}">
              <a16:creationId xmlns:a16="http://schemas.microsoft.com/office/drawing/2014/main" id="{DBD6B997-55BC-D377-A518-A0F6247FA8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149340" y="3421380"/>
          <a:ext cx="3329940" cy="215742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aptiste mabboux" id="{4E9389FC-B427-4B78-B645-0674D7843CC2}" userId="f3aee38b355b722b"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M25" dT="2026-05-06T09:10:21.79" personId="{4E9389FC-B427-4B78-B645-0674D7843CC2}" id="{21B0A786-969E-4F8D-BD8E-9261146C0382}">
    <text>Computed from Q = m*cp*dT</text>
  </threadedComment>
</ThreadedComment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55" zoomScaleNormal="55" workbookViewId="0">
      <selection activeCell="B16" sqref="B16"/>
    </sheetView>
  </sheetViews>
  <sheetFormatPr baseColWidth="10" defaultColWidth="14.46484375" defaultRowHeight="15" customHeight="1" x14ac:dyDescent="0.45"/>
  <cols>
    <col min="1" max="1" width="18.1328125" bestFit="1" customWidth="1"/>
    <col min="2" max="2" width="255.796875" style="113" customWidth="1"/>
    <col min="3" max="3" width="29.46484375" customWidth="1"/>
  </cols>
  <sheetData>
    <row r="2" spans="1:2" ht="37.799999999999997" customHeight="1" x14ac:dyDescent="0.45">
      <c r="A2" s="68" t="s">
        <v>0</v>
      </c>
      <c r="B2" s="114" t="s">
        <v>1</v>
      </c>
    </row>
    <row r="3" spans="1:2" ht="15" customHeight="1" x14ac:dyDescent="0.45">
      <c r="A3" s="111"/>
      <c r="B3" s="112"/>
    </row>
    <row r="4" spans="1:2" ht="23.55" customHeight="1" x14ac:dyDescent="0.45">
      <c r="A4" s="68" t="s">
        <v>123</v>
      </c>
      <c r="B4" s="115" t="s">
        <v>124</v>
      </c>
    </row>
    <row r="5" spans="1:2" ht="14.25" x14ac:dyDescent="0.45">
      <c r="A5" s="111"/>
      <c r="B5" s="112"/>
    </row>
    <row r="6" spans="1:2" ht="72.5" customHeight="1" x14ac:dyDescent="0.45">
      <c r="A6" s="68" t="s">
        <v>2</v>
      </c>
      <c r="B6" s="115" t="s">
        <v>125</v>
      </c>
    </row>
    <row r="7" spans="1:2" ht="14.25" x14ac:dyDescent="0.45">
      <c r="A7" s="111"/>
      <c r="B7" s="112"/>
    </row>
    <row r="8" spans="1:2" ht="39.5" customHeight="1" x14ac:dyDescent="0.45">
      <c r="A8" s="68" t="s">
        <v>3</v>
      </c>
      <c r="B8" s="114" t="s">
        <v>4</v>
      </c>
    </row>
    <row r="9" spans="1:2" ht="14.25" x14ac:dyDescent="0.45">
      <c r="A9" s="111"/>
      <c r="B9" s="112"/>
    </row>
    <row r="10" spans="1:2" ht="55.8" customHeight="1" x14ac:dyDescent="0.45">
      <c r="A10" s="68" t="s">
        <v>5</v>
      </c>
      <c r="B10" s="115" t="s">
        <v>126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23"/>
  <sheetViews>
    <sheetView showGridLines="0" zoomScale="70" zoomScaleNormal="70" workbookViewId="0">
      <selection activeCell="B18" sqref="B18"/>
    </sheetView>
  </sheetViews>
  <sheetFormatPr baseColWidth="10" defaultColWidth="14.46484375" defaultRowHeight="15" customHeight="1" x14ac:dyDescent="0.45"/>
  <cols>
    <col min="1" max="1" width="59" bestFit="1" customWidth="1"/>
    <col min="2" max="2" width="90.796875" bestFit="1" customWidth="1"/>
    <col min="3" max="3" width="17.796875" customWidth="1"/>
    <col min="4" max="4" width="12.6640625" customWidth="1"/>
    <col min="5" max="5" width="4.6640625" customWidth="1"/>
    <col min="6" max="6" width="7" customWidth="1"/>
    <col min="7" max="26" width="10.6640625" customWidth="1"/>
    <col min="27" max="16384" width="14.46484375" style="70"/>
  </cols>
  <sheetData>
    <row r="1" spans="1:4" ht="14.25" x14ac:dyDescent="0.45">
      <c r="A1" s="99" t="s">
        <v>66</v>
      </c>
      <c r="B1" s="142"/>
      <c r="C1" s="2"/>
      <c r="D1" s="6" t="s">
        <v>101</v>
      </c>
    </row>
    <row r="2" spans="1:4" ht="14.25" x14ac:dyDescent="0.45">
      <c r="A2" s="100" t="s">
        <v>67</v>
      </c>
      <c r="B2" s="101" t="s">
        <v>154</v>
      </c>
      <c r="D2" s="116" t="s">
        <v>6</v>
      </c>
    </row>
    <row r="3" spans="1:4" ht="14.25" x14ac:dyDescent="0.45">
      <c r="A3" s="100" t="s">
        <v>68</v>
      </c>
      <c r="B3" s="101" t="s">
        <v>7</v>
      </c>
      <c r="C3" s="70"/>
      <c r="D3" s="117" t="s">
        <v>132</v>
      </c>
    </row>
    <row r="4" spans="1:4" ht="14.25" x14ac:dyDescent="0.45">
      <c r="A4" s="100" t="s">
        <v>80</v>
      </c>
      <c r="B4" s="101" t="s">
        <v>81</v>
      </c>
      <c r="C4" s="70"/>
      <c r="D4" s="117" t="s">
        <v>133</v>
      </c>
    </row>
    <row r="5" spans="1:4" ht="14.25" x14ac:dyDescent="0.45">
      <c r="A5" s="100" t="s">
        <v>71</v>
      </c>
      <c r="B5" s="143">
        <v>46136</v>
      </c>
      <c r="C5" s="70"/>
      <c r="D5" s="116" t="s">
        <v>9</v>
      </c>
    </row>
    <row r="6" spans="1:4" ht="14.25" x14ac:dyDescent="0.45">
      <c r="A6" s="100" t="s">
        <v>75</v>
      </c>
      <c r="B6" s="143">
        <v>46136</v>
      </c>
      <c r="C6" s="70"/>
      <c r="D6" s="116" t="s">
        <v>13</v>
      </c>
    </row>
    <row r="7" spans="1:4" ht="14.25" x14ac:dyDescent="0.45">
      <c r="A7" s="100" t="s">
        <v>83</v>
      </c>
      <c r="B7" s="101" t="s">
        <v>84</v>
      </c>
      <c r="D7" s="117" t="s">
        <v>134</v>
      </c>
    </row>
    <row r="8" spans="1:4" ht="14.25" x14ac:dyDescent="0.45">
      <c r="A8" s="100" t="s">
        <v>69</v>
      </c>
      <c r="B8" s="102" t="s">
        <v>94</v>
      </c>
      <c r="C8" s="70"/>
      <c r="D8" s="117" t="s">
        <v>130</v>
      </c>
    </row>
    <row r="9" spans="1:4" ht="14.25" x14ac:dyDescent="0.45">
      <c r="A9" s="100" t="s">
        <v>70</v>
      </c>
      <c r="B9" s="101" t="s">
        <v>8</v>
      </c>
      <c r="C9" s="70"/>
      <c r="D9" s="117" t="s">
        <v>131</v>
      </c>
    </row>
    <row r="10" spans="1:4" ht="14.25" x14ac:dyDescent="0.45">
      <c r="A10" s="100" t="s">
        <v>102</v>
      </c>
      <c r="B10" s="98">
        <v>1</v>
      </c>
      <c r="D10" s="117" t="s">
        <v>135</v>
      </c>
    </row>
    <row r="11" spans="1:4" ht="14.25" x14ac:dyDescent="0.45">
      <c r="A11" s="100" t="s">
        <v>73</v>
      </c>
      <c r="B11" s="101" t="s">
        <v>10</v>
      </c>
      <c r="C11" s="70"/>
      <c r="D11" s="117" t="s">
        <v>136</v>
      </c>
    </row>
    <row r="12" spans="1:4" ht="28.5" x14ac:dyDescent="0.45">
      <c r="A12" s="103" t="s">
        <v>77</v>
      </c>
      <c r="B12" s="144" t="str">
        <f>TEXT(POWER_EL_OUT,0)&amp;"kW of electricity output"</f>
        <v>144kW of electricity output</v>
      </c>
      <c r="C12" s="1"/>
      <c r="D12" s="117" t="s">
        <v>137</v>
      </c>
    </row>
    <row r="13" spans="1:4" ht="21.5" customHeight="1" x14ac:dyDescent="0.45">
      <c r="A13" s="103" t="s">
        <v>43</v>
      </c>
      <c r="B13" s="101">
        <v>9</v>
      </c>
      <c r="C13" s="1"/>
      <c r="D13" s="117" t="s">
        <v>138</v>
      </c>
    </row>
    <row r="14" spans="1:4" ht="14.25" x14ac:dyDescent="0.45">
      <c r="A14" s="100" t="s">
        <v>76</v>
      </c>
      <c r="B14" s="261" t="s">
        <v>237</v>
      </c>
      <c r="C14" s="69"/>
      <c r="D14" s="116" t="s">
        <v>14</v>
      </c>
    </row>
    <row r="15" spans="1:4" ht="14.25" x14ac:dyDescent="0.45">
      <c r="A15" s="103" t="s">
        <v>15</v>
      </c>
      <c r="B15" s="104" t="s">
        <v>238</v>
      </c>
      <c r="C15" s="1"/>
      <c r="D15" s="116" t="s">
        <v>128</v>
      </c>
    </row>
    <row r="16" spans="1:4" ht="14.25" x14ac:dyDescent="0.45">
      <c r="A16" s="103" t="s">
        <v>78</v>
      </c>
      <c r="B16" s="145"/>
      <c r="C16" s="1"/>
      <c r="D16" s="116" t="s">
        <v>127</v>
      </c>
    </row>
    <row r="17" spans="1:4" ht="14.25" x14ac:dyDescent="0.45">
      <c r="A17" s="103" t="s">
        <v>82</v>
      </c>
      <c r="B17" s="145" t="s">
        <v>236</v>
      </c>
      <c r="C17" s="1"/>
      <c r="D17" s="117" t="s">
        <v>139</v>
      </c>
    </row>
    <row r="18" spans="1:4" ht="20.55" customHeight="1" x14ac:dyDescent="0.45">
      <c r="A18" s="100" t="s">
        <v>72</v>
      </c>
      <c r="B18" s="261" t="s">
        <v>236</v>
      </c>
      <c r="C18" s="70"/>
      <c r="D18" s="117" t="s">
        <v>140</v>
      </c>
    </row>
    <row r="19" spans="1:4" ht="14.25" x14ac:dyDescent="0.45">
      <c r="A19" s="100" t="s">
        <v>74</v>
      </c>
      <c r="B19" s="101" t="s">
        <v>153</v>
      </c>
      <c r="C19" s="70"/>
      <c r="D19" s="116" t="s">
        <v>11</v>
      </c>
    </row>
    <row r="20" spans="1:4" ht="14.25" x14ac:dyDescent="0.45">
      <c r="A20" s="100" t="s">
        <v>99</v>
      </c>
      <c r="B20" s="101" t="s">
        <v>153</v>
      </c>
      <c r="C20" s="70"/>
      <c r="D20" s="117" t="s">
        <v>141</v>
      </c>
    </row>
    <row r="21" spans="1:4" ht="15.75" customHeight="1" x14ac:dyDescent="0.45">
      <c r="A21" s="103" t="s">
        <v>79</v>
      </c>
      <c r="B21" s="101" t="s">
        <v>239</v>
      </c>
      <c r="C21" s="1"/>
      <c r="D21" s="117" t="s">
        <v>142</v>
      </c>
    </row>
    <row r="22" spans="1:4" ht="14.25" x14ac:dyDescent="0.45">
      <c r="A22" s="100" t="s">
        <v>12</v>
      </c>
      <c r="B22" s="145"/>
      <c r="C22" s="70"/>
      <c r="D22" s="117" t="s">
        <v>143</v>
      </c>
    </row>
    <row r="23" spans="1:4" ht="15.75" customHeight="1" thickBot="1" x14ac:dyDescent="0.5">
      <c r="A23" s="105" t="s">
        <v>85</v>
      </c>
      <c r="B23" s="106" t="s">
        <v>97</v>
      </c>
      <c r="C23" s="1"/>
      <c r="D23" s="117" t="s">
        <v>129</v>
      </c>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90D9F-6BD3-4557-9810-F38E866D8433}">
  <sheetPr codeName="Sheet15"/>
  <dimension ref="A1:P57"/>
  <sheetViews>
    <sheetView showGridLines="0" zoomScale="78" zoomScaleNormal="55" workbookViewId="0">
      <selection activeCell="B8" sqref="B8"/>
    </sheetView>
  </sheetViews>
  <sheetFormatPr baseColWidth="10" defaultColWidth="14.46484375" defaultRowHeight="15" customHeight="1" x14ac:dyDescent="0.45"/>
  <cols>
    <col min="1" max="1" width="42.6640625" style="147" customWidth="1"/>
    <col min="2" max="2" width="19.46484375" style="147" bestFit="1" customWidth="1"/>
    <col min="3" max="3" width="17.33203125" style="147" customWidth="1"/>
    <col min="4" max="4" width="20.1328125" style="147" bestFit="1" customWidth="1"/>
    <col min="5" max="5" width="19.46484375" style="147" bestFit="1" customWidth="1"/>
    <col min="6" max="6" width="23.46484375" style="147" customWidth="1"/>
    <col min="7" max="7" width="27" style="147" customWidth="1"/>
    <col min="8" max="8" width="23.46484375" style="147" customWidth="1"/>
    <col min="9" max="9" width="33.1328125" style="147" bestFit="1" customWidth="1"/>
    <col min="10" max="10" width="27" style="147" customWidth="1"/>
    <col min="11" max="11" width="54.796875" style="141" bestFit="1" customWidth="1"/>
    <col min="12" max="12" width="61.33203125" style="141" customWidth="1"/>
    <col min="13" max="13" width="16" style="141" customWidth="1"/>
    <col min="14" max="14" width="18.46484375" style="141" customWidth="1"/>
    <col min="15" max="15" width="14.33203125" style="141" customWidth="1"/>
    <col min="16" max="16" width="5.1328125" style="141" customWidth="1"/>
    <col min="17" max="16384" width="14.46484375" style="141"/>
  </cols>
  <sheetData>
    <row r="1" spans="1:16" ht="15" customHeight="1" thickBot="1" x14ac:dyDescent="0.5"/>
    <row r="2" spans="1:16" ht="14.65" thickBot="1" x14ac:dyDescent="0.5">
      <c r="A2" s="148" t="s">
        <v>65</v>
      </c>
      <c r="B2" s="149"/>
      <c r="C2" s="149"/>
      <c r="D2" s="149"/>
      <c r="E2" s="149"/>
      <c r="F2" s="149"/>
      <c r="G2" s="149"/>
      <c r="H2" s="149"/>
      <c r="I2" s="149"/>
      <c r="J2" s="149"/>
      <c r="K2" s="149"/>
      <c r="L2" s="150"/>
      <c r="M2" s="151"/>
      <c r="N2" s="151"/>
      <c r="O2" s="151"/>
      <c r="P2" s="151"/>
    </row>
    <row r="3" spans="1:16" ht="14.65" thickBot="1" x14ac:dyDescent="0.5">
      <c r="A3" s="152" t="s">
        <v>16</v>
      </c>
      <c r="B3" s="153"/>
      <c r="C3" s="153"/>
      <c r="D3" s="153"/>
      <c r="E3" s="153"/>
      <c r="F3" s="153"/>
      <c r="G3" s="153"/>
      <c r="H3" s="153"/>
      <c r="I3" s="153"/>
      <c r="J3" s="153"/>
      <c r="K3" s="154"/>
      <c r="L3" s="155"/>
      <c r="M3" s="151"/>
      <c r="N3" s="151"/>
      <c r="O3" s="151"/>
      <c r="P3" s="151"/>
    </row>
    <row r="4" spans="1:16" ht="14.65" thickBot="1" x14ac:dyDescent="0.5">
      <c r="A4" s="179" t="s">
        <v>100</v>
      </c>
      <c r="B4" s="180" t="s">
        <v>17</v>
      </c>
      <c r="C4" s="180" t="s">
        <v>18</v>
      </c>
      <c r="D4" s="180" t="s">
        <v>148</v>
      </c>
      <c r="E4" s="180" t="s">
        <v>20</v>
      </c>
      <c r="F4" s="181" t="s">
        <v>21</v>
      </c>
      <c r="G4" s="180" t="s">
        <v>22</v>
      </c>
      <c r="H4" s="180" t="s">
        <v>23</v>
      </c>
      <c r="I4" s="180" t="s">
        <v>24</v>
      </c>
      <c r="J4" s="180" t="s">
        <v>25</v>
      </c>
      <c r="K4" s="180" t="s">
        <v>26</v>
      </c>
      <c r="L4" s="182" t="s">
        <v>15</v>
      </c>
      <c r="M4" s="150"/>
      <c r="N4" s="151"/>
      <c r="O4" s="151"/>
      <c r="P4" s="151"/>
    </row>
    <row r="5" spans="1:16" ht="14.65" thickBot="1" x14ac:dyDescent="0.5">
      <c r="A5" s="198" t="s">
        <v>214</v>
      </c>
      <c r="B5" s="199" t="s">
        <v>215</v>
      </c>
      <c r="C5" s="199" t="s">
        <v>214</v>
      </c>
      <c r="D5" s="199" t="s">
        <v>155</v>
      </c>
      <c r="E5" s="200" t="s">
        <v>27</v>
      </c>
      <c r="F5" s="201" t="s">
        <v>27</v>
      </c>
      <c r="G5" s="200" t="s">
        <v>27</v>
      </c>
      <c r="H5" s="200" t="s">
        <v>27</v>
      </c>
      <c r="I5" s="200" t="s">
        <v>27</v>
      </c>
      <c r="J5" s="200" t="s">
        <v>27</v>
      </c>
      <c r="K5" s="200" t="s">
        <v>27</v>
      </c>
      <c r="L5" s="202" t="s">
        <v>240</v>
      </c>
      <c r="M5" s="147"/>
      <c r="N5" s="151"/>
      <c r="O5" s="151"/>
      <c r="P5" s="151"/>
    </row>
    <row r="6" spans="1:16" ht="14.65" thickBot="1" x14ac:dyDescent="0.5">
      <c r="A6" s="183" t="s">
        <v>216</v>
      </c>
      <c r="B6" s="184" t="s">
        <v>217</v>
      </c>
      <c r="C6" s="184" t="s">
        <v>218</v>
      </c>
      <c r="D6" s="184" t="s">
        <v>162</v>
      </c>
      <c r="E6" s="185">
        <v>25</v>
      </c>
      <c r="F6" s="186" t="s">
        <v>263</v>
      </c>
      <c r="G6" s="185">
        <v>1</v>
      </c>
      <c r="H6" s="185" t="s">
        <v>219</v>
      </c>
      <c r="I6" s="185">
        <v>-1</v>
      </c>
      <c r="J6" s="185" t="s">
        <v>220</v>
      </c>
      <c r="K6" s="185" t="s">
        <v>221</v>
      </c>
      <c r="L6" s="191" t="s">
        <v>241</v>
      </c>
      <c r="M6" s="147"/>
      <c r="N6" s="151"/>
      <c r="O6" s="151"/>
      <c r="P6" s="151"/>
    </row>
    <row r="7" spans="1:16" ht="14.65" thickBot="1" x14ac:dyDescent="0.5">
      <c r="A7" s="187" t="s">
        <v>225</v>
      </c>
      <c r="B7" s="188" t="s">
        <v>226</v>
      </c>
      <c r="C7" s="188" t="s">
        <v>227</v>
      </c>
      <c r="D7" s="188" t="s">
        <v>162</v>
      </c>
      <c r="E7" s="189">
        <v>25</v>
      </c>
      <c r="F7" s="190" t="s">
        <v>263</v>
      </c>
      <c r="G7" s="189">
        <v>1</v>
      </c>
      <c r="H7" s="189" t="s">
        <v>219</v>
      </c>
      <c r="I7" s="189">
        <v>-1</v>
      </c>
      <c r="J7" s="189" t="s">
        <v>228</v>
      </c>
      <c r="K7" s="189" t="s">
        <v>229</v>
      </c>
      <c r="L7" s="192" t="s">
        <v>243</v>
      </c>
      <c r="M7" s="147"/>
      <c r="N7" s="151"/>
      <c r="O7" s="151"/>
      <c r="P7" s="151"/>
    </row>
    <row r="8" spans="1:16" ht="14.65" thickBot="1" x14ac:dyDescent="0.5">
      <c r="A8" s="193" t="s">
        <v>222</v>
      </c>
      <c r="B8" s="194" t="s">
        <v>223</v>
      </c>
      <c r="C8" s="194" t="s">
        <v>218</v>
      </c>
      <c r="D8" s="194" t="s">
        <v>162</v>
      </c>
      <c r="E8" s="195">
        <v>25</v>
      </c>
      <c r="F8" s="196" t="s">
        <v>263</v>
      </c>
      <c r="G8" s="195">
        <v>1</v>
      </c>
      <c r="H8" s="195" t="s">
        <v>219</v>
      </c>
      <c r="I8" s="195">
        <v>-1</v>
      </c>
      <c r="J8" s="195" t="s">
        <v>220</v>
      </c>
      <c r="K8" s="195" t="s">
        <v>224</v>
      </c>
      <c r="L8" s="197" t="s">
        <v>242</v>
      </c>
      <c r="M8" s="147"/>
      <c r="N8" s="151"/>
      <c r="O8" s="151"/>
      <c r="P8" s="151"/>
    </row>
    <row r="9" spans="1:16" ht="14.65" thickBot="1" x14ac:dyDescent="0.5">
      <c r="A9" s="175"/>
      <c r="B9" s="176"/>
      <c r="C9" s="176"/>
      <c r="D9" s="176"/>
      <c r="E9" s="175"/>
      <c r="F9" s="177"/>
      <c r="G9" s="175"/>
      <c r="H9" s="175"/>
      <c r="I9" s="175"/>
      <c r="J9" s="175"/>
      <c r="K9" s="175"/>
      <c r="L9" s="178"/>
      <c r="M9" s="147"/>
      <c r="N9" s="151"/>
      <c r="O9" s="151"/>
      <c r="P9" s="151"/>
    </row>
    <row r="10" spans="1:16" ht="14.65" thickBot="1" x14ac:dyDescent="0.5">
      <c r="A10" s="156"/>
      <c r="B10" s="156"/>
      <c r="C10" s="156"/>
      <c r="D10" s="156"/>
      <c r="E10" s="156"/>
      <c r="F10" s="156"/>
      <c r="G10" s="156"/>
      <c r="H10" s="156"/>
      <c r="I10" s="149"/>
      <c r="J10" s="149"/>
      <c r="K10" s="149"/>
      <c r="L10" s="149"/>
      <c r="N10" s="151"/>
      <c r="O10" s="151"/>
      <c r="P10" s="151"/>
    </row>
    <row r="11" spans="1:16" ht="14.65" thickBot="1" x14ac:dyDescent="0.5">
      <c r="A11" s="148" t="s">
        <v>64</v>
      </c>
      <c r="B11" s="157"/>
      <c r="C11" s="157"/>
      <c r="D11" s="157"/>
      <c r="E11" s="157"/>
      <c r="F11" s="157"/>
      <c r="G11" s="157"/>
      <c r="H11" s="157"/>
      <c r="I11" s="149"/>
      <c r="J11" s="158"/>
      <c r="K11" s="158"/>
      <c r="L11" s="158"/>
      <c r="M11" s="151"/>
      <c r="N11" s="151"/>
      <c r="O11" s="151"/>
      <c r="P11" s="151"/>
    </row>
    <row r="12" spans="1:16" ht="14.65" thickBot="1" x14ac:dyDescent="0.5">
      <c r="A12" s="152" t="s">
        <v>28</v>
      </c>
      <c r="B12" s="153"/>
      <c r="C12" s="153"/>
      <c r="D12" s="153"/>
      <c r="E12" s="153"/>
      <c r="F12" s="153"/>
      <c r="G12" s="153"/>
      <c r="H12" s="153"/>
      <c r="I12" s="153"/>
      <c r="J12" s="153"/>
      <c r="K12" s="154"/>
      <c r="L12" s="155"/>
      <c r="M12" s="150"/>
      <c r="N12" s="151"/>
      <c r="O12" s="151"/>
      <c r="P12" s="151"/>
    </row>
    <row r="13" spans="1:16" ht="14.65" thickBot="1" x14ac:dyDescent="0.5">
      <c r="A13" s="179" t="s">
        <v>100</v>
      </c>
      <c r="B13" s="180" t="s">
        <v>17</v>
      </c>
      <c r="C13" s="180" t="s">
        <v>18</v>
      </c>
      <c r="D13" s="180" t="s">
        <v>148</v>
      </c>
      <c r="E13" s="180" t="s">
        <v>20</v>
      </c>
      <c r="F13" s="181" t="s">
        <v>21</v>
      </c>
      <c r="G13" s="180" t="s">
        <v>22</v>
      </c>
      <c r="H13" s="180" t="s">
        <v>23</v>
      </c>
      <c r="I13" s="180" t="s">
        <v>24</v>
      </c>
      <c r="J13" s="180" t="s">
        <v>25</v>
      </c>
      <c r="K13" s="180" t="s">
        <v>26</v>
      </c>
      <c r="L13" s="182" t="s">
        <v>15</v>
      </c>
      <c r="M13" s="150"/>
      <c r="N13" s="151"/>
      <c r="O13" s="151"/>
      <c r="P13" s="151"/>
    </row>
    <row r="14" spans="1:16" ht="14.65" thickBot="1" x14ac:dyDescent="0.5">
      <c r="A14" s="203" t="s">
        <v>27</v>
      </c>
      <c r="B14" s="204" t="s">
        <v>27</v>
      </c>
      <c r="C14" s="205" t="s">
        <v>27</v>
      </c>
      <c r="D14" s="205" t="s">
        <v>27</v>
      </c>
      <c r="E14" s="204" t="s">
        <v>27</v>
      </c>
      <c r="F14" s="204" t="s">
        <v>27</v>
      </c>
      <c r="G14" s="204" t="s">
        <v>27</v>
      </c>
      <c r="H14" s="206" t="s">
        <v>27</v>
      </c>
      <c r="I14" s="204" t="s">
        <v>27</v>
      </c>
      <c r="J14" s="204" t="s">
        <v>27</v>
      </c>
      <c r="K14" s="205" t="s">
        <v>27</v>
      </c>
      <c r="L14" s="207" t="s">
        <v>27</v>
      </c>
      <c r="M14" s="168"/>
      <c r="N14" s="151"/>
      <c r="O14" s="151"/>
      <c r="P14" s="151"/>
    </row>
    <row r="15" spans="1:16" ht="15.75" customHeight="1" thickBot="1" x14ac:dyDescent="0.5">
      <c r="A15" s="159"/>
      <c r="B15" s="159"/>
      <c r="C15" s="159"/>
      <c r="D15" s="159"/>
      <c r="E15" s="159"/>
      <c r="F15" s="159"/>
      <c r="G15" s="160"/>
      <c r="H15" s="149"/>
      <c r="I15" s="149"/>
      <c r="J15" s="161"/>
      <c r="K15" s="162"/>
      <c r="L15" s="162"/>
      <c r="M15" s="151"/>
      <c r="N15" s="151"/>
      <c r="O15" s="151"/>
      <c r="P15" s="151"/>
    </row>
    <row r="16" spans="1:16" ht="15.75" customHeight="1" thickBot="1" x14ac:dyDescent="0.5">
      <c r="A16" s="163"/>
      <c r="B16" s="163"/>
      <c r="C16" s="163"/>
      <c r="D16" s="163"/>
      <c r="E16" s="163"/>
      <c r="F16" s="164"/>
      <c r="G16" s="165"/>
      <c r="H16" s="166"/>
      <c r="I16" s="165"/>
      <c r="J16" s="158"/>
      <c r="K16" s="167"/>
      <c r="L16" s="151"/>
      <c r="M16" s="151"/>
      <c r="N16" s="151"/>
      <c r="O16" s="151"/>
      <c r="P16" s="151"/>
    </row>
    <row r="17" spans="10:16" ht="15.75" customHeight="1" thickBot="1" x14ac:dyDescent="0.5">
      <c r="K17" s="168"/>
      <c r="L17" s="168"/>
      <c r="M17" s="151"/>
      <c r="N17" s="151"/>
      <c r="O17" s="151"/>
      <c r="P17" s="151"/>
    </row>
    <row r="18" spans="10:16" ht="15.75" customHeight="1" thickBot="1" x14ac:dyDescent="0.5">
      <c r="L18" s="168"/>
      <c r="M18" s="151"/>
      <c r="N18" s="151"/>
      <c r="O18" s="151"/>
      <c r="P18" s="151"/>
    </row>
    <row r="19" spans="10:16" ht="15.75" customHeight="1" thickBot="1" x14ac:dyDescent="0.5">
      <c r="J19" s="169"/>
      <c r="K19" s="169"/>
      <c r="L19" s="170"/>
      <c r="M19" s="151"/>
      <c r="N19" s="151"/>
      <c r="O19" s="151"/>
      <c r="P19" s="151"/>
    </row>
    <row r="20" spans="10:16" ht="15.75" customHeight="1" thickBot="1" x14ac:dyDescent="0.5">
      <c r="J20" s="169"/>
      <c r="K20" s="169"/>
      <c r="L20" s="171"/>
      <c r="M20" s="151"/>
      <c r="N20" s="151"/>
      <c r="O20" s="151"/>
      <c r="P20" s="151"/>
    </row>
    <row r="21" spans="10:16" ht="15.75" customHeight="1" thickBot="1" x14ac:dyDescent="0.5">
      <c r="J21" s="169"/>
      <c r="K21" s="169"/>
      <c r="L21" s="147"/>
      <c r="M21" s="151"/>
      <c r="N21" s="151"/>
      <c r="O21" s="151"/>
      <c r="P21" s="151"/>
    </row>
    <row r="22" spans="10:16" ht="15.75" customHeight="1" thickBot="1" x14ac:dyDescent="0.5">
      <c r="J22" s="169"/>
      <c r="K22" s="169"/>
      <c r="L22" s="147"/>
      <c r="M22" s="151"/>
      <c r="N22" s="151"/>
      <c r="O22" s="151"/>
      <c r="P22" s="151"/>
    </row>
    <row r="23" spans="10:16" ht="15.75" customHeight="1" thickBot="1" x14ac:dyDescent="0.5">
      <c r="J23" s="169"/>
      <c r="K23" s="169"/>
      <c r="L23" s="147"/>
      <c r="M23" s="151"/>
      <c r="N23" s="151"/>
      <c r="O23" s="151"/>
      <c r="P23" s="151"/>
    </row>
    <row r="24" spans="10:16" ht="15.75" customHeight="1" thickBot="1" x14ac:dyDescent="0.5">
      <c r="J24" s="169"/>
      <c r="K24" s="169"/>
      <c r="L24" s="147"/>
      <c r="M24" s="151"/>
      <c r="N24" s="151"/>
      <c r="O24" s="151"/>
      <c r="P24" s="151"/>
    </row>
    <row r="25" spans="10:16" ht="15.75" customHeight="1" thickBot="1" x14ac:dyDescent="0.5">
      <c r="J25" s="169"/>
      <c r="K25" s="169"/>
      <c r="L25" s="147"/>
      <c r="M25" s="151"/>
      <c r="N25" s="151"/>
      <c r="O25" s="151"/>
      <c r="P25" s="151"/>
    </row>
    <row r="26" spans="10:16" ht="15.75" customHeight="1" x14ac:dyDescent="0.45"/>
    <row r="27" spans="10:16" ht="15.75" customHeight="1" x14ac:dyDescent="0.45"/>
    <row r="28" spans="10:16" ht="15.75" customHeight="1" x14ac:dyDescent="0.45"/>
    <row r="29" spans="10:16" ht="15.75" customHeight="1" x14ac:dyDescent="0.45"/>
    <row r="30" spans="10:16" ht="15.75" customHeight="1" x14ac:dyDescent="0.45"/>
    <row r="31" spans="10:16" ht="15.75" customHeight="1" x14ac:dyDescent="0.45"/>
    <row r="32" spans="10:16" ht="15.75" customHeight="1" x14ac:dyDescent="0.45"/>
    <row r="33" spans="11:16" ht="15.75" customHeight="1" x14ac:dyDescent="0.45"/>
    <row r="34" spans="11:16" ht="15.75" customHeight="1" x14ac:dyDescent="0.45"/>
    <row r="35" spans="11:16" ht="15.75" customHeight="1" x14ac:dyDescent="0.45"/>
    <row r="36" spans="11:16" ht="15.75" customHeight="1" x14ac:dyDescent="0.45"/>
    <row r="37" spans="11:16" s="147" customFormat="1" ht="15.75" customHeight="1" x14ac:dyDescent="0.45">
      <c r="K37" s="141"/>
      <c r="L37" s="141"/>
      <c r="M37" s="141"/>
      <c r="N37" s="141"/>
      <c r="O37" s="141"/>
      <c r="P37" s="141"/>
    </row>
    <row r="38" spans="11:16" s="147" customFormat="1" ht="15.75" customHeight="1" x14ac:dyDescent="0.45">
      <c r="K38" s="141"/>
      <c r="L38" s="141"/>
      <c r="M38" s="141"/>
      <c r="N38" s="141"/>
      <c r="O38" s="141"/>
      <c r="P38" s="141"/>
    </row>
    <row r="39" spans="11:16" s="147" customFormat="1" ht="15.75" customHeight="1" x14ac:dyDescent="0.45">
      <c r="K39" s="141"/>
      <c r="L39" s="141"/>
      <c r="M39" s="141"/>
      <c r="N39" s="141"/>
      <c r="O39" s="141"/>
      <c r="P39" s="141"/>
    </row>
    <row r="40" spans="11:16" s="147" customFormat="1" ht="15.75" customHeight="1" x14ac:dyDescent="0.45">
      <c r="K40" s="141"/>
      <c r="L40" s="141"/>
      <c r="M40" s="141"/>
      <c r="N40" s="141"/>
      <c r="O40" s="141"/>
      <c r="P40" s="141"/>
    </row>
    <row r="41" spans="11:16" s="147" customFormat="1" ht="15.75" customHeight="1" x14ac:dyDescent="0.45">
      <c r="K41" s="141"/>
      <c r="L41" s="141"/>
      <c r="M41" s="141"/>
      <c r="N41" s="141"/>
      <c r="O41" s="141"/>
      <c r="P41" s="141"/>
    </row>
    <row r="42" spans="11:16" s="147" customFormat="1" ht="15.75" customHeight="1" x14ac:dyDescent="0.45">
      <c r="K42" s="141"/>
      <c r="L42" s="141"/>
      <c r="M42" s="141"/>
      <c r="N42" s="141"/>
      <c r="O42" s="141"/>
      <c r="P42" s="141"/>
    </row>
    <row r="43" spans="11:16" s="147" customFormat="1" ht="15.75" customHeight="1" x14ac:dyDescent="0.45">
      <c r="K43" s="141"/>
      <c r="L43" s="141"/>
      <c r="M43" s="141"/>
      <c r="N43" s="141"/>
      <c r="O43" s="141"/>
      <c r="P43" s="141"/>
    </row>
    <row r="44" spans="11:16" s="147" customFormat="1" ht="15.75" customHeight="1" x14ac:dyDescent="0.45">
      <c r="K44" s="141"/>
      <c r="L44" s="141"/>
      <c r="M44" s="141"/>
      <c r="N44" s="141"/>
      <c r="O44" s="141"/>
      <c r="P44" s="141"/>
    </row>
    <row r="45" spans="11:16" s="147" customFormat="1" ht="15.75" customHeight="1" x14ac:dyDescent="0.45">
      <c r="K45" s="141"/>
      <c r="L45" s="141"/>
      <c r="M45" s="141"/>
      <c r="N45" s="141"/>
      <c r="O45" s="141"/>
      <c r="P45" s="141"/>
    </row>
    <row r="46" spans="11:16" s="147" customFormat="1" ht="15.75" customHeight="1" x14ac:dyDescent="0.45">
      <c r="K46" s="141"/>
      <c r="L46" s="141"/>
      <c r="M46" s="141"/>
      <c r="N46" s="141"/>
      <c r="O46" s="141"/>
      <c r="P46" s="141"/>
    </row>
    <row r="47" spans="11:16" s="147" customFormat="1" ht="15.75" customHeight="1" x14ac:dyDescent="0.45">
      <c r="K47" s="141"/>
      <c r="L47" s="141"/>
      <c r="M47" s="141"/>
      <c r="N47" s="141"/>
      <c r="O47" s="141"/>
      <c r="P47" s="141"/>
    </row>
    <row r="48" spans="11:16" s="147" customFormat="1" ht="15.75" customHeight="1" x14ac:dyDescent="0.45">
      <c r="K48" s="141"/>
      <c r="L48" s="141"/>
      <c r="M48" s="141"/>
      <c r="N48" s="141"/>
      <c r="O48" s="141"/>
      <c r="P48" s="141"/>
    </row>
    <row r="49" spans="11:16" s="147" customFormat="1" ht="15.75" customHeight="1" x14ac:dyDescent="0.45">
      <c r="K49" s="141"/>
      <c r="L49" s="141"/>
      <c r="M49" s="141"/>
      <c r="N49" s="141"/>
      <c r="O49" s="141"/>
      <c r="P49" s="141"/>
    </row>
    <row r="50" spans="11:16" s="147" customFormat="1" ht="15.75" customHeight="1" x14ac:dyDescent="0.45">
      <c r="K50" s="141"/>
      <c r="L50" s="141"/>
      <c r="M50" s="141"/>
      <c r="N50" s="141"/>
      <c r="O50" s="141"/>
      <c r="P50" s="141"/>
    </row>
    <row r="51" spans="11:16" s="147" customFormat="1" ht="15.75" customHeight="1" x14ac:dyDescent="0.45">
      <c r="K51" s="141"/>
      <c r="L51" s="141"/>
      <c r="M51" s="141"/>
      <c r="N51" s="141"/>
      <c r="O51" s="141"/>
      <c r="P51" s="141"/>
    </row>
    <row r="52" spans="11:16" s="147" customFormat="1" ht="15.75" customHeight="1" x14ac:dyDescent="0.45">
      <c r="K52" s="141"/>
      <c r="L52" s="141"/>
      <c r="M52" s="141"/>
      <c r="N52" s="141"/>
      <c r="O52" s="141"/>
      <c r="P52" s="141"/>
    </row>
    <row r="53" spans="11:16" s="147" customFormat="1" ht="15.75" customHeight="1" x14ac:dyDescent="0.45">
      <c r="K53" s="141"/>
      <c r="L53" s="141"/>
      <c r="M53" s="141"/>
      <c r="N53" s="141"/>
      <c r="O53" s="141"/>
      <c r="P53" s="141"/>
    </row>
    <row r="54" spans="11:16" s="147" customFormat="1" ht="15.75" customHeight="1" x14ac:dyDescent="0.45">
      <c r="K54" s="141"/>
      <c r="L54" s="141"/>
      <c r="M54" s="141"/>
      <c r="N54" s="141"/>
      <c r="O54" s="141"/>
      <c r="P54" s="141"/>
    </row>
    <row r="55" spans="11:16" s="147" customFormat="1" ht="15.75" customHeight="1" x14ac:dyDescent="0.45">
      <c r="K55" s="141"/>
      <c r="L55" s="141"/>
      <c r="M55" s="141"/>
      <c r="N55" s="141"/>
      <c r="O55" s="141"/>
      <c r="P55" s="141"/>
    </row>
    <row r="56" spans="11:16" s="147" customFormat="1" ht="15.75" customHeight="1" x14ac:dyDescent="0.45">
      <c r="K56" s="141"/>
      <c r="L56" s="141"/>
      <c r="M56" s="141"/>
      <c r="N56" s="141"/>
      <c r="O56" s="141"/>
      <c r="P56" s="141"/>
    </row>
    <row r="57" spans="11:16" s="147" customFormat="1" ht="15.75" customHeight="1" x14ac:dyDescent="0.45">
      <c r="K57" s="141"/>
      <c r="L57" s="141"/>
      <c r="M57" s="141"/>
      <c r="N57" s="141"/>
      <c r="O57" s="141"/>
      <c r="P57" s="141"/>
    </row>
  </sheetData>
  <dataValidations count="2">
    <dataValidation type="list" allowBlank="1" showErrorMessage="1" sqref="C5:C9" xr:uid="{20216D3E-0734-42B7-BB68-546F3F09595E}">
      <formula1>"ELECTRICITY,EMISSIONS,MASS"</formula1>
    </dataValidation>
    <dataValidation type="list" errorStyle="information" allowBlank="1" showInputMessage="1" showErrorMessage="1" sqref="D5:D8 F5:F8 H5:H8 D14 F14 H14" xr:uid="{B83C1A98-1C43-4990-AE00-52AE8B65F42A}">
      <formula1>"-,kg,s,m,K,°C,W,bar,kg/h,t/h,kW,kW/m2K,W/m2K,kJ/kgK,kJ/kg,m3/h,%,eur,eur/y,kWel/kWth,year"</formula1>
    </dataValidation>
  </dataValidation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E6F68-68C4-47FB-886E-D11D5290C740}">
  <sheetPr codeName="Sheet11"/>
  <dimension ref="A1:U42"/>
  <sheetViews>
    <sheetView showGridLines="0" tabSelected="1" zoomScale="75" zoomScaleNormal="55" workbookViewId="0">
      <selection activeCell="C9" sqref="C9"/>
    </sheetView>
  </sheetViews>
  <sheetFormatPr baseColWidth="10" defaultColWidth="14.46484375" defaultRowHeight="15" customHeight="1" x14ac:dyDescent="0.45"/>
  <cols>
    <col min="1" max="1" width="59.1328125" customWidth="1"/>
    <col min="2" max="2" width="43.796875" customWidth="1"/>
    <col min="3" max="3" width="59.33203125" customWidth="1"/>
    <col min="4" max="4" width="45.33203125" customWidth="1"/>
    <col min="5" max="5" width="37.6640625" customWidth="1"/>
    <col min="6" max="6" width="42.1328125" customWidth="1"/>
    <col min="7" max="7" width="34.33203125" customWidth="1"/>
    <col min="8" max="8" width="34.6640625" customWidth="1"/>
    <col min="9" max="9" width="29.1328125" customWidth="1"/>
    <col min="10" max="10" width="35.33203125" customWidth="1"/>
    <col min="11" max="11" width="42.6640625" customWidth="1"/>
    <col min="12" max="12" width="43" customWidth="1"/>
    <col min="13" max="13" width="43.46484375" bestFit="1" customWidth="1"/>
    <col min="14" max="14" width="60.796875" customWidth="1"/>
    <col min="15" max="15" width="22.33203125" bestFit="1" customWidth="1"/>
    <col min="16" max="16" width="19.796875" customWidth="1"/>
    <col min="17" max="17" width="31.46484375" bestFit="1" customWidth="1"/>
    <col min="18" max="18" width="29" bestFit="1" customWidth="1"/>
    <col min="19" max="19" width="16.796875" bestFit="1" customWidth="1"/>
    <col min="20" max="20" width="30.1328125" customWidth="1"/>
    <col min="21" max="21" width="53.796875" bestFit="1" customWidth="1"/>
    <col min="22" max="28" width="10.6640625" customWidth="1"/>
  </cols>
  <sheetData>
    <row r="1" spans="1:21" ht="14.25" customHeight="1" thickBot="1" x14ac:dyDescent="0.5">
      <c r="A1" s="87" t="s">
        <v>46</v>
      </c>
      <c r="B1" s="70"/>
      <c r="C1" s="70"/>
      <c r="D1" s="21"/>
      <c r="E1" s="22"/>
      <c r="F1" s="22"/>
      <c r="G1" s="22"/>
      <c r="H1" s="22"/>
      <c r="I1" s="4"/>
      <c r="J1" s="4"/>
      <c r="K1" s="5"/>
      <c r="L1" s="5"/>
      <c r="M1" s="5"/>
      <c r="N1" s="5"/>
    </row>
    <row r="2" spans="1:21" ht="50.45" customHeight="1" thickBot="1" x14ac:dyDescent="0.5">
      <c r="A2" s="238" t="s">
        <v>286</v>
      </c>
      <c r="B2" s="70"/>
      <c r="C2" s="70"/>
      <c r="D2" s="21"/>
      <c r="E2" s="22"/>
      <c r="F2" s="22"/>
      <c r="G2" s="22"/>
      <c r="H2" s="22"/>
      <c r="I2" s="4"/>
      <c r="J2" s="4"/>
      <c r="K2" s="5"/>
      <c r="L2" s="5"/>
      <c r="M2" s="5"/>
      <c r="N2" s="5"/>
    </row>
    <row r="3" spans="1:21" ht="14.25" customHeight="1" thickBot="1" x14ac:dyDescent="0.5">
      <c r="D3" s="21"/>
      <c r="E3" s="22"/>
      <c r="F3" s="22"/>
      <c r="G3" s="22"/>
      <c r="H3" s="22"/>
      <c r="I3" s="4"/>
      <c r="J3" s="4"/>
      <c r="K3" s="5"/>
      <c r="L3" s="5"/>
      <c r="M3" s="5"/>
      <c r="N3" s="5"/>
    </row>
    <row r="4" spans="1:21" ht="14.65" thickBot="1" x14ac:dyDescent="0.5">
      <c r="A4" s="71"/>
      <c r="B4" s="23"/>
      <c r="C4" s="23"/>
      <c r="D4" s="4"/>
      <c r="E4" s="24"/>
      <c r="F4" s="24"/>
      <c r="G4" s="24"/>
      <c r="H4" s="25"/>
      <c r="I4" s="26"/>
      <c r="J4" s="26"/>
      <c r="K4" s="26"/>
      <c r="L4" s="26"/>
      <c r="M4" s="26"/>
      <c r="N4" s="26"/>
    </row>
    <row r="5" spans="1:21" ht="14.65" thickBot="1" x14ac:dyDescent="0.5">
      <c r="A5" s="74" t="s">
        <v>48</v>
      </c>
      <c r="B5" s="75" t="s">
        <v>50</v>
      </c>
      <c r="C5" s="76" t="s">
        <v>49</v>
      </c>
      <c r="D5" s="51" t="s">
        <v>150</v>
      </c>
      <c r="E5" s="30"/>
      <c r="F5" s="30"/>
      <c r="G5" s="30"/>
      <c r="H5" s="28"/>
      <c r="I5" s="5"/>
      <c r="J5" s="5"/>
      <c r="K5" s="5"/>
      <c r="L5" s="5"/>
      <c r="M5" s="5"/>
      <c r="N5" s="5"/>
    </row>
    <row r="6" spans="1:21" ht="14.65" thickBot="1" x14ac:dyDescent="0.5">
      <c r="A6" s="119" t="s">
        <v>230</v>
      </c>
      <c r="B6" s="128">
        <v>0</v>
      </c>
      <c r="C6" s="127">
        <v>1</v>
      </c>
      <c r="D6" s="31"/>
      <c r="E6" s="32"/>
      <c r="F6" s="33"/>
      <c r="G6" s="33"/>
      <c r="H6" s="34"/>
      <c r="I6" s="22"/>
      <c r="J6" s="22"/>
      <c r="K6" s="22"/>
      <c r="L6" s="22"/>
      <c r="M6" s="22"/>
      <c r="N6" s="22"/>
    </row>
    <row r="7" spans="1:21" ht="14.65" thickBot="1" x14ac:dyDescent="0.5">
      <c r="A7" s="35"/>
      <c r="B7" s="36"/>
      <c r="C7" s="36"/>
      <c r="D7" s="37"/>
      <c r="E7" s="3"/>
      <c r="F7" s="24"/>
      <c r="G7" s="24"/>
      <c r="H7" s="25"/>
      <c r="I7" s="24"/>
      <c r="J7" s="24"/>
      <c r="K7" s="24"/>
      <c r="L7" s="24"/>
      <c r="M7" s="24"/>
      <c r="N7" s="24"/>
    </row>
    <row r="8" spans="1:21" ht="17.25" customHeight="1" thickBot="1" x14ac:dyDescent="0.5">
      <c r="A8" s="84" t="s">
        <v>47</v>
      </c>
      <c r="B8" s="70"/>
      <c r="C8" s="70"/>
      <c r="D8" s="25"/>
      <c r="E8" s="3"/>
      <c r="F8" s="24"/>
      <c r="G8" s="24"/>
      <c r="H8" s="25"/>
      <c r="I8" s="24"/>
      <c r="J8" s="24"/>
      <c r="K8" s="24"/>
      <c r="L8" s="24"/>
      <c r="M8" s="24"/>
      <c r="N8" s="24"/>
    </row>
    <row r="9" spans="1:21" ht="61.25" customHeight="1" thickBot="1" x14ac:dyDescent="0.5">
      <c r="A9" s="238" t="s">
        <v>272</v>
      </c>
      <c r="B9" s="70"/>
      <c r="C9" s="70"/>
      <c r="D9" s="3"/>
      <c r="E9" s="3"/>
      <c r="F9" s="24"/>
      <c r="G9" s="24"/>
      <c r="H9" s="25"/>
      <c r="I9" s="24"/>
      <c r="J9" s="24"/>
      <c r="K9" s="24"/>
      <c r="L9" s="24"/>
      <c r="M9" s="24"/>
      <c r="N9" s="24"/>
    </row>
    <row r="10" spans="1:21" ht="14.65" thickBot="1" x14ac:dyDescent="0.5">
      <c r="A10" s="38"/>
      <c r="B10" s="24"/>
      <c r="C10" s="24"/>
      <c r="D10" s="3"/>
      <c r="E10" s="3"/>
      <c r="F10" s="24"/>
      <c r="G10" s="24"/>
      <c r="H10" s="25"/>
      <c r="I10" s="24"/>
      <c r="J10" s="24"/>
      <c r="K10" s="24"/>
      <c r="L10" s="24"/>
      <c r="M10" s="24"/>
      <c r="N10" s="24"/>
    </row>
    <row r="11" spans="1:21" ht="14.65" thickBot="1" x14ac:dyDescent="0.5">
      <c r="A11" s="39" t="s">
        <v>59</v>
      </c>
      <c r="B11" s="24"/>
      <c r="C11" s="24"/>
      <c r="D11" s="3"/>
      <c r="E11" s="3"/>
      <c r="F11" s="24"/>
      <c r="G11" s="24"/>
      <c r="H11" s="25"/>
      <c r="I11" s="24"/>
      <c r="J11" s="24"/>
      <c r="K11" s="24"/>
      <c r="L11" s="24"/>
      <c r="M11" s="24"/>
      <c r="N11" s="24"/>
    </row>
    <row r="12" spans="1:21" ht="14.65" thickBot="1" x14ac:dyDescent="0.5">
      <c r="A12" s="40" t="s">
        <v>58</v>
      </c>
      <c r="B12" s="41"/>
      <c r="D12" s="41"/>
      <c r="E12" s="41"/>
      <c r="F12" s="41"/>
      <c r="G12" s="41"/>
      <c r="H12" s="41"/>
      <c r="I12" s="42"/>
      <c r="J12" s="41"/>
      <c r="K12" s="41"/>
      <c r="L12" s="41"/>
      <c r="M12" s="27"/>
      <c r="N12" s="27"/>
    </row>
    <row r="13" spans="1:21" ht="19.5" customHeight="1" thickBot="1" x14ac:dyDescent="0.5">
      <c r="A13" s="73" t="s">
        <v>2</v>
      </c>
      <c r="B13" s="77"/>
      <c r="C13" s="77"/>
      <c r="D13" s="77"/>
      <c r="E13" s="77"/>
      <c r="F13" s="77"/>
      <c r="G13" s="77"/>
      <c r="H13" s="77"/>
      <c r="I13" s="77"/>
      <c r="J13" s="77"/>
      <c r="K13" s="77"/>
      <c r="L13" s="80"/>
      <c r="M13" s="80"/>
      <c r="N13" s="83"/>
    </row>
    <row r="14" spans="1:21" ht="14.65" thickBot="1" x14ac:dyDescent="0.5">
      <c r="A14" s="91" t="s">
        <v>17</v>
      </c>
      <c r="B14" s="92" t="s">
        <v>18</v>
      </c>
      <c r="C14" s="92" t="s">
        <v>38</v>
      </c>
      <c r="D14" s="92" t="s">
        <v>147</v>
      </c>
      <c r="E14" s="92" t="s">
        <v>148</v>
      </c>
      <c r="F14" s="92" t="s">
        <v>145</v>
      </c>
      <c r="G14" s="93" t="s">
        <v>21</v>
      </c>
      <c r="H14" s="92" t="s">
        <v>146</v>
      </c>
      <c r="I14" s="92" t="s">
        <v>23</v>
      </c>
      <c r="J14" s="92" t="s">
        <v>24</v>
      </c>
      <c r="K14" s="92" t="s">
        <v>25</v>
      </c>
      <c r="L14" s="120" t="s">
        <v>26</v>
      </c>
      <c r="M14" s="120" t="s">
        <v>121</v>
      </c>
      <c r="N14" s="110" t="s">
        <v>15</v>
      </c>
    </row>
    <row r="15" spans="1:21" ht="14.25" x14ac:dyDescent="0.45">
      <c r="A15" s="264" t="s">
        <v>215</v>
      </c>
      <c r="B15" s="173" t="s">
        <v>214</v>
      </c>
      <c r="C15" s="173" t="s">
        <v>231</v>
      </c>
      <c r="D15" s="220">
        <f>POWER_EL_OUT</f>
        <v>144.45998019444446</v>
      </c>
      <c r="E15" s="173" t="s">
        <v>155</v>
      </c>
      <c r="F15" s="221" t="s">
        <v>27</v>
      </c>
      <c r="G15" s="221" t="s">
        <v>27</v>
      </c>
      <c r="H15" s="221" t="s">
        <v>27</v>
      </c>
      <c r="I15" s="221" t="s">
        <v>27</v>
      </c>
      <c r="J15" s="221" t="s">
        <v>27</v>
      </c>
      <c r="K15" s="221" t="s">
        <v>27</v>
      </c>
      <c r="L15" s="173" t="s">
        <v>27</v>
      </c>
      <c r="M15" s="233" t="s">
        <v>261</v>
      </c>
      <c r="N15" s="254" t="s">
        <v>240</v>
      </c>
      <c r="O15" s="1"/>
      <c r="P15" s="1"/>
      <c r="Q15" s="1"/>
      <c r="R15" s="1"/>
      <c r="S15" s="1"/>
      <c r="T15" s="1"/>
      <c r="U15" s="1"/>
    </row>
    <row r="16" spans="1:21" ht="14.25" x14ac:dyDescent="0.45">
      <c r="A16" s="265" t="s">
        <v>217</v>
      </c>
      <c r="B16" s="174" t="s">
        <v>218</v>
      </c>
      <c r="C16" s="174" t="s">
        <v>232</v>
      </c>
      <c r="D16" s="218">
        <f>MASSF_O2_IN</f>
        <v>56</v>
      </c>
      <c r="E16" s="174" t="s">
        <v>162</v>
      </c>
      <c r="F16" s="219">
        <v>25</v>
      </c>
      <c r="G16" s="219" t="s">
        <v>263</v>
      </c>
      <c r="H16" s="219">
        <v>1</v>
      </c>
      <c r="I16" s="219" t="s">
        <v>219</v>
      </c>
      <c r="J16" s="219">
        <v>-1</v>
      </c>
      <c r="K16" s="219" t="s">
        <v>220</v>
      </c>
      <c r="L16" s="174" t="s">
        <v>221</v>
      </c>
      <c r="M16" s="234" t="s">
        <v>262</v>
      </c>
      <c r="N16" s="255" t="s">
        <v>241</v>
      </c>
      <c r="O16" s="217"/>
      <c r="P16" s="217"/>
      <c r="Q16" s="217"/>
      <c r="R16" s="217"/>
      <c r="S16" s="217"/>
      <c r="T16" s="217"/>
      <c r="U16" s="217"/>
    </row>
    <row r="17" spans="1:21" ht="14.25" x14ac:dyDescent="0.45">
      <c r="A17" s="265" t="s">
        <v>223</v>
      </c>
      <c r="B17" s="174" t="s">
        <v>218</v>
      </c>
      <c r="C17" s="174" t="s">
        <v>232</v>
      </c>
      <c r="D17" s="218">
        <f>MASSF_H2_IN</f>
        <v>7</v>
      </c>
      <c r="E17" s="174" t="s">
        <v>162</v>
      </c>
      <c r="F17" s="219">
        <v>25</v>
      </c>
      <c r="G17" s="219" t="s">
        <v>263</v>
      </c>
      <c r="H17" s="219">
        <v>1</v>
      </c>
      <c r="I17" s="219" t="s">
        <v>219</v>
      </c>
      <c r="J17" s="219">
        <v>-1</v>
      </c>
      <c r="K17" s="219" t="s">
        <v>220</v>
      </c>
      <c r="L17" s="174" t="s">
        <v>224</v>
      </c>
      <c r="M17" s="234" t="s">
        <v>262</v>
      </c>
      <c r="N17" s="255" t="s">
        <v>242</v>
      </c>
      <c r="O17" s="217"/>
      <c r="P17" s="217"/>
      <c r="Q17" s="217"/>
      <c r="R17" s="217"/>
      <c r="S17" s="217"/>
      <c r="T17" s="217"/>
      <c r="U17" s="217"/>
    </row>
    <row r="18" spans="1:21" ht="14.65" thickBot="1" x14ac:dyDescent="0.5">
      <c r="A18" s="266" t="s">
        <v>226</v>
      </c>
      <c r="B18" s="172" t="s">
        <v>227</v>
      </c>
      <c r="C18" s="172" t="s">
        <v>231</v>
      </c>
      <c r="D18" s="222">
        <f>MASSF_H2O_OUT</f>
        <v>63</v>
      </c>
      <c r="E18" s="172" t="s">
        <v>162</v>
      </c>
      <c r="F18" s="223">
        <v>25</v>
      </c>
      <c r="G18" s="223" t="s">
        <v>263</v>
      </c>
      <c r="H18" s="223">
        <v>1</v>
      </c>
      <c r="I18" s="223" t="s">
        <v>219</v>
      </c>
      <c r="J18" s="223">
        <v>-1</v>
      </c>
      <c r="K18" s="223" t="s">
        <v>228</v>
      </c>
      <c r="L18" s="172" t="s">
        <v>233</v>
      </c>
      <c r="M18" s="235" t="s">
        <v>262</v>
      </c>
      <c r="N18" s="256" t="s">
        <v>243</v>
      </c>
      <c r="O18" s="217"/>
      <c r="P18" s="217"/>
      <c r="Q18" s="217"/>
      <c r="R18" s="217"/>
      <c r="S18" s="217"/>
      <c r="T18" s="217"/>
      <c r="U18" s="217"/>
    </row>
    <row r="19" spans="1:21" ht="14.65" thickBot="1" x14ac:dyDescent="0.5">
      <c r="A19" s="44"/>
      <c r="B19" s="36"/>
      <c r="C19" s="36"/>
      <c r="D19" s="36"/>
      <c r="E19" s="45"/>
      <c r="F19" s="46"/>
      <c r="G19" s="46"/>
      <c r="H19" s="46"/>
      <c r="I19" s="46"/>
      <c r="J19" s="45"/>
      <c r="K19" s="47"/>
      <c r="L19" s="36"/>
      <c r="M19" s="48"/>
      <c r="N19" s="36"/>
      <c r="O19" s="48"/>
      <c r="P19" s="48"/>
      <c r="Q19" s="48"/>
      <c r="R19" s="48"/>
      <c r="S19" s="48"/>
      <c r="T19" s="48"/>
      <c r="U19" s="48"/>
    </row>
    <row r="20" spans="1:21" ht="14.25" customHeight="1" thickBot="1" x14ac:dyDescent="0.5">
      <c r="A20" s="85" t="s">
        <v>56</v>
      </c>
      <c r="C20" s="70"/>
      <c r="D20" s="21"/>
      <c r="E20" s="22"/>
      <c r="F20" s="22"/>
      <c r="G20" s="22"/>
      <c r="H20" s="22"/>
      <c r="I20" s="4"/>
      <c r="J20" s="4"/>
      <c r="K20" s="5"/>
      <c r="L20" s="5"/>
      <c r="M20" s="5"/>
      <c r="N20" s="5"/>
      <c r="O20" s="22"/>
      <c r="P20" s="22"/>
      <c r="Q20" s="22"/>
      <c r="R20" s="22"/>
      <c r="S20" s="22"/>
      <c r="T20" s="22"/>
      <c r="U20" s="22"/>
    </row>
    <row r="21" spans="1:21" ht="39.5" customHeight="1" thickBot="1" x14ac:dyDescent="0.5">
      <c r="A21" s="238" t="s">
        <v>273</v>
      </c>
      <c r="C21" s="70"/>
      <c r="D21" s="21"/>
      <c r="E21" s="22"/>
      <c r="F21" s="22"/>
      <c r="G21" s="22"/>
      <c r="H21" s="22"/>
      <c r="I21" s="4"/>
      <c r="J21" s="4"/>
      <c r="K21" s="5"/>
      <c r="L21" s="5"/>
      <c r="M21" s="5"/>
      <c r="N21" s="5"/>
      <c r="O21" s="22"/>
      <c r="P21" s="22"/>
      <c r="Q21" s="22"/>
      <c r="R21" s="22"/>
      <c r="S21" s="22"/>
      <c r="T21" s="22"/>
      <c r="U21" s="22"/>
    </row>
    <row r="22" spans="1:21" ht="14.65" thickBot="1" x14ac:dyDescent="0.5">
      <c r="A22" s="49"/>
      <c r="B22" s="24"/>
      <c r="C22" s="24"/>
      <c r="D22" s="24"/>
      <c r="E22" s="3"/>
      <c r="F22" s="43"/>
      <c r="G22" s="43"/>
      <c r="H22" s="43"/>
      <c r="I22" s="43"/>
      <c r="J22" s="3"/>
      <c r="K22" s="25"/>
      <c r="L22" s="24"/>
      <c r="M22" s="24"/>
      <c r="N22" s="24"/>
      <c r="O22" s="24"/>
      <c r="P22" s="24"/>
      <c r="Q22" s="24"/>
      <c r="R22" s="24"/>
      <c r="S22" s="24"/>
      <c r="T22" s="24"/>
      <c r="U22" s="24"/>
    </row>
    <row r="23" spans="1:21" ht="14.65" thickBot="1" x14ac:dyDescent="0.5">
      <c r="A23" s="78" t="s">
        <v>40</v>
      </c>
      <c r="B23" s="79"/>
      <c r="C23" s="79"/>
      <c r="D23" s="79"/>
      <c r="E23" s="79"/>
      <c r="F23" s="79"/>
      <c r="G23" s="79"/>
      <c r="H23" s="79"/>
      <c r="I23" s="79"/>
      <c r="J23" s="79"/>
      <c r="K23" s="79"/>
      <c r="L23" s="79"/>
      <c r="M23" s="79"/>
      <c r="N23" s="79"/>
      <c r="O23" s="79"/>
      <c r="P23" s="79"/>
      <c r="Q23" s="79"/>
      <c r="R23" s="79"/>
      <c r="S23" s="79"/>
      <c r="T23" s="79"/>
      <c r="U23" s="83"/>
    </row>
    <row r="24" spans="1:21" ht="14.65" thickBot="1" x14ac:dyDescent="0.5">
      <c r="A24" s="121" t="s">
        <v>52</v>
      </c>
      <c r="B24" s="122" t="s">
        <v>18</v>
      </c>
      <c r="C24" s="122" t="s">
        <v>109</v>
      </c>
      <c r="D24" s="123" t="s">
        <v>105</v>
      </c>
      <c r="E24" s="122" t="s">
        <v>110</v>
      </c>
      <c r="F24" s="122" t="s">
        <v>106</v>
      </c>
      <c r="G24" s="122" t="s">
        <v>111</v>
      </c>
      <c r="H24" s="122" t="s">
        <v>112</v>
      </c>
      <c r="I24" s="122" t="s">
        <v>113</v>
      </c>
      <c r="J24" s="122" t="s">
        <v>107</v>
      </c>
      <c r="K24" s="122" t="s">
        <v>114</v>
      </c>
      <c r="L24" s="122" t="s">
        <v>108</v>
      </c>
      <c r="M24" s="122" t="s">
        <v>115</v>
      </c>
      <c r="N24" s="122" t="s">
        <v>116</v>
      </c>
      <c r="O24" s="122" t="s">
        <v>117</v>
      </c>
      <c r="P24" s="122" t="s">
        <v>118</v>
      </c>
      <c r="Q24" s="122" t="s">
        <v>119</v>
      </c>
      <c r="R24" s="122" t="s">
        <v>120</v>
      </c>
      <c r="S24" s="124" t="s">
        <v>51</v>
      </c>
      <c r="T24" s="124" t="s">
        <v>121</v>
      </c>
      <c r="U24" s="110" t="s">
        <v>15</v>
      </c>
    </row>
    <row r="25" spans="1:21" ht="15.75" customHeight="1" thickBot="1" x14ac:dyDescent="0.5">
      <c r="A25" s="236" t="s">
        <v>234</v>
      </c>
      <c r="B25" s="224" t="s">
        <v>291</v>
      </c>
      <c r="C25" s="225">
        <f>T</f>
        <v>80</v>
      </c>
      <c r="D25" s="226" t="s">
        <v>263</v>
      </c>
      <c r="E25" s="225">
        <f>T_rec</f>
        <v>60</v>
      </c>
      <c r="F25" s="226" t="s">
        <v>263</v>
      </c>
      <c r="G25" s="227">
        <f>QF_OUT</f>
        <v>118.19452924999999</v>
      </c>
      <c r="H25" s="226" t="s">
        <v>155</v>
      </c>
      <c r="I25" s="227">
        <v>0</v>
      </c>
      <c r="J25" s="226" t="s">
        <v>155</v>
      </c>
      <c r="K25" s="237">
        <v>4.2</v>
      </c>
      <c r="L25" s="228" t="s">
        <v>265</v>
      </c>
      <c r="M25" s="237">
        <f>G25/K25/(C25-E25)*3600</f>
        <v>5065.4798249999985</v>
      </c>
      <c r="N25" s="226" t="s">
        <v>162</v>
      </c>
      <c r="O25" s="224">
        <v>5</v>
      </c>
      <c r="P25" s="226" t="s">
        <v>264</v>
      </c>
      <c r="Q25" s="227">
        <v>1</v>
      </c>
      <c r="R25" s="228" t="s">
        <v>266</v>
      </c>
      <c r="S25" s="227" t="s">
        <v>267</v>
      </c>
      <c r="T25" s="227" t="s">
        <v>262</v>
      </c>
      <c r="U25" s="257" t="s">
        <v>300</v>
      </c>
    </row>
    <row r="26" spans="1:21" ht="14.25" customHeight="1" thickBot="1" x14ac:dyDescent="0.5">
      <c r="A26" s="129"/>
      <c r="B26" s="129"/>
      <c r="C26" s="129"/>
      <c r="D26" s="129"/>
      <c r="E26" s="129"/>
      <c r="F26" s="129"/>
      <c r="G26" s="129"/>
      <c r="H26" s="129"/>
      <c r="I26" s="129"/>
      <c r="J26" s="129"/>
      <c r="K26" s="129"/>
      <c r="L26" s="130"/>
      <c r="M26" s="130"/>
      <c r="N26" s="130"/>
      <c r="O26" s="65"/>
      <c r="P26" s="65"/>
      <c r="Q26" s="65"/>
      <c r="R26" s="65"/>
      <c r="S26" s="65"/>
      <c r="T26" s="65"/>
      <c r="U26" s="65"/>
    </row>
    <row r="27" spans="1:21" ht="14.25" customHeight="1" thickBot="1" x14ac:dyDescent="0.5">
      <c r="A27" s="87" t="s">
        <v>44</v>
      </c>
      <c r="B27" s="70"/>
      <c r="C27" s="70"/>
      <c r="D27" s="21"/>
      <c r="E27" s="22"/>
      <c r="F27" s="22"/>
      <c r="G27" s="22"/>
      <c r="H27" s="22"/>
      <c r="I27" s="72"/>
      <c r="J27" s="4"/>
      <c r="K27" s="5"/>
      <c r="L27" s="70"/>
      <c r="M27" s="70"/>
      <c r="N27" s="70"/>
      <c r="O27" s="22"/>
      <c r="P27" s="22"/>
      <c r="Q27" s="22"/>
      <c r="R27" s="22"/>
      <c r="S27" s="22"/>
      <c r="T27" s="22"/>
      <c r="U27" s="22"/>
    </row>
    <row r="28" spans="1:21" ht="57.5" customHeight="1" thickBot="1" x14ac:dyDescent="0.5">
      <c r="A28" s="239" t="s">
        <v>287</v>
      </c>
      <c r="B28" s="70"/>
      <c r="C28" s="70"/>
      <c r="D28" s="21"/>
      <c r="E28" s="22"/>
      <c r="F28" s="22"/>
      <c r="G28" s="22"/>
      <c r="H28" s="22"/>
      <c r="I28" s="4"/>
      <c r="J28" s="4"/>
      <c r="K28" s="5"/>
      <c r="L28" s="70"/>
      <c r="M28" s="70"/>
      <c r="N28" s="70"/>
      <c r="O28" s="22"/>
      <c r="P28" s="22"/>
      <c r="Q28" s="22"/>
      <c r="R28" s="22"/>
      <c r="S28" s="22"/>
      <c r="T28" s="22"/>
      <c r="U28" s="22"/>
    </row>
    <row r="29" spans="1:21" ht="15.75" customHeight="1" thickBot="1" x14ac:dyDescent="0.5">
      <c r="A29" s="52"/>
      <c r="B29" s="41"/>
      <c r="C29" s="41"/>
      <c r="D29" s="41"/>
      <c r="E29" s="53"/>
      <c r="F29" s="27"/>
      <c r="G29" s="27"/>
      <c r="H29" s="27"/>
      <c r="I29" s="27"/>
      <c r="J29" s="30"/>
      <c r="K29" s="30"/>
      <c r="L29" s="30"/>
      <c r="M29" s="50"/>
      <c r="O29" s="30"/>
      <c r="P29" s="30"/>
      <c r="Q29" s="30"/>
      <c r="R29" s="30"/>
      <c r="S29" s="30"/>
      <c r="T29" s="30"/>
      <c r="U29" s="30"/>
    </row>
    <row r="30" spans="1:21" ht="15.75" customHeight="1" thickBot="1" x14ac:dyDescent="0.5">
      <c r="A30" s="107" t="s">
        <v>41</v>
      </c>
      <c r="B30" s="108"/>
      <c r="C30" s="108"/>
      <c r="D30" s="108"/>
      <c r="E30" s="108"/>
      <c r="F30" s="108"/>
      <c r="G30" s="109"/>
      <c r="H30" s="54" t="s">
        <v>122</v>
      </c>
      <c r="I30" s="30"/>
      <c r="J30" s="30"/>
      <c r="K30" s="30"/>
      <c r="L30" s="30"/>
      <c r="M30" s="30"/>
      <c r="N30" s="27"/>
      <c r="O30" s="30"/>
      <c r="P30" s="30"/>
      <c r="Q30" s="30"/>
      <c r="R30" s="30"/>
      <c r="S30" s="30"/>
      <c r="T30" s="30"/>
      <c r="U30" s="30"/>
    </row>
    <row r="31" spans="1:21" ht="15.75" customHeight="1" thickBot="1" x14ac:dyDescent="0.5">
      <c r="A31" s="91" t="s">
        <v>52</v>
      </c>
      <c r="B31" s="92" t="s">
        <v>18</v>
      </c>
      <c r="C31" s="92" t="s">
        <v>103</v>
      </c>
      <c r="D31" s="92" t="s">
        <v>104</v>
      </c>
      <c r="E31" s="92" t="s">
        <v>53</v>
      </c>
      <c r="F31" s="92" t="s">
        <v>39</v>
      </c>
      <c r="G31" s="94" t="s">
        <v>149</v>
      </c>
      <c r="H31" s="56"/>
      <c r="I31" s="55"/>
      <c r="J31" s="57"/>
      <c r="K31" s="33"/>
      <c r="L31" s="33"/>
      <c r="M31" s="33"/>
      <c r="N31" s="30"/>
      <c r="O31" s="30"/>
      <c r="P31" s="30"/>
      <c r="Q31" s="30"/>
      <c r="R31" s="30"/>
      <c r="S31" s="30"/>
      <c r="T31" s="30"/>
      <c r="U31" s="30"/>
    </row>
    <row r="32" spans="1:21" ht="15.75" customHeight="1" thickBot="1" x14ac:dyDescent="0.5">
      <c r="A32" s="240" t="s">
        <v>230</v>
      </c>
      <c r="B32" s="240" t="s">
        <v>270</v>
      </c>
      <c r="C32" s="240" t="s">
        <v>235</v>
      </c>
      <c r="D32" s="240" t="s">
        <v>271</v>
      </c>
      <c r="E32" s="241" t="s">
        <v>247</v>
      </c>
      <c r="F32" s="240">
        <f>SIC_VAR</f>
        <v>1200</v>
      </c>
      <c r="G32" s="242" t="s">
        <v>269</v>
      </c>
      <c r="H32" s="56"/>
      <c r="I32" s="58"/>
      <c r="J32" s="22"/>
      <c r="K32" s="3"/>
      <c r="L32" s="3"/>
      <c r="M32" s="24"/>
      <c r="N32" s="29"/>
      <c r="O32" s="30"/>
      <c r="P32" s="30"/>
      <c r="Q32" s="30"/>
      <c r="R32" s="30"/>
      <c r="S32" s="30"/>
      <c r="T32" s="30"/>
      <c r="U32" s="30"/>
    </row>
    <row r="33" spans="1:21" ht="15.75" customHeight="1" x14ac:dyDescent="0.45">
      <c r="A33" s="243"/>
      <c r="B33" s="243"/>
      <c r="C33" s="243"/>
      <c r="D33" s="243"/>
      <c r="E33" s="244" t="s">
        <v>253</v>
      </c>
      <c r="F33" s="243">
        <f>POWER_EL_OUT</f>
        <v>144.45998019444446</v>
      </c>
      <c r="G33" s="245" t="s">
        <v>155</v>
      </c>
      <c r="H33" s="229"/>
      <c r="I33" s="229"/>
      <c r="J33" s="229"/>
      <c r="K33" s="146"/>
      <c r="L33" s="146"/>
      <c r="M33" s="129"/>
      <c r="N33" s="129"/>
      <c r="O33" s="129"/>
      <c r="P33" s="129"/>
      <c r="Q33" s="129"/>
      <c r="R33" s="129"/>
      <c r="S33" s="129"/>
      <c r="T33" s="129"/>
      <c r="U33" s="129"/>
    </row>
    <row r="34" spans="1:21" ht="15.75" customHeight="1" x14ac:dyDescent="0.45">
      <c r="A34" s="243"/>
      <c r="B34" s="243"/>
      <c r="C34" s="243"/>
      <c r="D34" s="243"/>
      <c r="E34" s="246" t="s">
        <v>191</v>
      </c>
      <c r="F34" s="247">
        <f>VARIABLES!E27</f>
        <v>0.06</v>
      </c>
      <c r="G34" s="245" t="s">
        <v>27</v>
      </c>
      <c r="H34" s="229"/>
      <c r="I34" s="229"/>
      <c r="J34" s="229"/>
      <c r="K34" s="146"/>
      <c r="L34" s="146"/>
      <c r="M34" s="129"/>
      <c r="N34" s="129"/>
      <c r="O34" s="129"/>
      <c r="P34" s="129"/>
      <c r="Q34" s="129"/>
      <c r="R34" s="129"/>
      <c r="S34" s="129"/>
      <c r="T34" s="129"/>
      <c r="U34" s="129"/>
    </row>
    <row r="35" spans="1:21" ht="15.75" customHeight="1" thickBot="1" x14ac:dyDescent="0.5">
      <c r="A35" s="248"/>
      <c r="B35" s="248"/>
      <c r="C35" s="248"/>
      <c r="D35" s="248"/>
      <c r="E35" s="249" t="s">
        <v>194</v>
      </c>
      <c r="F35" s="248">
        <f>n</f>
        <v>40</v>
      </c>
      <c r="G35" s="250" t="s">
        <v>268</v>
      </c>
      <c r="H35" s="229"/>
      <c r="I35" s="229"/>
      <c r="J35" s="229"/>
      <c r="K35" s="146"/>
      <c r="L35" s="146"/>
      <c r="M35" s="129"/>
      <c r="N35" s="129"/>
      <c r="O35" s="129"/>
      <c r="P35" s="129"/>
      <c r="Q35" s="129"/>
      <c r="R35" s="129"/>
      <c r="S35" s="129"/>
      <c r="T35" s="129"/>
      <c r="U35" s="129"/>
    </row>
    <row r="36" spans="1:21" ht="42" customHeight="1" thickBot="1" x14ac:dyDescent="0.5">
      <c r="A36" s="88"/>
      <c r="B36" s="59"/>
      <c r="C36" s="131"/>
      <c r="D36" s="59"/>
      <c r="E36" s="59"/>
      <c r="F36" s="59"/>
      <c r="G36" s="59"/>
      <c r="H36" s="55"/>
    </row>
    <row r="37" spans="1:21" ht="15.75" customHeight="1" thickBot="1" x14ac:dyDescent="0.5">
      <c r="A37" s="87" t="s">
        <v>45</v>
      </c>
      <c r="B37" s="70"/>
      <c r="C37" s="70"/>
      <c r="D37" s="55"/>
      <c r="E37" s="55"/>
      <c r="F37" s="55"/>
      <c r="G37" s="55"/>
      <c r="H37" s="61"/>
    </row>
    <row r="38" spans="1:21" ht="34.799999999999997" customHeight="1" thickBot="1" x14ac:dyDescent="0.5">
      <c r="A38" s="86" t="s">
        <v>42</v>
      </c>
      <c r="B38" s="70"/>
      <c r="C38" s="70"/>
      <c r="D38" s="55"/>
      <c r="E38" s="55"/>
      <c r="F38" s="55"/>
      <c r="G38" s="55"/>
      <c r="H38" s="55"/>
    </row>
    <row r="39" spans="1:21" ht="15.75" customHeight="1" thickBot="1" x14ac:dyDescent="0.5">
      <c r="A39" s="60"/>
      <c r="B39" s="61"/>
      <c r="C39" s="45"/>
      <c r="D39" s="61"/>
      <c r="E39" s="61"/>
      <c r="F39" s="61"/>
      <c r="G39" s="61"/>
      <c r="H39" s="55"/>
    </row>
    <row r="40" spans="1:21" ht="15.75" customHeight="1" thickBot="1" x14ac:dyDescent="0.5">
      <c r="A40" s="62" t="s">
        <v>57</v>
      </c>
      <c r="B40" s="63"/>
      <c r="C40" s="64"/>
      <c r="D40" s="55"/>
      <c r="E40" s="55"/>
      <c r="F40" s="55"/>
      <c r="G40" s="55"/>
      <c r="H40" s="55"/>
    </row>
    <row r="41" spans="1:21" ht="15.75" customHeight="1" thickBot="1" x14ac:dyDescent="0.5">
      <c r="A41" s="125" t="s">
        <v>54</v>
      </c>
      <c r="B41" s="126" t="s">
        <v>55</v>
      </c>
      <c r="C41" s="55"/>
      <c r="D41" s="55"/>
      <c r="E41" s="55"/>
      <c r="F41" s="55"/>
      <c r="G41" s="55"/>
      <c r="H41" s="55"/>
    </row>
    <row r="42" spans="1:21" ht="15.75" customHeight="1" thickBot="1" x14ac:dyDescent="0.5">
      <c r="A42" s="119">
        <v>0</v>
      </c>
      <c r="B42" s="127">
        <v>0</v>
      </c>
      <c r="C42" s="55"/>
      <c r="D42" s="55"/>
      <c r="E42" s="55"/>
      <c r="F42" s="55"/>
      <c r="G42" s="55"/>
      <c r="H42" s="55"/>
    </row>
  </sheetData>
  <dataValidations count="4">
    <dataValidation type="list" allowBlank="1" showErrorMessage="1" sqref="B25" xr:uid="{85DCA4D6-6D6D-4BCF-A555-81D7FCA39C67}">
      <formula1>"Cold,Hot"</formula1>
    </dataValidation>
    <dataValidation type="list" allowBlank="1" showErrorMessage="1" sqref="C15:C18" xr:uid="{BE983E32-4CEA-46DA-8133-C8983BA7E6B4}">
      <formula1>"IN,OUT"</formula1>
    </dataValidation>
    <dataValidation type="list" allowBlank="1" showErrorMessage="1" sqref="B15:B18" xr:uid="{880133B7-C241-4476-BD5D-FAD497AD58EA}">
      <formula1>"MASS,ELECTRICITY,EMISSIONS,ENERGY"</formula1>
    </dataValidation>
    <dataValidation type="list" errorStyle="information" allowBlank="1" showInputMessage="1" showErrorMessage="1" sqref="E15:E18 G15:G18 I15:I18 D25 F25 H25 J25 L25 N25 P25 R25 G32:G35" xr:uid="{D63C5E95-C159-47E4-A6B9-AC82ABA87F80}">
      <formula1>"-,kg,s,m,K,°C,W,bar,kg/h,t/h,kW,kW/m2K,W/m2K,kJ/kgK,kJ/kg,m3/h,%,eur,eur/y,kWel/kWth,year"</formula1>
    </dataValidation>
  </dataValidations>
  <pageMargins left="0.7" right="0.7" top="0.75" bottom="0.75" header="0" footer="0"/>
  <pageSetup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58"/>
  <sheetViews>
    <sheetView showGridLines="0" topLeftCell="A5" zoomScale="70" zoomScaleNormal="70" workbookViewId="0">
      <selection activeCell="L35" sqref="A16:L35"/>
    </sheetView>
  </sheetViews>
  <sheetFormatPr baseColWidth="10" defaultColWidth="14.46484375" defaultRowHeight="15" customHeight="1" x14ac:dyDescent="0.45"/>
  <cols>
    <col min="1" max="1" width="153.33203125" style="67" bestFit="1" customWidth="1"/>
    <col min="2" max="2" width="13.6640625" style="67" customWidth="1"/>
    <col min="3" max="3" width="36.46484375" style="67" bestFit="1" customWidth="1"/>
    <col min="4" max="4" width="14" style="67" customWidth="1"/>
    <col min="5" max="5" width="14.46484375" style="67" bestFit="1" customWidth="1"/>
    <col min="6" max="6" width="13.1328125" style="67" bestFit="1" customWidth="1"/>
    <col min="7" max="7" width="46.1328125" style="67" bestFit="1" customWidth="1"/>
    <col min="8" max="8" width="10.33203125" style="67" bestFit="1" customWidth="1"/>
    <col min="9" max="9" width="14.1328125" style="67" bestFit="1" customWidth="1"/>
    <col min="10" max="10" width="24.33203125" style="67" bestFit="1" customWidth="1"/>
    <col min="11" max="11" width="20.1328125" style="67" bestFit="1" customWidth="1"/>
    <col min="12" max="12" width="96" style="67" bestFit="1" customWidth="1"/>
    <col min="13" max="13" width="29.796875" style="67" customWidth="1"/>
    <col min="14" max="39" width="10.6640625" style="67" customWidth="1"/>
    <col min="40" max="16384" width="14.46484375" style="67"/>
  </cols>
  <sheetData>
    <row r="1" spans="1:12" customFormat="1" ht="14.25" x14ac:dyDescent="0.45">
      <c r="A1" s="7" t="s">
        <v>29</v>
      </c>
      <c r="B1" s="8"/>
      <c r="C1" s="8"/>
      <c r="D1" s="8"/>
      <c r="E1" s="8"/>
      <c r="F1" s="8"/>
      <c r="G1" s="8"/>
      <c r="H1" s="8"/>
      <c r="I1" s="8"/>
      <c r="J1" s="8"/>
      <c r="K1" s="8"/>
      <c r="L1" s="8"/>
    </row>
    <row r="2" spans="1:12" ht="14.25" x14ac:dyDescent="0.45">
      <c r="A2" s="9" t="s">
        <v>30</v>
      </c>
      <c r="B2" s="8"/>
      <c r="C2" s="8"/>
      <c r="D2" s="8"/>
      <c r="E2" s="8"/>
      <c r="F2" s="8"/>
      <c r="G2" s="8"/>
      <c r="H2" s="8"/>
      <c r="I2" s="8"/>
      <c r="J2" s="8"/>
      <c r="K2" s="8"/>
      <c r="L2" s="8"/>
    </row>
    <row r="3" spans="1:12" ht="14.25" x14ac:dyDescent="0.45">
      <c r="A3" s="10" t="s">
        <v>31</v>
      </c>
      <c r="B3" s="11"/>
      <c r="C3" s="11"/>
      <c r="D3" s="11"/>
      <c r="E3" s="11"/>
      <c r="F3" s="11"/>
      <c r="G3" s="11"/>
      <c r="H3" s="11"/>
      <c r="I3" s="11"/>
      <c r="J3" s="11"/>
      <c r="K3" s="8"/>
      <c r="L3" s="8"/>
    </row>
    <row r="4" spans="1:12" ht="14.25" x14ac:dyDescent="0.45">
      <c r="A4" s="10" t="s">
        <v>32</v>
      </c>
      <c r="B4" s="11"/>
      <c r="C4" s="11"/>
      <c r="D4" s="11"/>
      <c r="E4" s="11"/>
      <c r="F4" s="11"/>
      <c r="G4" s="11"/>
      <c r="H4" s="11"/>
      <c r="I4" s="11"/>
      <c r="J4" s="11"/>
      <c r="K4" s="8"/>
      <c r="L4" s="8"/>
    </row>
    <row r="5" spans="1:12" ht="14.25" x14ac:dyDescent="0.45">
      <c r="A5" s="10" t="s">
        <v>33</v>
      </c>
      <c r="B5" s="11"/>
      <c r="C5" s="11"/>
      <c r="D5" s="11"/>
      <c r="E5" s="11"/>
      <c r="F5" s="11"/>
      <c r="G5" s="11"/>
      <c r="H5" s="11"/>
      <c r="I5" s="11"/>
      <c r="J5" s="11"/>
      <c r="K5" s="8"/>
      <c r="L5" s="8"/>
    </row>
    <row r="6" spans="1:12" ht="14.25" x14ac:dyDescent="0.45">
      <c r="A6" s="118" t="s">
        <v>144</v>
      </c>
      <c r="B6" s="11"/>
      <c r="C6" s="11"/>
      <c r="D6" s="11"/>
      <c r="E6" s="11"/>
      <c r="F6" s="11"/>
      <c r="G6" s="11"/>
      <c r="H6" s="11"/>
      <c r="I6" s="11"/>
      <c r="J6" s="11"/>
      <c r="K6" s="8"/>
      <c r="L6" s="8"/>
    </row>
    <row r="7" spans="1:12" ht="14.25" x14ac:dyDescent="0.45">
      <c r="A7" s="12" t="s">
        <v>34</v>
      </c>
      <c r="B7" s="11"/>
      <c r="C7" s="11"/>
      <c r="D7" s="11"/>
      <c r="E7" s="11"/>
      <c r="F7" s="11"/>
      <c r="G7" s="11"/>
      <c r="H7" s="11"/>
      <c r="I7" s="11"/>
      <c r="J7" s="11"/>
      <c r="K7" s="8"/>
      <c r="L7" s="8"/>
    </row>
    <row r="8" spans="1:12" ht="14.25" x14ac:dyDescent="0.45">
      <c r="A8" s="11" t="s">
        <v>35</v>
      </c>
      <c r="B8" s="11"/>
      <c r="C8" s="11"/>
      <c r="D8" s="11"/>
      <c r="E8" s="11"/>
      <c r="F8" s="11"/>
      <c r="G8" s="11"/>
      <c r="H8" s="11"/>
      <c r="I8" s="11"/>
      <c r="J8" s="11"/>
      <c r="K8" s="8"/>
      <c r="L8" s="8"/>
    </row>
    <row r="9" spans="1:12" ht="14.25" x14ac:dyDescent="0.45">
      <c r="A9" s="13" t="s">
        <v>36</v>
      </c>
      <c r="B9" s="14"/>
      <c r="C9" s="14"/>
      <c r="D9" s="14"/>
      <c r="E9" s="14"/>
      <c r="F9" s="14"/>
      <c r="G9" s="14"/>
      <c r="H9" s="14"/>
      <c r="I9" s="14"/>
      <c r="J9" s="14"/>
      <c r="K9" s="15"/>
      <c r="L9" s="15"/>
    </row>
    <row r="10" spans="1:12" ht="14.25" x14ac:dyDescent="0.45">
      <c r="A10" s="16" t="s">
        <v>37</v>
      </c>
      <c r="B10" s="14"/>
      <c r="C10" s="14"/>
      <c r="D10" s="14"/>
      <c r="E10" s="14"/>
      <c r="F10" s="14"/>
      <c r="G10" s="14"/>
      <c r="H10" s="14"/>
      <c r="I10" s="14"/>
      <c r="J10" s="14"/>
      <c r="K10" s="15"/>
      <c r="L10" s="15"/>
    </row>
    <row r="11" spans="1:12" ht="14.25" x14ac:dyDescent="0.45">
      <c r="A11" s="11"/>
      <c r="B11" s="14"/>
      <c r="C11" s="14"/>
      <c r="D11" s="14"/>
      <c r="E11" s="14"/>
      <c r="F11" s="14"/>
      <c r="G11" s="14"/>
      <c r="H11" s="14"/>
      <c r="I11" s="14"/>
      <c r="J11" s="14"/>
      <c r="K11" s="15"/>
      <c r="L11" s="15"/>
    </row>
    <row r="12" spans="1:12" ht="17.25" customHeight="1" thickBot="1" x14ac:dyDescent="0.5">
      <c r="A12" s="17"/>
      <c r="B12" s="18"/>
      <c r="C12" s="18"/>
      <c r="D12" s="18"/>
      <c r="E12" s="18"/>
      <c r="F12" s="18"/>
      <c r="G12" s="65"/>
      <c r="H12" s="18"/>
      <c r="I12" s="18"/>
      <c r="J12" s="18"/>
      <c r="K12" s="18"/>
      <c r="L12" s="18"/>
    </row>
    <row r="13" spans="1:12" ht="14.25" x14ac:dyDescent="0.45">
      <c r="A13" s="19"/>
      <c r="B13" s="20"/>
      <c r="C13" s="20"/>
      <c r="D13" s="20"/>
      <c r="E13" s="20"/>
      <c r="F13" s="20"/>
      <c r="G13" s="66"/>
      <c r="H13" s="20"/>
      <c r="I13" s="20"/>
      <c r="J13" s="20"/>
      <c r="K13" s="20"/>
      <c r="L13" s="20"/>
    </row>
    <row r="14" spans="1:12" ht="14.65" thickBot="1" x14ac:dyDescent="0.5">
      <c r="A14" s="73" t="s">
        <v>3</v>
      </c>
      <c r="B14" s="89"/>
      <c r="C14" s="89"/>
      <c r="D14" s="89"/>
      <c r="E14" s="89"/>
      <c r="F14" s="89"/>
      <c r="G14" s="82"/>
      <c r="H14" s="89"/>
      <c r="I14" s="89"/>
      <c r="J14" s="89"/>
      <c r="K14" s="89"/>
      <c r="L14" s="90"/>
    </row>
    <row r="15" spans="1:12" ht="14.65" thickBot="1" x14ac:dyDescent="0.5">
      <c r="A15" s="91" t="s">
        <v>98</v>
      </c>
      <c r="B15" s="92" t="s">
        <v>18</v>
      </c>
      <c r="C15" s="92" t="s">
        <v>60</v>
      </c>
      <c r="D15" s="92" t="s">
        <v>34</v>
      </c>
      <c r="E15" s="92" t="s">
        <v>152</v>
      </c>
      <c r="F15" s="92" t="s">
        <v>19</v>
      </c>
      <c r="G15" s="92" t="s">
        <v>151</v>
      </c>
      <c r="H15" s="93" t="s">
        <v>61</v>
      </c>
      <c r="I15" s="92" t="s">
        <v>62</v>
      </c>
      <c r="J15" s="92" t="s">
        <v>63</v>
      </c>
      <c r="K15" s="120" t="s">
        <v>104</v>
      </c>
      <c r="L15" s="94" t="s">
        <v>15</v>
      </c>
    </row>
    <row r="16" spans="1:12" ht="14.25" x14ac:dyDescent="0.45">
      <c r="A16" s="230" t="s">
        <v>244</v>
      </c>
      <c r="B16" s="173" t="s">
        <v>156</v>
      </c>
      <c r="C16" s="173" t="s">
        <v>157</v>
      </c>
      <c r="D16" s="173" t="s">
        <v>158</v>
      </c>
      <c r="E16" s="253">
        <v>80</v>
      </c>
      <c r="F16" s="173" t="s">
        <v>263</v>
      </c>
      <c r="G16" s="173" t="s">
        <v>27</v>
      </c>
      <c r="H16" s="258">
        <v>20</v>
      </c>
      <c r="I16" s="258">
        <v>200</v>
      </c>
      <c r="J16" s="211" t="s">
        <v>159</v>
      </c>
      <c r="K16" s="258" t="s">
        <v>301</v>
      </c>
      <c r="L16" s="214" t="s">
        <v>157</v>
      </c>
    </row>
    <row r="17" spans="1:12" ht="14.25" x14ac:dyDescent="0.45">
      <c r="A17" s="231" t="s">
        <v>245</v>
      </c>
      <c r="B17" s="174" t="s">
        <v>160</v>
      </c>
      <c r="C17" s="174" t="s">
        <v>274</v>
      </c>
      <c r="D17" s="174" t="s">
        <v>158</v>
      </c>
      <c r="E17" s="209">
        <v>7</v>
      </c>
      <c r="F17" s="174" t="s">
        <v>162</v>
      </c>
      <c r="G17" s="174" t="s">
        <v>27</v>
      </c>
      <c r="H17" s="259">
        <v>0.01</v>
      </c>
      <c r="I17" s="259">
        <v>5000</v>
      </c>
      <c r="J17" s="210" t="s">
        <v>163</v>
      </c>
      <c r="K17" s="259" t="s">
        <v>301</v>
      </c>
      <c r="L17" s="215" t="s">
        <v>161</v>
      </c>
    </row>
    <row r="18" spans="1:12" ht="14.25" x14ac:dyDescent="0.45">
      <c r="A18" s="231" t="s">
        <v>164</v>
      </c>
      <c r="B18" s="174" t="s">
        <v>165</v>
      </c>
      <c r="C18" s="174" t="s">
        <v>275</v>
      </c>
      <c r="D18" s="174" t="s">
        <v>167</v>
      </c>
      <c r="E18" s="209">
        <v>2</v>
      </c>
      <c r="F18" s="174" t="s">
        <v>168</v>
      </c>
      <c r="G18" s="174" t="s">
        <v>27</v>
      </c>
      <c r="H18" s="259">
        <v>2.0150000000000001</v>
      </c>
      <c r="I18" s="259">
        <v>2.016</v>
      </c>
      <c r="J18" s="210" t="s">
        <v>169</v>
      </c>
      <c r="K18" s="259" t="s">
        <v>301</v>
      </c>
      <c r="L18" s="215" t="s">
        <v>166</v>
      </c>
    </row>
    <row r="19" spans="1:12" ht="14.25" x14ac:dyDescent="0.45">
      <c r="A19" s="208" t="s">
        <v>170</v>
      </c>
      <c r="B19" s="174" t="s">
        <v>165</v>
      </c>
      <c r="C19" s="174" t="s">
        <v>171</v>
      </c>
      <c r="D19" s="174" t="s">
        <v>167</v>
      </c>
      <c r="E19" s="209">
        <v>18</v>
      </c>
      <c r="F19" s="174" t="s">
        <v>168</v>
      </c>
      <c r="G19" s="174" t="s">
        <v>27</v>
      </c>
      <c r="H19" s="259">
        <v>18.015000000000001</v>
      </c>
      <c r="I19" s="259">
        <v>18.02</v>
      </c>
      <c r="J19" s="210" t="s">
        <v>172</v>
      </c>
      <c r="K19" s="259" t="s">
        <v>301</v>
      </c>
      <c r="L19" s="215" t="s">
        <v>171</v>
      </c>
    </row>
    <row r="20" spans="1:12" ht="14.25" x14ac:dyDescent="0.45">
      <c r="A20" s="208" t="s">
        <v>173</v>
      </c>
      <c r="B20" s="174" t="s">
        <v>165</v>
      </c>
      <c r="C20" s="174" t="s">
        <v>174</v>
      </c>
      <c r="D20" s="174" t="s">
        <v>167</v>
      </c>
      <c r="E20" s="209">
        <v>32</v>
      </c>
      <c r="F20" s="174" t="s">
        <v>168</v>
      </c>
      <c r="G20" s="174" t="s">
        <v>27</v>
      </c>
      <c r="H20" s="259">
        <v>31.998000000000001</v>
      </c>
      <c r="I20" s="259">
        <v>32</v>
      </c>
      <c r="J20" s="210" t="s">
        <v>175</v>
      </c>
      <c r="K20" s="259" t="s">
        <v>301</v>
      </c>
      <c r="L20" s="215" t="s">
        <v>174</v>
      </c>
    </row>
    <row r="21" spans="1:12" ht="14.25" x14ac:dyDescent="0.45">
      <c r="A21" s="208" t="s">
        <v>176</v>
      </c>
      <c r="B21" s="174" t="s">
        <v>165</v>
      </c>
      <c r="C21" s="174" t="s">
        <v>177</v>
      </c>
      <c r="D21" s="174" t="s">
        <v>167</v>
      </c>
      <c r="E21" s="209">
        <v>96485.33</v>
      </c>
      <c r="F21" s="174" t="s">
        <v>178</v>
      </c>
      <c r="G21" s="174" t="s">
        <v>27</v>
      </c>
      <c r="H21" s="259">
        <v>96485.33</v>
      </c>
      <c r="I21" s="259">
        <v>96485.34</v>
      </c>
      <c r="J21" s="210" t="s">
        <v>179</v>
      </c>
      <c r="K21" s="259" t="s">
        <v>301</v>
      </c>
      <c r="L21" s="215" t="s">
        <v>177</v>
      </c>
    </row>
    <row r="22" spans="1:12" ht="14.25" x14ac:dyDescent="0.45">
      <c r="A22" s="231" t="s">
        <v>181</v>
      </c>
      <c r="B22" s="174" t="s">
        <v>160</v>
      </c>
      <c r="C22" s="174" t="s">
        <v>180</v>
      </c>
      <c r="D22" s="174" t="s">
        <v>158</v>
      </c>
      <c r="E22" s="209">
        <v>1.4</v>
      </c>
      <c r="F22" s="174" t="s">
        <v>181</v>
      </c>
      <c r="G22" s="174" t="s">
        <v>27</v>
      </c>
      <c r="H22" s="259">
        <v>0.4</v>
      </c>
      <c r="I22" s="259">
        <v>1.23</v>
      </c>
      <c r="J22" s="210" t="s">
        <v>182</v>
      </c>
      <c r="K22" s="259" t="s">
        <v>301</v>
      </c>
      <c r="L22" s="215" t="s">
        <v>180</v>
      </c>
    </row>
    <row r="23" spans="1:12" ht="14.25" x14ac:dyDescent="0.45">
      <c r="A23" s="231" t="s">
        <v>246</v>
      </c>
      <c r="B23" s="174" t="s">
        <v>160</v>
      </c>
      <c r="C23" s="174" t="s">
        <v>183</v>
      </c>
      <c r="D23" s="174" t="s">
        <v>158</v>
      </c>
      <c r="E23" s="209">
        <v>0.55000000000000004</v>
      </c>
      <c r="F23" s="174" t="s">
        <v>27</v>
      </c>
      <c r="G23" s="174" t="s">
        <v>27</v>
      </c>
      <c r="H23" s="259">
        <v>0</v>
      </c>
      <c r="I23" s="259">
        <v>1</v>
      </c>
      <c r="J23" s="210" t="s">
        <v>184</v>
      </c>
      <c r="K23" s="259" t="s">
        <v>301</v>
      </c>
      <c r="L23" s="215" t="s">
        <v>183</v>
      </c>
    </row>
    <row r="24" spans="1:12" ht="14.25" x14ac:dyDescent="0.45">
      <c r="A24" s="231" t="s">
        <v>247</v>
      </c>
      <c r="B24" s="174" t="s">
        <v>160</v>
      </c>
      <c r="C24" s="174" t="s">
        <v>280</v>
      </c>
      <c r="D24" s="174" t="s">
        <v>158</v>
      </c>
      <c r="E24" s="209">
        <v>1200</v>
      </c>
      <c r="F24" s="174" t="s">
        <v>186</v>
      </c>
      <c r="G24" s="174" t="s">
        <v>27</v>
      </c>
      <c r="H24" s="259">
        <v>100</v>
      </c>
      <c r="I24" s="259">
        <v>10000</v>
      </c>
      <c r="J24" s="210" t="s">
        <v>187</v>
      </c>
      <c r="K24" s="259" t="s">
        <v>301</v>
      </c>
      <c r="L24" s="215" t="s">
        <v>185</v>
      </c>
    </row>
    <row r="25" spans="1:12" ht="14.25" x14ac:dyDescent="0.45">
      <c r="A25" s="231" t="s">
        <v>248</v>
      </c>
      <c r="B25" s="174" t="s">
        <v>160</v>
      </c>
      <c r="C25" s="174" t="s">
        <v>276</v>
      </c>
      <c r="D25" s="174" t="s">
        <v>158</v>
      </c>
      <c r="E25" s="209">
        <v>5</v>
      </c>
      <c r="F25" s="174" t="s">
        <v>263</v>
      </c>
      <c r="G25" s="174" t="s">
        <v>27</v>
      </c>
      <c r="H25" s="259">
        <v>1</v>
      </c>
      <c r="I25" s="259">
        <v>50</v>
      </c>
      <c r="J25" s="210" t="s">
        <v>189</v>
      </c>
      <c r="K25" s="259" t="s">
        <v>301</v>
      </c>
      <c r="L25" s="215" t="s">
        <v>188</v>
      </c>
    </row>
    <row r="26" spans="1:12" ht="14.25" x14ac:dyDescent="0.45">
      <c r="A26" s="231" t="s">
        <v>249</v>
      </c>
      <c r="B26" s="174" t="s">
        <v>165</v>
      </c>
      <c r="C26" s="174" t="s">
        <v>289</v>
      </c>
      <c r="D26" s="174" t="s">
        <v>158</v>
      </c>
      <c r="E26" s="209">
        <v>60</v>
      </c>
      <c r="F26" s="174" t="s">
        <v>263</v>
      </c>
      <c r="G26" s="174" t="s">
        <v>27</v>
      </c>
      <c r="H26" s="259">
        <v>40</v>
      </c>
      <c r="I26" s="259">
        <v>180</v>
      </c>
      <c r="J26" s="210" t="s">
        <v>190</v>
      </c>
      <c r="K26" s="259" t="s">
        <v>301</v>
      </c>
      <c r="L26" s="215" t="s">
        <v>290</v>
      </c>
    </row>
    <row r="27" spans="1:12" ht="14.25" x14ac:dyDescent="0.45">
      <c r="A27" s="208" t="s">
        <v>191</v>
      </c>
      <c r="B27" s="174" t="s">
        <v>160</v>
      </c>
      <c r="C27" s="174" t="s">
        <v>192</v>
      </c>
      <c r="D27" s="174" t="s">
        <v>158</v>
      </c>
      <c r="E27" s="209">
        <v>0.06</v>
      </c>
      <c r="F27" s="174" t="s">
        <v>27</v>
      </c>
      <c r="G27" s="174" t="s">
        <v>27</v>
      </c>
      <c r="H27" s="259">
        <v>0</v>
      </c>
      <c r="I27" s="259">
        <v>1</v>
      </c>
      <c r="J27" s="210" t="s">
        <v>193</v>
      </c>
      <c r="K27" s="259" t="s">
        <v>301</v>
      </c>
      <c r="L27" s="215" t="s">
        <v>192</v>
      </c>
    </row>
    <row r="28" spans="1:12" ht="14.25" x14ac:dyDescent="0.45">
      <c r="A28" s="208" t="s">
        <v>194</v>
      </c>
      <c r="B28" s="174" t="s">
        <v>160</v>
      </c>
      <c r="C28" s="174" t="s">
        <v>195</v>
      </c>
      <c r="D28" s="174" t="s">
        <v>158</v>
      </c>
      <c r="E28" s="209">
        <v>40</v>
      </c>
      <c r="F28" s="174" t="s">
        <v>268</v>
      </c>
      <c r="G28" s="174" t="s">
        <v>27</v>
      </c>
      <c r="H28" s="259">
        <v>2</v>
      </c>
      <c r="I28" s="259">
        <v>50</v>
      </c>
      <c r="J28" s="210" t="s">
        <v>196</v>
      </c>
      <c r="K28" s="259" t="s">
        <v>301</v>
      </c>
      <c r="L28" s="215" t="s">
        <v>195</v>
      </c>
    </row>
    <row r="29" spans="1:12" ht="14.25" x14ac:dyDescent="0.45">
      <c r="A29" s="231" t="s">
        <v>250</v>
      </c>
      <c r="B29" s="174" t="s">
        <v>160</v>
      </c>
      <c r="C29" s="174" t="s">
        <v>277</v>
      </c>
      <c r="D29" s="174" t="s">
        <v>158</v>
      </c>
      <c r="E29" s="209">
        <f>MASSF_H2_IN/H2_MOL</f>
        <v>3.5</v>
      </c>
      <c r="F29" s="174" t="s">
        <v>198</v>
      </c>
      <c r="G29" s="174" t="s">
        <v>256</v>
      </c>
      <c r="H29" s="259">
        <v>5.0000000000000001E-3</v>
      </c>
      <c r="I29" s="259">
        <v>2500</v>
      </c>
      <c r="J29" s="210" t="s">
        <v>199</v>
      </c>
      <c r="K29" s="259" t="s">
        <v>301</v>
      </c>
      <c r="L29" s="215" t="s">
        <v>197</v>
      </c>
    </row>
    <row r="30" spans="1:12" ht="14.25" x14ac:dyDescent="0.45">
      <c r="A30" s="231" t="s">
        <v>251</v>
      </c>
      <c r="B30" s="174" t="s">
        <v>160</v>
      </c>
      <c r="C30" s="174" t="s">
        <v>288</v>
      </c>
      <c r="D30" s="174" t="s">
        <v>158</v>
      </c>
      <c r="E30" s="209">
        <f>MOLF_H2_IN*H2O_MOL</f>
        <v>63</v>
      </c>
      <c r="F30" s="174" t="s">
        <v>162</v>
      </c>
      <c r="G30" s="174" t="s">
        <v>257</v>
      </c>
      <c r="H30" s="259">
        <v>0.1</v>
      </c>
      <c r="I30" s="259">
        <v>45000</v>
      </c>
      <c r="J30" s="210" t="s">
        <v>201</v>
      </c>
      <c r="K30" s="259" t="s">
        <v>301</v>
      </c>
      <c r="L30" s="215" t="s">
        <v>200</v>
      </c>
    </row>
    <row r="31" spans="1:12" ht="14.25" x14ac:dyDescent="0.45">
      <c r="A31" s="231" t="s">
        <v>252</v>
      </c>
      <c r="B31" s="174" t="s">
        <v>160</v>
      </c>
      <c r="C31" s="174" t="s">
        <v>278</v>
      </c>
      <c r="D31" s="174" t="s">
        <v>158</v>
      </c>
      <c r="E31" s="209">
        <f>0.5*MOLF_H2_IN*O2_MOL</f>
        <v>56</v>
      </c>
      <c r="F31" s="174" t="s">
        <v>162</v>
      </c>
      <c r="G31" s="174" t="s">
        <v>258</v>
      </c>
      <c r="H31" s="259">
        <v>0.1</v>
      </c>
      <c r="I31" s="259">
        <v>40000</v>
      </c>
      <c r="J31" s="210" t="s">
        <v>203</v>
      </c>
      <c r="K31" s="259" t="s">
        <v>301</v>
      </c>
      <c r="L31" s="215" t="s">
        <v>202</v>
      </c>
    </row>
    <row r="32" spans="1:12" ht="14.25" x14ac:dyDescent="0.45">
      <c r="A32" s="231" t="s">
        <v>285</v>
      </c>
      <c r="B32" s="174" t="s">
        <v>160</v>
      </c>
      <c r="C32" s="174" t="s">
        <v>204</v>
      </c>
      <c r="D32" s="174" t="s">
        <v>158</v>
      </c>
      <c r="E32" s="209">
        <f>2*F*1000*MOLF_H2_IN/3600</f>
        <v>187610.36388888888</v>
      </c>
      <c r="F32" s="174" t="s">
        <v>205</v>
      </c>
      <c r="G32" s="174" t="s">
        <v>298</v>
      </c>
      <c r="H32" s="259">
        <v>1</v>
      </c>
      <c r="I32" s="259">
        <v>10000000</v>
      </c>
      <c r="J32" s="210" t="s">
        <v>206</v>
      </c>
      <c r="K32" s="259" t="s">
        <v>301</v>
      </c>
      <c r="L32" s="215" t="s">
        <v>204</v>
      </c>
    </row>
    <row r="33" spans="1:12" ht="14.25" x14ac:dyDescent="0.45">
      <c r="A33" s="231" t="s">
        <v>253</v>
      </c>
      <c r="B33" s="174" t="s">
        <v>207</v>
      </c>
      <c r="C33" s="174" t="s">
        <v>208</v>
      </c>
      <c r="D33" s="174" t="s">
        <v>158</v>
      </c>
      <c r="E33" s="209">
        <f>V*I_OUT*EFFIC/1000</f>
        <v>144.45998019444446</v>
      </c>
      <c r="F33" s="174" t="s">
        <v>155</v>
      </c>
      <c r="G33" s="174" t="s">
        <v>299</v>
      </c>
      <c r="H33" s="259">
        <v>0.5</v>
      </c>
      <c r="I33" s="259">
        <v>100000</v>
      </c>
      <c r="J33" s="210" t="s">
        <v>209</v>
      </c>
      <c r="K33" s="259" t="s">
        <v>301</v>
      </c>
      <c r="L33" s="215" t="s">
        <v>208</v>
      </c>
    </row>
    <row r="34" spans="1:12" ht="14.25" x14ac:dyDescent="0.45">
      <c r="A34" s="231" t="s">
        <v>254</v>
      </c>
      <c r="B34" s="174" t="s">
        <v>207</v>
      </c>
      <c r="C34" s="174" t="s">
        <v>210</v>
      </c>
      <c r="D34" s="174" t="s">
        <v>158</v>
      </c>
      <c r="E34" s="209" cm="1">
        <f t="array" ref="E34">POWER_EL_OUT*(1-EFFIC)/EFFIC</f>
        <v>118.19452924999999</v>
      </c>
      <c r="F34" s="174" t="s">
        <v>155</v>
      </c>
      <c r="G34" s="174" t="s">
        <v>259</v>
      </c>
      <c r="H34" s="259">
        <v>0.5</v>
      </c>
      <c r="I34" s="259">
        <v>150000</v>
      </c>
      <c r="J34" s="210" t="s">
        <v>211</v>
      </c>
      <c r="K34" s="259" t="s">
        <v>301</v>
      </c>
      <c r="L34" s="215" t="s">
        <v>210</v>
      </c>
    </row>
    <row r="35" spans="1:12" ht="14.65" thickBot="1" x14ac:dyDescent="0.5">
      <c r="A35" s="232" t="s">
        <v>255</v>
      </c>
      <c r="B35" s="172" t="s">
        <v>160</v>
      </c>
      <c r="C35" s="172" t="s">
        <v>279</v>
      </c>
      <c r="D35" s="172" t="s">
        <v>158</v>
      </c>
      <c r="E35" s="212" cm="1">
        <f t="array" ref="E35">SIC_VAR*POWER_EL_OUT*(i*((i+1)^n))/((i+1)^(n-1))</f>
        <v>11025.18568844</v>
      </c>
      <c r="F35" s="172" t="s">
        <v>292</v>
      </c>
      <c r="G35" s="172" t="s">
        <v>260</v>
      </c>
      <c r="H35" s="260">
        <v>100</v>
      </c>
      <c r="I35" s="260">
        <v>1000000000</v>
      </c>
      <c r="J35" s="213" t="s">
        <v>213</v>
      </c>
      <c r="K35" s="260" t="s">
        <v>301</v>
      </c>
      <c r="L35" s="216" t="s">
        <v>212</v>
      </c>
    </row>
    <row r="58" spans="10:10" ht="15" customHeight="1" x14ac:dyDescent="0.45">
      <c r="J58" s="252"/>
    </row>
  </sheetData>
  <dataValidations count="3">
    <dataValidation type="list" allowBlank="1" showErrorMessage="1" sqref="B16:B35" xr:uid="{00000000-0002-0000-0300-000000000000}">
      <formula1>"CONTEXT,LITERATURE,MEASURED,DECISION"</formula1>
    </dataValidation>
    <dataValidation type="list" allowBlank="1" showErrorMessage="1" sqref="D16:D35" xr:uid="{00000000-0002-0000-0300-000001000000}">
      <formula1>"MANDATORY,OPTIONAL,PRIVATE"</formula1>
    </dataValidation>
    <dataValidation type="list" errorStyle="information" allowBlank="1" showInputMessage="1" showErrorMessage="1" sqref="F16:F35" xr:uid="{E41F773F-2187-4A23-8C47-C8F35186C3D5}">
      <formula1>"-,kg,s,m,K,°C,W,bar,kg/h,t/h,kW,kW/m2K,W/m2K,kJ/kgK,kJ/kg,m3/h,%,eur,eur/y,kWel/kWth,year"</formula1>
    </dataValidation>
  </dataValidations>
  <pageMargins left="0.7" right="0.7" top="0.75" bottom="0.75" header="0" footer="0"/>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C2"/>
  <sheetViews>
    <sheetView showGridLines="0" zoomScale="85" zoomScaleNormal="85" workbookViewId="0">
      <selection activeCell="F26" sqref="F26"/>
    </sheetView>
  </sheetViews>
  <sheetFormatPr baseColWidth="10" defaultColWidth="14.46484375" defaultRowHeight="15" customHeight="1" x14ac:dyDescent="0.45"/>
  <cols>
    <col min="1" max="1" width="32.1328125" bestFit="1" customWidth="1"/>
    <col min="2" max="2" width="20" customWidth="1"/>
    <col min="3" max="3" width="16.46484375" customWidth="1"/>
    <col min="6" max="6" width="24" customWidth="1"/>
  </cols>
  <sheetData>
    <row r="1" spans="1:3" ht="15" customHeight="1" thickBot="1" x14ac:dyDescent="0.5">
      <c r="A1" s="95" t="s">
        <v>96</v>
      </c>
      <c r="B1" s="96" t="s">
        <v>39</v>
      </c>
      <c r="C1" s="97" t="s">
        <v>19</v>
      </c>
    </row>
    <row r="2" spans="1:3" ht="14.65" thickBot="1" x14ac:dyDescent="0.5">
      <c r="A2" s="133" t="s">
        <v>27</v>
      </c>
      <c r="B2" s="132" t="s">
        <v>27</v>
      </c>
      <c r="C2" s="134" t="s">
        <v>27</v>
      </c>
    </row>
  </sheetData>
  <dataValidations count="1">
    <dataValidation type="list" errorStyle="information" allowBlank="1" showInputMessage="1" showErrorMessage="1" sqref="C2" xr:uid="{223E4207-29F0-4EEA-94C1-CA8AC2BB0CC3}">
      <formula1>"-,kg,s,m,K,°C,W,bar,kg/h,t/h,kW,kW/m2K,W/m2K,kJ/kgK,kJ/kg,m3/h,%,eur,eur/y,kWel/kWth,year"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D2"/>
  <sheetViews>
    <sheetView showGridLines="0" workbookViewId="0">
      <selection activeCell="B2" sqref="B2"/>
    </sheetView>
  </sheetViews>
  <sheetFormatPr baseColWidth="10" defaultColWidth="14.46484375" defaultRowHeight="15" customHeight="1" x14ac:dyDescent="0.45"/>
  <cols>
    <col min="2" max="2" width="29.796875" bestFit="1" customWidth="1"/>
  </cols>
  <sheetData>
    <row r="1" spans="1:4" ht="14.65" thickBot="1" x14ac:dyDescent="0.5">
      <c r="A1" s="95" t="s">
        <v>69</v>
      </c>
      <c r="B1" s="96" t="s">
        <v>93</v>
      </c>
      <c r="C1" s="96" t="s">
        <v>91</v>
      </c>
      <c r="D1" s="97" t="s">
        <v>92</v>
      </c>
    </row>
    <row r="2" spans="1:4" ht="15" customHeight="1" thickBot="1" x14ac:dyDescent="0.5">
      <c r="A2" s="138" t="s">
        <v>94</v>
      </c>
      <c r="B2" s="251" t="s">
        <v>7</v>
      </c>
      <c r="C2" s="139">
        <v>46133</v>
      </c>
      <c r="D2" s="140" t="s">
        <v>95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3"/>
  <sheetViews>
    <sheetView showGridLines="0" zoomScale="85" zoomScaleNormal="85" workbookViewId="0">
      <selection activeCell="E19" sqref="E19"/>
    </sheetView>
  </sheetViews>
  <sheetFormatPr baseColWidth="10" defaultColWidth="8.796875" defaultRowHeight="14.25" x14ac:dyDescent="0.45"/>
  <cols>
    <col min="1" max="1" width="12.796875" customWidth="1"/>
    <col min="2" max="2" width="18.46484375" customWidth="1"/>
    <col min="3" max="3" width="12.796875" customWidth="1"/>
    <col min="4" max="4" width="11.46484375" customWidth="1"/>
    <col min="5" max="5" width="10" customWidth="1"/>
    <col min="6" max="6" width="32" customWidth="1"/>
    <col min="7" max="7" width="14.46484375" bestFit="1" customWidth="1"/>
  </cols>
  <sheetData>
    <row r="1" spans="1:7" ht="14.65" thickBot="1" x14ac:dyDescent="0.5">
      <c r="A1" s="81" t="s">
        <v>89</v>
      </c>
      <c r="B1" s="80"/>
      <c r="C1" s="80"/>
      <c r="D1" s="80"/>
      <c r="E1" s="80"/>
      <c r="F1" s="80"/>
      <c r="G1" s="83"/>
    </row>
    <row r="2" spans="1:7" ht="14.65" thickBot="1" x14ac:dyDescent="0.5">
      <c r="A2" s="135" t="s">
        <v>90</v>
      </c>
      <c r="B2" s="120" t="s">
        <v>52</v>
      </c>
      <c r="C2" s="120" t="s">
        <v>18</v>
      </c>
      <c r="D2" s="120" t="s">
        <v>88</v>
      </c>
      <c r="E2" s="120" t="s">
        <v>87</v>
      </c>
      <c r="F2" s="120" t="s">
        <v>86</v>
      </c>
      <c r="G2" s="110" t="s">
        <v>71</v>
      </c>
    </row>
    <row r="3" spans="1:7" ht="14.65" thickBot="1" x14ac:dyDescent="0.5">
      <c r="A3" s="136">
        <v>1</v>
      </c>
      <c r="B3" s="251" t="s">
        <v>281</v>
      </c>
      <c r="C3" s="251" t="s">
        <v>282</v>
      </c>
      <c r="D3" s="251" t="s">
        <v>283</v>
      </c>
      <c r="E3" s="251" t="s">
        <v>284</v>
      </c>
      <c r="F3" s="251" t="s">
        <v>7</v>
      </c>
      <c r="G3" s="137">
        <v>46133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4D4E5-030F-4A13-8929-C07765834F1C}">
  <sheetPr codeName="Sheet3"/>
  <dimension ref="A1:A29"/>
  <sheetViews>
    <sheetView showGridLines="0" topLeftCell="A5" workbookViewId="0">
      <selection activeCell="D20" sqref="D20"/>
    </sheetView>
  </sheetViews>
  <sheetFormatPr baseColWidth="10" defaultColWidth="8.86328125" defaultRowHeight="14.25" x14ac:dyDescent="0.45"/>
  <cols>
    <col min="1" max="1" width="140.796875" style="263" customWidth="1"/>
    <col min="2" max="16384" width="8.86328125" style="263"/>
  </cols>
  <sheetData>
    <row r="1" spans="1:1" ht="15" thickTop="1" thickBot="1" x14ac:dyDescent="0.5">
      <c r="A1" s="262" t="s">
        <v>293</v>
      </c>
    </row>
    <row r="2" spans="1:1" ht="28.9" thickTop="1" x14ac:dyDescent="0.45">
      <c r="A2" s="263" t="s">
        <v>302</v>
      </c>
    </row>
    <row r="3" spans="1:1" ht="28.5" x14ac:dyDescent="0.45">
      <c r="A3" s="263" t="s">
        <v>303</v>
      </c>
    </row>
    <row r="4" spans="1:1" ht="14.65" thickBot="1" x14ac:dyDescent="0.5"/>
    <row r="5" spans="1:1" ht="15" thickTop="1" thickBot="1" x14ac:dyDescent="0.5">
      <c r="A5" s="262" t="s">
        <v>294</v>
      </c>
    </row>
    <row r="6" spans="1:1" ht="28.9" thickTop="1" x14ac:dyDescent="0.45">
      <c r="A6" s="263" t="s">
        <v>304</v>
      </c>
    </row>
    <row r="7" spans="1:1" x14ac:dyDescent="0.45">
      <c r="A7" s="263" t="str">
        <f>"Current Performance: Stack Voltage = "&amp;TEXT(V,"0.00")&amp;" V | Efficiency = "&amp;TEXT(EFFIC*100,"0")&amp;"%."</f>
        <v>Current Performance: Stack Voltage = 1.40 V | Efficiency = 55%.</v>
      </c>
    </row>
    <row r="8" spans="1:1" ht="14.65" thickBot="1" x14ac:dyDescent="0.5"/>
    <row r="9" spans="1:1" ht="15" thickTop="1" thickBot="1" x14ac:dyDescent="0.5">
      <c r="A9" s="262" t="s">
        <v>295</v>
      </c>
    </row>
    <row r="10" spans="1:1" ht="28.9" thickTop="1" x14ac:dyDescent="0.45">
      <c r="A10" s="263" t="s">
        <v>305</v>
      </c>
    </row>
    <row r="11" spans="1:1" x14ac:dyDescent="0.45">
      <c r="A11" s="263" t="str">
        <f>"Operational Constraints: Stack Temperature = "&amp;TEXT(T,"0.0")&amp;" °C | DT_min = "&amp;TEXT(DT_MIN,"0.0")&amp;" K."</f>
        <v>Operational Constraints: Stack Temperature = 80.0 °C | DT_min = 5.0 K.</v>
      </c>
    </row>
    <row r="12" spans="1:1" ht="14.65" thickBot="1" x14ac:dyDescent="0.5"/>
    <row r="13" spans="1:1" ht="15" thickTop="1" thickBot="1" x14ac:dyDescent="0.5">
      <c r="A13" s="262" t="s">
        <v>296</v>
      </c>
    </row>
    <row r="14" spans="1:1" ht="14.65" thickTop="1" x14ac:dyDescent="0.45">
      <c r="A14" s="263" t="str">
        <f>" Mass flow of the hydrogen: "&amp;TEXT(MASSF_H2_IN,"#,##0.00")&amp;" "&amp;"kg/h"</f>
        <v xml:space="preserve"> Mass flow of the hydrogen: 7.00 kg/h</v>
      </c>
    </row>
    <row r="15" spans="1:1" x14ac:dyDescent="0.45">
      <c r="A15" s="263" t="str">
        <f>" Mass flow of oxygen: "&amp;TEXT(MASSF_O2_IN,"#,##0.00")&amp;" "&amp;"kg/h"</f>
        <v xml:space="preserve"> Mass flow of oxygen: 56.00 kg/h</v>
      </c>
    </row>
    <row r="16" spans="1:1" x14ac:dyDescent="0.45">
      <c r="A16" s="263" t="str">
        <f>"Mass flow of water: "&amp;TEXT(MASSF_H2O_OUT,"#,##0.00")&amp;" "&amp;"kg/h"</f>
        <v>Mass flow of water: 63.00 kg/h</v>
      </c>
    </row>
    <row r="17" spans="1:1" x14ac:dyDescent="0.45">
      <c r="A17" s="263" t="str">
        <f>"Fuel cell power output: "&amp;TEXT(POWER_EL_OUT,"#,##0.00")&amp;" "&amp;"kW"</f>
        <v>Fuel cell power output: 144.46 kW</v>
      </c>
    </row>
    <row r="18" spans="1:1" x14ac:dyDescent="0.45">
      <c r="A18" s="263" t="str">
        <f>"Fuel cell heat output: "&amp;TEXT(QF_OUT,"#,##0.00")&amp;" "&amp;"kW"</f>
        <v>Fuel cell heat output: 118.19 kW</v>
      </c>
    </row>
    <row r="19" spans="1:1" x14ac:dyDescent="0.45">
      <c r="A19" s="263" t="str">
        <f>"Temperature of the fuel cell: "&amp;TEXT(T,"#,##0.00")&amp;" "&amp;"°C"</f>
        <v>Temperature of the fuel cell: 80.00 °C</v>
      </c>
    </row>
    <row r="20" spans="1:1" x14ac:dyDescent="0.45">
      <c r="A20" s="263" t="str">
        <f>"Cooling return temperature : "&amp;TEXT(T_rec,"#,##0.00")&amp;" "&amp;"°C"</f>
        <v>Cooling return temperature : 60.00 °C</v>
      </c>
    </row>
    <row r="21" spans="1:1" x14ac:dyDescent="0.45">
      <c r="A21" s="263" t="str">
        <f>"Voltage of the cell: "&amp;TEXT(V,"#,##0.00")&amp;" "&amp;"V"</f>
        <v>Voltage of the cell: 1.40 V</v>
      </c>
    </row>
    <row r="22" spans="1:1" x14ac:dyDescent="0.45">
      <c r="A22" s="263" t="str">
        <f>"Efficiency of the cell: "&amp;TEXT(EFFIC,"#,##0.00")&amp;" "&amp;"-"</f>
        <v>Efficiency of the cell: 0.55 -</v>
      </c>
    </row>
    <row r="23" spans="1:1" x14ac:dyDescent="0.45">
      <c r="A23" s="263" t="str">
        <f>"Specific investment cost: "&amp;TEXT(SIC_VAR,"#,##0.00")&amp;" "&amp;"Eur/kW"</f>
        <v>Specific investment cost: 1,200.00 Eur/kW</v>
      </c>
    </row>
    <row r="24" spans="1:1" x14ac:dyDescent="0.45">
      <c r="A24" s="263" t="str">
        <f>"Annualized investment: "&amp;TEXT(IC_VAR,"#,##0.00")&amp;" "&amp;"eur/y"</f>
        <v>Annualized investment: 11,025.19 eur/y</v>
      </c>
    </row>
    <row r="25" spans="1:1" x14ac:dyDescent="0.45">
      <c r="A25" s="263" t="str">
        <f>" Lifetime: "&amp;TEXT(n,"#,##0.00")&amp;" "&amp;"year"</f>
        <v xml:space="preserve"> Lifetime: 40.00 year</v>
      </c>
    </row>
    <row r="26" spans="1:1" x14ac:dyDescent="0.45">
      <c r="A26" s="263" t="str">
        <f>"Interest rate: "&amp;TEXT(i,"#,##0.00")&amp;" "&amp;"-"</f>
        <v>Interest rate: 0.06 -</v>
      </c>
    </row>
    <row r="27" spans="1:1" ht="14.65" thickBot="1" x14ac:dyDescent="0.5"/>
    <row r="28" spans="1:1" ht="15" thickTop="1" thickBot="1" x14ac:dyDescent="0.5">
      <c r="A28" s="262" t="s">
        <v>297</v>
      </c>
    </row>
    <row r="29" spans="1:1" ht="28.9" thickTop="1" x14ac:dyDescent="0.45">
      <c r="A29" s="263" t="s">
        <v>236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58</vt:i4>
      </vt:variant>
    </vt:vector>
  </HeadingPairs>
  <TitlesOfParts>
    <vt:vector size="67" baseType="lpstr">
      <vt:lpstr>README</vt:lpstr>
      <vt:lpstr>METADATA</vt:lpstr>
      <vt:lpstr>CONNECTORS</vt:lpstr>
      <vt:lpstr>PEMFuelCell</vt:lpstr>
      <vt:lpstr>VARIABLES</vt:lpstr>
      <vt:lpstr>CALCULATIONS</vt:lpstr>
      <vt:lpstr>CHANGELOG</vt:lpstr>
      <vt:lpstr>SUPPL MATERIAL</vt:lpstr>
      <vt:lpstr>DOCUMENTATION</vt:lpstr>
      <vt:lpstr>DT_MIN</vt:lpstr>
      <vt:lpstr>DT_MIN_max</vt:lpstr>
      <vt:lpstr>DT_MIN_min</vt:lpstr>
      <vt:lpstr>EFFIC</vt:lpstr>
      <vt:lpstr>EFFIC_max</vt:lpstr>
      <vt:lpstr>EFFIC_min</vt:lpstr>
      <vt:lpstr>F</vt:lpstr>
      <vt:lpstr>F_max</vt:lpstr>
      <vt:lpstr>F_min</vt:lpstr>
      <vt:lpstr>H2_MOL</vt:lpstr>
      <vt:lpstr>H2_MOL_max</vt:lpstr>
      <vt:lpstr>H2_MOL_min</vt:lpstr>
      <vt:lpstr>H2O_MOL</vt:lpstr>
      <vt:lpstr>H2O_MOL_max</vt:lpstr>
      <vt:lpstr>H2O_MOL_min</vt:lpstr>
      <vt:lpstr>i</vt:lpstr>
      <vt:lpstr>i_max</vt:lpstr>
      <vt:lpstr>i_min</vt:lpstr>
      <vt:lpstr>I_OUT</vt:lpstr>
      <vt:lpstr>I_OUT_max</vt:lpstr>
      <vt:lpstr>I_OUT_min</vt:lpstr>
      <vt:lpstr>IC_VAR</vt:lpstr>
      <vt:lpstr>IC_VAR_max</vt:lpstr>
      <vt:lpstr>IC_VAR_min</vt:lpstr>
      <vt:lpstr>MASSF_H2_IN</vt:lpstr>
      <vt:lpstr>MASSF_H2_IN_max</vt:lpstr>
      <vt:lpstr>MASSF_H2_IN_min</vt:lpstr>
      <vt:lpstr>MASSF_H2O_OUT</vt:lpstr>
      <vt:lpstr>MASSF_H2O_OUT_max</vt:lpstr>
      <vt:lpstr>MASSF_H2O_OUT_min</vt:lpstr>
      <vt:lpstr>MASSF_O2_IN</vt:lpstr>
      <vt:lpstr>MASSF_O2_IN_max</vt:lpstr>
      <vt:lpstr>MASSF_O2_IN_min</vt:lpstr>
      <vt:lpstr>MOLF_H2_IN</vt:lpstr>
      <vt:lpstr>MOLF_H2_IN_max</vt:lpstr>
      <vt:lpstr>MOLF_H2_IN_min</vt:lpstr>
      <vt:lpstr>n</vt:lpstr>
      <vt:lpstr>n_max</vt:lpstr>
      <vt:lpstr>n_min</vt:lpstr>
      <vt:lpstr>O2_MOL</vt:lpstr>
      <vt:lpstr>O2_MOL_max</vt:lpstr>
      <vt:lpstr>O2_MOL_min</vt:lpstr>
      <vt:lpstr>POWER_EL_OUT</vt:lpstr>
      <vt:lpstr>POWER_EL_OUT_max</vt:lpstr>
      <vt:lpstr>POWER_EL_OUT_min</vt:lpstr>
      <vt:lpstr>QF_OUT</vt:lpstr>
      <vt:lpstr>QF_OUT_max</vt:lpstr>
      <vt:lpstr>QF_OUT_min</vt:lpstr>
      <vt:lpstr>SIC_VAR</vt:lpstr>
      <vt:lpstr>SIC_VAR_max</vt:lpstr>
      <vt:lpstr>SIC_VAR_min</vt:lpstr>
      <vt:lpstr>T</vt:lpstr>
      <vt:lpstr>T_max</vt:lpstr>
      <vt:lpstr>T_min</vt:lpstr>
      <vt:lpstr>T_rec</vt:lpstr>
      <vt:lpstr>V</vt:lpstr>
      <vt:lpstr>V_max</vt:lpstr>
      <vt:lpstr>V_min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Quentin Pierre Corentin Poindextre</cp:lastModifiedBy>
  <dcterms:created xsi:type="dcterms:W3CDTF">2023-07-04T12:09:19Z</dcterms:created>
  <dcterms:modified xsi:type="dcterms:W3CDTF">2026-07-02T12:14:52Z</dcterms:modified>
</cp:coreProperties>
</file>