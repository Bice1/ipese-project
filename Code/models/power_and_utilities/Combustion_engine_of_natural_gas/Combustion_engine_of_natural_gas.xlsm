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Natgas Engine/"/>
    </mc:Choice>
  </mc:AlternateContent>
  <xr:revisionPtr revIDLastSave="992" documentId="8_{204FB608-EC76-4AB2-8646-BD2E284F098B}" xr6:coauthVersionLast="47" xr6:coauthVersionMax="47" xr10:uidLastSave="{8FBB34B1-9CCF-4B5A-B2CE-9556AEFAF8E5}"/>
  <bookViews>
    <workbookView xWindow="-108" yWindow="-108" windowWidth="23256" windowHeight="13176" firstSheet="3" activeTab="8" xr2:uid="{00000000-000D-0000-FFFF-FFFF00000000}"/>
  </bookViews>
  <sheets>
    <sheet name="README" sheetId="1" r:id="rId1"/>
    <sheet name="METADATA" sheetId="2" r:id="rId2"/>
    <sheet name="CONNECTORS" sheetId="3" r:id="rId3"/>
    <sheet name="VARIABLES" sheetId="4" r:id="rId4"/>
    <sheet name="NatgasEngine" sheetId="5" r:id="rId5"/>
    <sheet name="CALCULATIONS" sheetId="10" r:id="rId6"/>
    <sheet name="CHANGELOG" sheetId="9" r:id="rId7"/>
    <sheet name="SUPPL MATERIAL" sheetId="11" r:id="rId8"/>
    <sheet name="DOCUMENTATION" sheetId="16" r:id="rId9"/>
  </sheets>
  <definedNames>
    <definedName name="Annuity">VARIABLES!$E$36</definedName>
    <definedName name="CEPCI_2008">VARIABLES!$E$32</definedName>
    <definedName name="CEPCI_2020">VARIABLES!$E$31</definedName>
    <definedName name="Cinv2_cogen">VARIABLES!$E$37</definedName>
    <definedName name="CO2fromICE">VARIABLES!$E$27</definedName>
    <definedName name="CogenElec">VARIABLES!$E$33</definedName>
    <definedName name="CogenFuel">VARIABLES!$E$26</definedName>
    <definedName name="cw_Tin">VARIABLES!$E$21</definedName>
    <definedName name="cw_Tout">VARIABLES!$E$22</definedName>
    <definedName name="dtmin_gas">VARIABLES!$E$24</definedName>
    <definedName name="dtmin_liquid">VARIABLES!$E$23</definedName>
    <definedName name="eta_el">VARIABLES!$E$16</definedName>
    <definedName name="eta_th_cw">VARIABLES!$E$18</definedName>
    <definedName name="eta_th_fg">VARIABLES!$E$17</definedName>
    <definedName name="fg_Tin">VARIABLES!$E$19</definedName>
    <definedName name="fg_Tout">VARIABLES!$E$20</definedName>
    <definedName name="Fuel_LHV">VARIABLES!$E$25</definedName>
    <definedName name="i">VARIABLES!$E$30</definedName>
    <definedName name="n">VARIABLES!$E$29</definedName>
    <definedName name="Q_cogen_cw">VARIABLES!$E$35</definedName>
    <definedName name="Q_cogen_fg">VARIABLES!$E$34</definedName>
    <definedName name="Spec_engineCost">VARIABLES!$E$28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bNxJkgama/kYeBi4o0J15qkHQT9g9UA3B49WFr4NTgI="/>
    </ext>
  </extLst>
</workbook>
</file>

<file path=xl/calcChain.xml><?xml version="1.0" encoding="utf-8"?>
<calcChain xmlns="http://schemas.openxmlformats.org/spreadsheetml/2006/main">
  <c r="A33" i="16" l="1"/>
  <c r="A32" i="16"/>
  <c r="A31" i="16"/>
  <c r="A30" i="16"/>
  <c r="A29" i="16"/>
  <c r="A28" i="16"/>
  <c r="A27" i="16"/>
  <c r="A26" i="16"/>
  <c r="A25" i="16"/>
  <c r="A24" i="16"/>
  <c r="A23" i="16"/>
  <c r="A22" i="16"/>
  <c r="A19" i="16"/>
  <c r="A18" i="16"/>
  <c r="A17" i="16"/>
  <c r="A14" i="16"/>
  <c r="A13" i="16"/>
  <c r="A12" i="16"/>
  <c r="A8" i="16"/>
  <c r="A7" i="16"/>
  <c r="A6" i="16"/>
  <c r="B12" i="2"/>
  <c r="M24" i="5"/>
  <c r="E27" i="4"/>
  <c r="D16" i="5" s="1"/>
  <c r="F32" i="5"/>
  <c r="F34" i="5"/>
  <c r="O25" i="5"/>
  <c r="O24" i="5"/>
  <c r="E25" i="5"/>
  <c r="M25" i="5" s="1"/>
  <c r="E24" i="5"/>
  <c r="D17" i="5"/>
  <c r="K24" i="5" l="1"/>
  <c r="E36" i="4"/>
  <c r="F35" i="5" s="1"/>
  <c r="E35" i="4"/>
  <c r="E34" i="4"/>
  <c r="E33" i="4"/>
  <c r="D15" i="5" l="1"/>
  <c r="F33" i="5"/>
  <c r="E3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tc={C53B5B45-70FF-4643-B8B2-199EBE973B19}</author>
    <author>tc={B32B7AD1-2AB0-4418-BDAB-6BED148184EB}</author>
    <author>tc={9E675225-93D7-41E7-B3AC-C3FFB1F86C71}</author>
  </authors>
  <commentList>
    <comment ref="K24" authorId="0" shapeId="0" xr:uid="{C53B5B45-70FF-4643-B8B2-199EBE973B19}">
      <text>
        <t>[Threaded comment]
Your version of Excel allows you to read this threaded comment; however, any edits to it will get removed if the file is opened in a newer version of Excel. Learn more: https://go.microsoft.com/fwlink/?linkid=870924
Comment:
    Computed from Q = m*cp*dT</t>
      </text>
    </comment>
    <comment ref="K25" authorId="1" shapeId="0" xr:uid="{B32B7AD1-2AB0-4418-BDAB-6BED148184EB}">
      <text>
        <t>[Threaded comment]
Your version of Excel allows you to read this threaded comment; however, any edits to it will get removed if the file is opened in a newer version of Excel. Learn more: https://go.microsoft.com/fwlink/?linkid=870924
Comment:
    Assumed to be water at constant cp</t>
      </text>
    </comment>
    <comment ref="M25" authorId="2" shapeId="0" xr:uid="{9E675225-93D7-41E7-B3AC-C3FFB1F86C71}">
      <text>
        <t>[Threaded comment]
Your version of Excel allows you to read this threaded comment; however, any edits to it will get removed if the file is opened in a newer version of Excel. Learn more: https://go.microsoft.com/fwlink/?linkid=870924
Comment:
    Computed from Q = m*cp*dT</t>
      </text>
    </comment>
  </commentList>
</comments>
</file>

<file path=xl/sharedStrings.xml><?xml version="1.0" encoding="utf-8"?>
<sst xmlns="http://schemas.openxmlformats.org/spreadsheetml/2006/main" count="534" uniqueCount="300">
  <si>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</si>
  <si>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</si>
  <si>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</si>
  <si>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</si>
  <si>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</si>
  <si>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</si>
  <si>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</si>
  <si>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</si>
  <si>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</si>
  <si>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</si>
  <si>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</si>
  <si>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</si>
  <si>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</si>
  <si>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</si>
  <si>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</si>
  <si>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</si>
  <si>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</si>
  <si>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</si>
  <si>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</si>
  <si>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</si>
  <si>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</si>
  <si>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</si>
  <si>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</si>
  <si>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</si>
  <si>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</si>
  <si>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</si>
  <si>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</si>
  <si>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</si>
  <si>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</si>
  <si>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</si>
  <si>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</si>
  <si>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</si>
  <si>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</si>
  <si>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</si>
  <si>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</si>
  <si>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</si>
  <si>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</si>
  <si>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</si>
  <si>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</si>
  <si>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</si>
  <si>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</si>
  <si>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</si>
  <si>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</si>
  <si>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</si>
  <si>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</si>
  <si>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</si>
  <si>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</si>
  <si>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</si>
  <si>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</si>
  <si>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</si>
  <si>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</si>
  <si>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</si>
  <si>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</si>
  <si>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</si>
  <si>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</si>
  <si>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</si>
  <si>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</si>
  <si>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</si>
  <si>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</si>
  <si>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</si>
  <si>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</si>
  <si>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</si>
  <si>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</si>
  <si>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</si>
  <si>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</si>
  <si>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</si>
  <si>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</si>
  <si>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</si>
  <si>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</si>
  <si>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</si>
  <si>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</si>
  <si>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</si>
  <si>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</si>
  <si>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</si>
  <si>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</si>
  <si>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</si>
  <si>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</si>
  <si>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</si>
  <si>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</si>
  <si>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</si>
  <si>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</si>
  <si>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</si>
  <si>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</si>
  <si>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</si>
  <si>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</si>
  <si>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</si>
  <si>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</si>
  <si>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</si>
  <si>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</si>
  <si>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</si>
  <si>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</si>
  <si>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</si>
  <si>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</si>
  <si>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</si>
  <si>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</si>
  <si>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</si>
  <si>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</si>
  <si>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</si>
  <si>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</si>
  <si>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</si>
  <si>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</si>
  <si>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</si>
  <si>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</si>
  <si>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</si>
  <si>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</si>
  <si>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</si>
  <si>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</si>
  <si>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</si>
  <si>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</si>
  <si>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</si>
  <si>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</si>
  <si>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</si>
  <si>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</si>
  <si>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</si>
  <si>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</si>
  <si>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</si>
  <si>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</si>
  <si>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</si>
  <si>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</si>
  <si>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</si>
  <si>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</si>
  <si>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</si>
  <si>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</si>
  <si>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</si>
  <si>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</si>
  <si>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</si>
  <si>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</si>
  <si>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</si>
  <si>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</si>
  <si>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</si>
  <si>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</si>
  <si>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</si>
  <si>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</si>
  <si>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</si>
  <si>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</si>
  <si>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</si>
  <si>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</si>
  <si>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</si>
  <si>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</si>
  <si>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</si>
  <si>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</si>
  <si>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</si>
  <si>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</si>
  <si>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</si>
  <si>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</si>
  <si>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</si>
  <si>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</si>
  <si>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</si>
  <si>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</si>
  <si>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</si>
  <si>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</si>
  <si>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</si>
  <si>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</si>
  <si>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</si>
  <si>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Drawio</t>
  </si>
  <si>
    <t>.svg</t>
  </si>
  <si>
    <t>50 kB</t>
  </si>
  <si>
    <t>eta_el</t>
  </si>
  <si>
    <t>CONTEXT</t>
  </si>
  <si>
    <t>Power generation efficiency</t>
  </si>
  <si>
    <t>MANDATORY</t>
  </si>
  <si>
    <t>$η_{el}$</t>
  </si>
  <si>
    <t>eta_th_fg</t>
  </si>
  <si>
    <t>Thermal generation efficiency for high grade heat in flue gases</t>
  </si>
  <si>
    <t>$η_{th,fg}$</t>
  </si>
  <si>
    <t>eta_th_cw</t>
  </si>
  <si>
    <t>Thermal generation efficiency for low grade heat in cooling water</t>
  </si>
  <si>
    <t>$η_{th,cw}$</t>
  </si>
  <si>
    <t>fg_Tin</t>
  </si>
  <si>
    <t>High-grade waste heat flue gas inlet temperature</t>
  </si>
  <si>
    <t>$T_{fg,in}$</t>
  </si>
  <si>
    <t>fg_Tout</t>
  </si>
  <si>
    <t>High-grade waste heat flue gas outlet temperature</t>
  </si>
  <si>
    <t>$T_{fg,out}$</t>
  </si>
  <si>
    <t>cw_Tin</t>
  </si>
  <si>
    <t>Low-grade waste heat cooling water inlet temperature</t>
  </si>
  <si>
    <t>$T_{cw,in}$</t>
  </si>
  <si>
    <t>cw_Tout</t>
  </si>
  <si>
    <t>Low-grade waste heat cooling water outlet temperature</t>
  </si>
  <si>
    <t>$T_{cw,out}$</t>
  </si>
  <si>
    <t>K</t>
  </si>
  <si>
    <t>CogenFuel</t>
  </si>
  <si>
    <t>Reference cogeneration unit fuel consumption</t>
  </si>
  <si>
    <t>kW</t>
  </si>
  <si>
    <t>$Cogen_{Fuel}$</t>
  </si>
  <si>
    <t>Spec_engineCost</t>
  </si>
  <si>
    <t>Engine specific investment cost</t>
  </si>
  <si>
    <t>Euro/kW</t>
  </si>
  <si>
    <t>$Spec_{engineCost}$</t>
  </si>
  <si>
    <t>kg/h</t>
  </si>
  <si>
    <t>kJ/kg</t>
  </si>
  <si>
    <t>n</t>
  </si>
  <si>
    <t>Lifetime</t>
  </si>
  <si>
    <t>yr</t>
  </si>
  <si>
    <t>$n$</t>
  </si>
  <si>
    <t>i</t>
  </si>
  <si>
    <t>Interest rate</t>
  </si>
  <si>
    <t>$i$</t>
  </si>
  <si>
    <t>CEPCI_2020</t>
  </si>
  <si>
    <t>$CEPCI_{2020}$</t>
  </si>
  <si>
    <t>CEPCI_2008</t>
  </si>
  <si>
    <t>CEPCI 2008</t>
  </si>
  <si>
    <t>$CEPCI_{2008}$</t>
  </si>
  <si>
    <t>CogenElec</t>
  </si>
  <si>
    <t>Power generation</t>
  </si>
  <si>
    <t>$Cogen_{Elec}$</t>
  </si>
  <si>
    <t>Q_cogen_fg</t>
  </si>
  <si>
    <t>High grade heat in flue gases</t>
  </si>
  <si>
    <t>$Q_{cogen,fg}$</t>
  </si>
  <si>
    <t>Q_cogen_cw</t>
  </si>
  <si>
    <t>Low grade heat in cooling water</t>
  </si>
  <si>
    <t>$Q_{cogen,cw}$</t>
  </si>
  <si>
    <t>Annuity</t>
  </si>
  <si>
    <t>Annualization factor</t>
  </si>
  <si>
    <t>$Annuity$</t>
  </si>
  <si>
    <t>Cinv2_cogen</t>
  </si>
  <si>
    <t>Yearly investment cost</t>
  </si>
  <si>
    <t>Euro/y</t>
  </si>
  <si>
    <t>$C_{inv2,cogen}$</t>
  </si>
  <si>
    <t>eta_el*CogenFuel</t>
  </si>
  <si>
    <t>eta_th_fg*CogenFuel</t>
  </si>
  <si>
    <t>eta_th_cw*CogenFuel</t>
  </si>
  <si>
    <t>(i*(i+1)^n)/((i+1)^n-1)</t>
  </si>
  <si>
    <t>Spec_engineCost*CogenElec*(CEPCI_2020/CEPCI_2008)*Annuity</t>
  </si>
  <si>
    <t>ELECTRICITY</t>
  </si>
  <si>
    <t>NATGAS</t>
  </si>
  <si>
    <t>MASS</t>
  </si>
  <si>
    <t>bar</t>
  </si>
  <si>
    <t>OUT</t>
  </si>
  <si>
    <t>ENERGY</t>
  </si>
  <si>
    <t>IN</t>
  </si>
  <si>
    <t>fgheat</t>
  </si>
  <si>
    <t>Hot</t>
  </si>
  <si>
    <t>cwheat</t>
  </si>
  <si>
    <t>Daniel Flórez-Orrego, EPFL IPESE research group</t>
  </si>
  <si>
    <t>Combustion engine of natural gas</t>
  </si>
  <si>
    <t>[1] Cengel, Y. and Boles, M., 2010. Thermodynamics: An Engineering Approach with Student Resources DVD;
[2] JENBACHER TYPE 4. Available at: https://www.jenbacher.com/en/gas-engines/type-4. Accessed in August 28th, 2023;
[3] Biomethane potential https://www.europeanbiogas.eu/wp-content/uploads/2022/07/GfC_national-biomethane-potentials_070722.pdf ;
[4] Marechal, Sachan, Salgueiro, Handbook of process integration, 2013</t>
  </si>
  <si>
    <t>Figures/NatgasEngine.svg</t>
  </si>
  <si>
    <t>NatgasEngine</t>
  </si>
  <si>
    <t>Natural Gas, Cogeneration, Engine, Electricity</t>
  </si>
  <si>
    <t>Combustion engine of natural gas with cogeneration</t>
  </si>
  <si>
    <t>CH4</t>
  </si>
  <si>
    <t>°C</t>
  </si>
  <si>
    <t>(V)</t>
  </si>
  <si>
    <t>MASSFRAC:CH4[1.0]</t>
  </si>
  <si>
    <t>Consumed natural gas</t>
  </si>
  <si>
    <t>CO2INFLUEG</t>
  </si>
  <si>
    <t>CO2inFluegas</t>
  </si>
  <si>
    <t>MASSFRAC:CO2[1]</t>
  </si>
  <si>
    <t>CO2 in flue gas</t>
  </si>
  <si>
    <t>Mechanical power output</t>
  </si>
  <si>
    <t>Flue gas inlet temperature</t>
  </si>
  <si>
    <t>Waste heat flue gas outlet temperature</t>
  </si>
  <si>
    <t>Thermal efficiency for heat in flue gases</t>
  </si>
  <si>
    <t>Thermal efficiency for heat in cooling water</t>
  </si>
  <si>
    <t>dtmin_liquid</t>
  </si>
  <si>
    <t>dtmin_gas</t>
  </si>
  <si>
    <t>Minimum temperature difference contribution for gas</t>
  </si>
  <si>
    <t>Minimum temperature difference contribution for liquid</t>
  </si>
  <si>
    <t>2020 CEPCI</t>
  </si>
  <si>
    <t>Fuel_LHV</t>
  </si>
  <si>
    <t>LITERATURE</t>
  </si>
  <si>
    <t>Lower heating value of natural gas</t>
  </si>
  <si>
    <t>$\Delta T_{min,liquid}$</t>
  </si>
  <si>
    <t>$\Delta T_{min,gas}$</t>
  </si>
  <si>
    <t>$LHV_{fuel}$</t>
  </si>
  <si>
    <t>Minimum temperature difference contribution for gases</t>
  </si>
  <si>
    <t>Lower heating value of fuel</t>
  </si>
  <si>
    <t>Elec</t>
  </si>
  <si>
    <t>CO2fromICE</t>
  </si>
  <si>
    <t>Associated CO2 emissions</t>
  </si>
  <si>
    <t>$CO_2fromICE$</t>
  </si>
  <si>
    <t>kJ/kgK</t>
  </si>
  <si>
    <t>kW/m2K</t>
  </si>
  <si>
    <t>DEFAULT</t>
  </si>
  <si>
    <t>No</t>
  </si>
  <si>
    <t>Waste heat from flue gas</t>
  </si>
  <si>
    <t>Waste heat from cooling tower</t>
  </si>
  <si>
    <t>Asset</t>
  </si>
  <si>
    <t>Engine</t>
  </si>
  <si>
    <t>Natural Gas Engine</t>
  </si>
  <si>
    <t>@Florez-Orrego et al</t>
  </si>
  <si>
    <t>eur/kW</t>
  </si>
  <si>
    <t>Combined heat and power production (CHP) systems based on internal combustion engine (ICE) using natural gas as fuel.</t>
  </si>
  <si>
    <t>The connectors consists of consumed natural gas, produced electricity and the CO2 emissions associated.</t>
  </si>
  <si>
    <t>Two hot heat streams for the heat removal from flue gases and cooling water.</t>
  </si>
  <si>
    <t>A full Natural Gas Engine (asset) is required for cost calculation.</t>
  </si>
  <si>
    <t>1. System Overview</t>
  </si>
  <si>
    <t>2. Performance &amp; Connectors</t>
  </si>
  <si>
    <t>3. Cogeneration &amp; Heat Recovery</t>
  </si>
  <si>
    <t>4. Economics &amp; Investment</t>
  </si>
  <si>
    <t>Yes</t>
  </si>
  <si>
    <t>CogenFuel/Fuel_LHV*3600*44/16</t>
  </si>
  <si>
    <t>EPFL IPESE research group</t>
  </si>
  <si>
    <t xml:space="preserve">[2] </t>
  </si>
  <si>
    <t>This model represents a Combined Heat and Power (CHP) system based on a high-efficiency Internal Combustion Engine (ICE), modeled after industrial standards (e.g., Jenbacher Type 4).</t>
  </si>
  <si>
    <t>The unit consumes natural gas to simultaneously produce electrical power and recover waste heat from high-temperature exhaust gases and engine cooling water.</t>
  </si>
  <si>
    <t>The model defines two distinct 'Hot' heat streams available for integration:</t>
  </si>
  <si>
    <t>5. Key Model Parameters</t>
  </si>
  <si>
    <t>6. 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</si>
</sst>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
      <sz val="11"/>
      <color theme="1"/>
      <name val="Calibri"/>
      <family val="2"/>
      <scheme val="minor"/>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indexed="64"/>
      </patternFill>
    </fill>
    <fill>
      <patternFill patternType="solid">
        <fgColor theme="5" tint="0.79998168889431442"/>
        <bgColor theme="0"/>
      </patternFill>
    </fill>
    <fill>
      <patternFill patternType="solid">
        <fgColor theme="5" tint="0.79998168889431442"/>
        <bgColor rgb="FFFFFFFF"/>
      </patternFill>
    </fill>
    <fill>
      <patternFill patternType="solid">
        <fgColor rgb="FFDDEBF7"/>
        <bgColor indexed="64"/>
      </patternFill>
    </fill>
  </fills>
  <borders count="97">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style="medium">
        <color indexed="64"/>
      </top>
      <bottom/>
      <diagonal/>
    </border>
    <border>
      <left/>
      <right/>
      <top/>
      <bottom style="medium">
        <color rgb="FF000000"/>
      </bottom>
      <diagonal/>
    </border>
    <border>
      <left/>
      <right style="medium">
        <color rgb="FF000000"/>
      </right>
      <top/>
      <bottom style="medium">
        <color rgb="FF000000"/>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medium">
        <color rgb="FF000000"/>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medium">
        <color rgb="FF000000"/>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theme="0" tint="-0.14999847407452621"/>
      </left>
      <right style="medium">
        <color theme="3"/>
      </right>
      <top style="thin">
        <color theme="0" tint="-0.14999847407452621"/>
      </top>
      <bottom style="thin">
        <color theme="0" tint="-0.14999847407452621"/>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style="thin">
        <color theme="0" tint="-0.14999847407452621"/>
      </left>
      <right style="medium">
        <color rgb="FF000000"/>
      </right>
      <top/>
      <bottom/>
      <diagonal/>
    </border>
    <border>
      <left style="thick">
        <color indexed="64"/>
      </left>
      <right style="thick">
        <color indexed="64"/>
      </right>
      <top style="thick">
        <color indexed="64"/>
      </top>
      <bottom style="thick">
        <color indexed="64"/>
      </bottom>
      <diagonal/>
    </border>
  </borders>
  <cellStyleXfs count="4">
    <xf numFmtId="0" fontId="0" fillId="0" borderId="0"/>
    <xf numFmtId="0" fontId="18" fillId="0" borderId="46"/>
    <xf numFmtId="0" fontId="5" fillId="0" borderId="46"/>
    <xf numFmtId="0" fontId="19" fillId="0" borderId="46"/>
  </cellStyleXfs>
  <cellXfs count="273">
    <xf numFmtId="0" fontId="0" fillId="0" borderId="0" xfId="0"/>
    <xf numFmtId="0" fontId="14" fillId="3" borderId="4" xfId="0" applyFont="1" applyFill="1" applyBorder="1" applyAlignment="1">
      <alignment horizontal="center" vertical="center"/>
    </xf>
    <xf numFmtId="0" fontId="14" fillId="3" borderId="5" xfId="0" applyFont="1" applyFill="1" applyBorder="1" applyAlignment="1">
      <alignment horizontal="left" vertical="center"/>
    </xf>
    <xf numFmtId="0" fontId="14" fillId="3" borderId="7" xfId="0" applyFont="1" applyFill="1" applyBorder="1"/>
    <xf numFmtId="0" fontId="14" fillId="3" borderId="3" xfId="0" applyFont="1" applyFill="1" applyBorder="1"/>
    <xf numFmtId="0" fontId="11" fillId="0" borderId="8" xfId="0" applyFont="1" applyBorder="1"/>
    <xf numFmtId="0" fontId="11" fillId="4" borderId="8" xfId="0" applyFont="1" applyFill="1" applyBorder="1"/>
    <xf numFmtId="0" fontId="13" fillId="4" borderId="8" xfId="0" applyFont="1" applyFill="1" applyBorder="1" applyAlignment="1">
      <alignment horizontal="center"/>
    </xf>
    <xf numFmtId="0" fontId="11" fillId="0" borderId="13" xfId="0" applyFont="1" applyBorder="1"/>
    <xf numFmtId="0" fontId="14" fillId="3" borderId="14" xfId="0" applyFont="1" applyFill="1" applyBorder="1"/>
    <xf numFmtId="0" fontId="14" fillId="3" borderId="15" xfId="0" applyFont="1" applyFill="1" applyBorder="1"/>
    <xf numFmtId="0" fontId="12" fillId="0" borderId="17" xfId="0" applyFont="1" applyBorder="1"/>
    <xf numFmtId="0" fontId="11" fillId="0" borderId="17" xfId="0" applyFont="1" applyBorder="1"/>
    <xf numFmtId="0" fontId="14" fillId="3" borderId="18" xfId="0" applyFont="1" applyFill="1" applyBorder="1"/>
    <xf numFmtId="0" fontId="14" fillId="4" borderId="19" xfId="0" applyFont="1" applyFill="1" applyBorder="1"/>
    <xf numFmtId="0" fontId="11" fillId="4" borderId="20" xfId="0" applyFont="1" applyFill="1" applyBorder="1"/>
    <xf numFmtId="0" fontId="14" fillId="3" borderId="13" xfId="0" applyFont="1" applyFill="1" applyBorder="1"/>
    <xf numFmtId="0" fontId="14" fillId="3" borderId="21" xfId="0" applyFont="1" applyFill="1" applyBorder="1"/>
    <xf numFmtId="0" fontId="14" fillId="3" borderId="17" xfId="0" applyFont="1" applyFill="1" applyBorder="1"/>
    <xf numFmtId="0" fontId="14" fillId="3" borderId="25" xfId="0" applyFont="1" applyFill="1" applyBorder="1"/>
    <xf numFmtId="0" fontId="14" fillId="3" borderId="19" xfId="0" applyFont="1" applyFill="1" applyBorder="1"/>
    <xf numFmtId="0" fontId="11" fillId="0" borderId="19" xfId="0" applyFont="1" applyBorder="1"/>
    <xf numFmtId="0" fontId="11" fillId="4" borderId="19" xfId="0" applyFont="1" applyFill="1" applyBorder="1"/>
    <xf numFmtId="0" fontId="16" fillId="4" borderId="1" xfId="0" applyFont="1" applyFill="1" applyBorder="1" applyAlignment="1">
      <alignment horizontal="left"/>
    </xf>
    <xf numFmtId="0" fontId="14" fillId="4" borderId="1" xfId="0" applyFont="1" applyFill="1" applyBorder="1"/>
    <xf numFmtId="0" fontId="14" fillId="4" borderId="1" xfId="0" applyFont="1" applyFill="1" applyBorder="1" applyAlignment="1">
      <alignment horizontal="left"/>
    </xf>
    <xf numFmtId="0" fontId="11" fillId="4" borderId="1" xfId="0" applyFont="1" applyFill="1" applyBorder="1" applyAlignment="1">
      <alignment horizontal="left"/>
    </xf>
    <xf numFmtId="0" fontId="11" fillId="4" borderId="1" xfId="0" applyFont="1" applyFill="1" applyBorder="1"/>
    <xf numFmtId="0" fontId="12" fillId="4" borderId="1" xfId="0" applyFont="1" applyFill="1" applyBorder="1"/>
    <xf numFmtId="0" fontId="10" fillId="4" borderId="17" xfId="0" applyFont="1" applyFill="1" applyBorder="1"/>
    <xf numFmtId="0" fontId="11" fillId="4" borderId="17" xfId="0" applyFont="1" applyFill="1" applyBorder="1"/>
    <xf numFmtId="0" fontId="14" fillId="4" borderId="17" xfId="0" applyFont="1" applyFill="1" applyBorder="1"/>
    <xf numFmtId="0" fontId="10" fillId="4" borderId="1" xfId="0" applyFont="1" applyFill="1" applyBorder="1"/>
    <xf numFmtId="0" fontId="14" fillId="4" borderId="30" xfId="0" applyFont="1" applyFill="1" applyBorder="1" applyAlignment="1">
      <alignment horizontal="center"/>
    </xf>
    <xf numFmtId="0" fontId="14" fillId="4" borderId="24" xfId="0" applyFont="1" applyFill="1" applyBorder="1" applyAlignment="1">
      <alignment horizontal="center"/>
    </xf>
    <xf numFmtId="0" fontId="14" fillId="4" borderId="31" xfId="0" applyFont="1" applyFill="1" applyBorder="1" applyAlignment="1">
      <alignment horizontal="center"/>
    </xf>
    <xf numFmtId="0" fontId="14" fillId="4" borderId="19" xfId="0" applyFont="1" applyFill="1" applyBorder="1" applyAlignment="1">
      <alignment horizontal="center"/>
    </xf>
    <xf numFmtId="0" fontId="16" fillId="4" borderId="20" xfId="0" applyFont="1" applyFill="1" applyBorder="1" applyAlignment="1">
      <alignment horizontal="left"/>
    </xf>
    <xf numFmtId="0" fontId="14" fillId="4" borderId="8" xfId="0" applyFont="1" applyFill="1" applyBorder="1" applyAlignment="1">
      <alignment horizontal="center"/>
    </xf>
    <xf numFmtId="0" fontId="13" fillId="4" borderId="19" xfId="0" applyFont="1" applyFill="1" applyBorder="1" applyAlignment="1">
      <alignment horizontal="center" vertical="center" wrapText="1"/>
    </xf>
    <xf numFmtId="0" fontId="14" fillId="3" borderId="8" xfId="0" applyFont="1" applyFill="1" applyBorder="1" applyAlignment="1">
      <alignment horizontal="center"/>
    </xf>
    <xf numFmtId="0" fontId="16" fillId="3" borderId="8" xfId="0" applyFont="1" applyFill="1" applyBorder="1" applyAlignment="1">
      <alignment horizontal="left"/>
    </xf>
    <xf numFmtId="0" fontId="13" fillId="4" borderId="0" xfId="0" applyFont="1" applyFill="1" applyAlignment="1">
      <alignment horizontal="center"/>
    </xf>
    <xf numFmtId="0" fontId="14" fillId="3" borderId="6" xfId="0" applyFont="1" applyFill="1" applyBorder="1" applyAlignment="1">
      <alignment horizontal="center"/>
    </xf>
    <xf numFmtId="0" fontId="16" fillId="3" borderId="6" xfId="0" applyFont="1" applyFill="1" applyBorder="1" applyAlignment="1">
      <alignment horizontal="left"/>
    </xf>
    <xf numFmtId="0" fontId="14" fillId="3" borderId="5" xfId="0" applyFont="1" applyFill="1" applyBorder="1" applyAlignment="1">
      <alignment horizontal="center"/>
    </xf>
    <xf numFmtId="0" fontId="14" fillId="3" borderId="4" xfId="0" applyFont="1" applyFill="1" applyBorder="1" applyAlignment="1">
      <alignment horizontal="center"/>
    </xf>
    <xf numFmtId="0" fontId="16" fillId="3" borderId="35" xfId="0" quotePrefix="1" applyFont="1" applyFill="1" applyBorder="1" applyAlignment="1">
      <alignment horizontal="left"/>
    </xf>
    <xf numFmtId="0" fontId="14" fillId="3" borderId="35" xfId="0" applyFont="1" applyFill="1" applyBorder="1" applyAlignment="1">
      <alignment horizontal="center"/>
    </xf>
    <xf numFmtId="0" fontId="14" fillId="3" borderId="3" xfId="0" applyFont="1" applyFill="1" applyBorder="1" applyAlignment="1">
      <alignment horizontal="center"/>
    </xf>
    <xf numFmtId="0" fontId="16" fillId="3" borderId="3" xfId="0" applyFont="1" applyFill="1" applyBorder="1" applyAlignment="1">
      <alignment horizontal="left"/>
    </xf>
    <xf numFmtId="0" fontId="16" fillId="3" borderId="24" xfId="0" applyFont="1" applyFill="1" applyBorder="1" applyAlignment="1">
      <alignment horizontal="left" vertical="center"/>
    </xf>
    <xf numFmtId="0" fontId="14" fillId="3" borderId="24" xfId="0" applyFont="1" applyFill="1" applyBorder="1" applyAlignment="1">
      <alignment horizontal="center"/>
    </xf>
    <xf numFmtId="0" fontId="16" fillId="3" borderId="8" xfId="0" quotePrefix="1" applyFont="1" applyFill="1" applyBorder="1" applyAlignment="1">
      <alignment horizontal="left"/>
    </xf>
    <xf numFmtId="0" fontId="16" fillId="3" borderId="8" xfId="0" applyFont="1" applyFill="1" applyBorder="1" applyAlignment="1">
      <alignment horizontal="left" vertical="center"/>
    </xf>
    <xf numFmtId="0" fontId="16" fillId="3" borderId="14" xfId="0" applyFont="1" applyFill="1" applyBorder="1" applyAlignment="1">
      <alignment horizontal="left" vertical="center"/>
    </xf>
    <xf numFmtId="0" fontId="16" fillId="3" borderId="15" xfId="0" applyFont="1" applyFill="1" applyBorder="1" applyAlignment="1">
      <alignment horizontal="left"/>
    </xf>
    <xf numFmtId="0" fontId="14" fillId="3" borderId="15" xfId="0" applyFont="1" applyFill="1" applyBorder="1" applyAlignment="1">
      <alignment horizontal="center"/>
    </xf>
    <xf numFmtId="0" fontId="14" fillId="3" borderId="15" xfId="0" applyFont="1" applyFill="1" applyBorder="1" applyAlignment="1">
      <alignment horizontal="left"/>
    </xf>
    <xf numFmtId="0" fontId="14" fillId="3" borderId="8" xfId="0" applyFont="1" applyFill="1" applyBorder="1" applyAlignment="1">
      <alignment horizontal="center" vertical="center"/>
    </xf>
    <xf numFmtId="0" fontId="14" fillId="3" borderId="16" xfId="0" applyFont="1" applyFill="1" applyBorder="1" applyAlignment="1">
      <alignment horizontal="center" vertical="center"/>
    </xf>
    <xf numFmtId="0" fontId="11" fillId="0" borderId="24" xfId="0" applyFont="1" applyBorder="1"/>
    <xf numFmtId="0" fontId="14" fillId="3" borderId="24" xfId="0" applyFont="1" applyFill="1" applyBorder="1" applyAlignment="1">
      <alignment horizontal="center" vertical="center"/>
    </xf>
    <xf numFmtId="0" fontId="16" fillId="3" borderId="24" xfId="0" applyFont="1" applyFill="1" applyBorder="1" applyAlignment="1">
      <alignment horizontal="left"/>
    </xf>
    <xf numFmtId="0" fontId="14" fillId="3" borderId="36" xfId="0" applyFont="1" applyFill="1" applyBorder="1" applyAlignment="1">
      <alignment horizontal="center"/>
    </xf>
    <xf numFmtId="0" fontId="14" fillId="3" borderId="20" xfId="0" applyFont="1" applyFill="1" applyBorder="1" applyAlignment="1">
      <alignment horizontal="center" vertical="center"/>
    </xf>
    <xf numFmtId="0" fontId="14" fillId="3" borderId="39" xfId="0" applyFont="1" applyFill="1" applyBorder="1" applyAlignment="1">
      <alignment horizontal="center"/>
    </xf>
    <xf numFmtId="0" fontId="16" fillId="3" borderId="5" xfId="0" quotePrefix="1" applyFont="1" applyFill="1" applyBorder="1" applyAlignment="1">
      <alignment horizontal="left"/>
    </xf>
    <xf numFmtId="0" fontId="14" fillId="3" borderId="22" xfId="0" applyFont="1" applyFill="1" applyBorder="1" applyAlignment="1">
      <alignment horizontal="center"/>
    </xf>
    <xf numFmtId="0" fontId="14" fillId="3" borderId="23" xfId="0" applyFont="1" applyFill="1" applyBorder="1" applyAlignment="1">
      <alignment horizontal="center"/>
    </xf>
    <xf numFmtId="0" fontId="16" fillId="3" borderId="14" xfId="0" quotePrefix="1" applyFont="1" applyFill="1" applyBorder="1" applyAlignment="1">
      <alignment horizontal="left"/>
    </xf>
    <xf numFmtId="0" fontId="14" fillId="4" borderId="4" xfId="0" applyFont="1" applyFill="1" applyBorder="1" applyAlignment="1">
      <alignment horizontal="center"/>
    </xf>
    <xf numFmtId="0" fontId="14" fillId="4" borderId="5" xfId="0" applyFont="1" applyFill="1" applyBorder="1" applyAlignment="1">
      <alignment horizontal="center"/>
    </xf>
    <xf numFmtId="0" fontId="14" fillId="4" borderId="3" xfId="0" applyFont="1" applyFill="1" applyBorder="1" applyAlignment="1">
      <alignment horizontal="center"/>
    </xf>
    <xf numFmtId="0" fontId="14" fillId="4" borderId="39" xfId="0" applyFont="1" applyFill="1" applyBorder="1" applyAlignment="1">
      <alignment horizontal="center"/>
    </xf>
    <xf numFmtId="0" fontId="14" fillId="4" borderId="13" xfId="0" applyFont="1" applyFill="1" applyBorder="1" applyAlignment="1">
      <alignment horizontal="center" vertical="center"/>
    </xf>
    <xf numFmtId="0" fontId="14" fillId="4" borderId="16" xfId="0" applyFont="1" applyFill="1" applyBorder="1" applyAlignment="1">
      <alignment horizontal="center" vertical="center"/>
    </xf>
    <xf numFmtId="0" fontId="14" fillId="4" borderId="24" xfId="0" applyFont="1" applyFill="1" applyBorder="1" applyAlignment="1">
      <alignment horizontal="center" vertical="center"/>
    </xf>
    <xf numFmtId="0" fontId="16" fillId="4" borderId="0" xfId="0" applyFont="1" applyFill="1" applyAlignment="1">
      <alignment horizontal="left"/>
    </xf>
    <xf numFmtId="0" fontId="14" fillId="4" borderId="0" xfId="0" applyFont="1" applyFill="1" applyAlignment="1">
      <alignment horizontal="center"/>
    </xf>
    <xf numFmtId="0" fontId="14" fillId="4" borderId="6" xfId="0" applyFont="1" applyFill="1" applyBorder="1" applyAlignment="1">
      <alignment horizontal="center"/>
    </xf>
    <xf numFmtId="0" fontId="14" fillId="4" borderId="36" xfId="0" applyFont="1" applyFill="1" applyBorder="1" applyAlignment="1">
      <alignment horizontal="center"/>
    </xf>
    <xf numFmtId="0" fontId="14" fillId="4" borderId="47" xfId="0" applyFont="1" applyFill="1" applyBorder="1" applyAlignment="1">
      <alignment horizontal="center"/>
    </xf>
    <xf numFmtId="0" fontId="0" fillId="6" borderId="0" xfId="0" applyFill="1"/>
    <xf numFmtId="0" fontId="10" fillId="0" borderId="1" xfId="0" applyFont="1" applyBorder="1" applyAlignment="1">
      <alignment horizontal="left" vertical="top"/>
    </xf>
    <xf numFmtId="0" fontId="14" fillId="3" borderId="46" xfId="0" applyFont="1" applyFill="1" applyBorder="1" applyAlignment="1">
      <alignment horizontal="left" vertical="center"/>
    </xf>
    <xf numFmtId="0" fontId="0" fillId="7" borderId="0" xfId="0" applyFill="1"/>
    <xf numFmtId="0" fontId="13" fillId="4" borderId="19" xfId="0" applyFont="1" applyFill="1" applyBorder="1" applyAlignment="1">
      <alignment horizontal="center" vertical="center"/>
    </xf>
    <xf numFmtId="2" fontId="11" fillId="4" borderId="8" xfId="0" applyNumberFormat="1" applyFont="1" applyFill="1" applyBorder="1"/>
    <xf numFmtId="0" fontId="13" fillId="2" borderId="27" xfId="0" applyFont="1" applyFill="1" applyBorder="1" applyAlignment="1">
      <alignment horizontal="left" vertical="top"/>
    </xf>
    <xf numFmtId="0" fontId="13" fillId="2" borderId="32" xfId="0" applyFont="1" applyFill="1" applyBorder="1" applyAlignment="1">
      <alignment horizontal="left" vertical="top"/>
    </xf>
    <xf numFmtId="0" fontId="13" fillId="2" borderId="33" xfId="0" applyFont="1" applyFill="1" applyBorder="1" applyAlignment="1">
      <alignment horizontal="left" vertical="top" wrapText="1"/>
    </xf>
    <xf numFmtId="0" fontId="13" fillId="2" borderId="34" xfId="0" applyFont="1" applyFill="1" applyBorder="1" applyAlignment="1">
      <alignment horizontal="left" vertical="top" wrapText="1"/>
    </xf>
    <xf numFmtId="0" fontId="13" fillId="2" borderId="28" xfId="0" applyFont="1" applyFill="1" applyBorder="1" applyAlignment="1">
      <alignment horizontal="left" vertical="top"/>
    </xf>
    <xf numFmtId="0" fontId="13" fillId="2" borderId="37" xfId="0" applyFont="1" applyFill="1" applyBorder="1" applyAlignment="1">
      <alignment horizontal="left" vertical="top"/>
    </xf>
    <xf numFmtId="0" fontId="13" fillId="2" borderId="38" xfId="0" applyFont="1" applyFill="1" applyBorder="1" applyAlignment="1">
      <alignment horizontal="left" vertical="top"/>
    </xf>
    <xf numFmtId="0" fontId="13" fillId="2" borderId="41" xfId="0" applyFont="1" applyFill="1" applyBorder="1" applyAlignment="1">
      <alignment horizontal="left" vertical="top"/>
    </xf>
    <xf numFmtId="0" fontId="13" fillId="2" borderId="40" xfId="0" applyFont="1" applyFill="1" applyBorder="1" applyAlignment="1">
      <alignment horizontal="left" vertical="top"/>
    </xf>
    <xf numFmtId="0" fontId="14" fillId="2" borderId="41" xfId="0" applyFont="1" applyFill="1" applyBorder="1" applyAlignment="1">
      <alignment horizontal="left" vertical="top"/>
    </xf>
    <xf numFmtId="0" fontId="13" fillId="2" borderId="9" xfId="0" applyFont="1" applyFill="1" applyBorder="1" applyAlignment="1">
      <alignment horizontal="left" vertical="top"/>
    </xf>
    <xf numFmtId="0" fontId="13" fillId="2" borderId="10" xfId="0" applyFont="1" applyFill="1" applyBorder="1" applyAlignment="1">
      <alignment horizontal="left" vertical="top"/>
    </xf>
    <xf numFmtId="0" fontId="11" fillId="8" borderId="20" xfId="0" applyFont="1" applyFill="1" applyBorder="1"/>
    <xf numFmtId="0" fontId="11" fillId="8" borderId="26" xfId="0" applyFont="1" applyFill="1" applyBorder="1"/>
    <xf numFmtId="0" fontId="13" fillId="2" borderId="42" xfId="0" applyFont="1" applyFill="1" applyBorder="1" applyAlignment="1">
      <alignment horizontal="left" vertical="top"/>
    </xf>
    <xf numFmtId="0" fontId="13" fillId="2" borderId="48" xfId="0" applyFont="1" applyFill="1" applyBorder="1" applyAlignment="1">
      <alignment horizontal="left" vertical="top"/>
    </xf>
    <xf numFmtId="0" fontId="13" fillId="2" borderId="50" xfId="0" applyFont="1" applyFill="1" applyBorder="1" applyAlignment="1">
      <alignment horizontal="left" vertical="top"/>
    </xf>
    <xf numFmtId="0" fontId="14" fillId="8" borderId="49" xfId="0" applyFont="1" applyFill="1" applyBorder="1" applyAlignment="1">
      <alignment horizontal="left" vertical="top" wrapText="1"/>
    </xf>
    <xf numFmtId="0" fontId="13" fillId="2" borderId="49" xfId="0" applyFont="1" applyFill="1" applyBorder="1" applyAlignment="1">
      <alignment horizontal="left" vertical="top"/>
    </xf>
    <xf numFmtId="0" fontId="14" fillId="4" borderId="21" xfId="0" applyFont="1" applyFill="1" applyBorder="1" applyAlignment="1">
      <alignment horizontal="center" vertical="center"/>
    </xf>
    <xf numFmtId="0" fontId="14" fillId="2" borderId="28" xfId="0" applyFont="1" applyFill="1" applyBorder="1" applyAlignment="1">
      <alignment horizontal="left" vertical="top"/>
    </xf>
    <xf numFmtId="0" fontId="14" fillId="2" borderId="29" xfId="0" applyFont="1" applyFill="1" applyBorder="1" applyAlignment="1">
      <alignment horizontal="left" vertical="top"/>
    </xf>
    <xf numFmtId="0" fontId="14" fillId="2" borderId="11" xfId="0" applyFont="1" applyFill="1" applyBorder="1" applyAlignment="1">
      <alignment horizontal="left" vertical="top"/>
    </xf>
    <xf numFmtId="0" fontId="14" fillId="2" borderId="46" xfId="0" applyFont="1" applyFill="1" applyBorder="1" applyAlignment="1">
      <alignment horizontal="left" vertical="top"/>
    </xf>
    <xf numFmtId="0" fontId="9" fillId="2" borderId="46" xfId="0" applyFont="1" applyFill="1" applyBorder="1" applyAlignment="1">
      <alignment horizontal="left" vertical="top"/>
    </xf>
    <xf numFmtId="0" fontId="14" fillId="2" borderId="12" xfId="0" applyFont="1" applyFill="1" applyBorder="1" applyAlignment="1">
      <alignment horizontal="left" vertical="top"/>
    </xf>
    <xf numFmtId="0" fontId="13" fillId="2" borderId="54" xfId="0" applyFont="1" applyFill="1" applyBorder="1" applyAlignment="1">
      <alignment horizontal="left" vertical="top"/>
    </xf>
    <xf numFmtId="0" fontId="13" fillId="2" borderId="55" xfId="0" applyFont="1" applyFill="1" applyBorder="1" applyAlignment="1">
      <alignment horizontal="left" vertical="top"/>
    </xf>
    <xf numFmtId="0" fontId="13" fillId="2" borderId="56" xfId="0" applyFont="1" applyFill="1" applyBorder="1" applyAlignment="1">
      <alignment horizontal="left" vertical="top"/>
    </xf>
    <xf numFmtId="0" fontId="0" fillId="6" borderId="52" xfId="0" applyFill="1" applyBorder="1"/>
    <xf numFmtId="0" fontId="13" fillId="2" borderId="57" xfId="0" applyFont="1" applyFill="1" applyBorder="1" applyAlignment="1">
      <alignment horizontal="left" vertical="center"/>
    </xf>
    <xf numFmtId="0" fontId="13" fillId="2" borderId="51" xfId="0" applyFont="1" applyFill="1" applyBorder="1" applyAlignment="1">
      <alignment horizontal="left" vertical="center"/>
    </xf>
    <xf numFmtId="0" fontId="14" fillId="3" borderId="52" xfId="0" applyFont="1" applyFill="1" applyBorder="1" applyAlignment="1">
      <alignment horizontal="right"/>
    </xf>
    <xf numFmtId="164" fontId="14" fillId="3" borderId="52" xfId="0" applyNumberFormat="1" applyFont="1" applyFill="1" applyBorder="1" applyAlignment="1">
      <alignment horizontal="right"/>
    </xf>
    <xf numFmtId="0" fontId="13" fillId="2" borderId="51" xfId="0" applyFont="1" applyFill="1" applyBorder="1" applyAlignment="1">
      <alignment horizontal="left" vertical="center" wrapText="1"/>
    </xf>
    <xf numFmtId="0" fontId="14" fillId="3" borderId="52" xfId="0" applyFont="1" applyFill="1" applyBorder="1" applyAlignment="1">
      <alignment horizontal="right" wrapText="1"/>
    </xf>
    <xf numFmtId="0" fontId="13" fillId="2" borderId="59" xfId="0" applyFont="1" applyFill="1" applyBorder="1" applyAlignment="1">
      <alignment horizontal="left" vertical="center" wrapText="1"/>
    </xf>
    <xf numFmtId="0" fontId="14" fillId="3" borderId="60" xfId="0" applyFont="1" applyFill="1" applyBorder="1" applyAlignment="1">
      <alignment horizontal="right"/>
    </xf>
    <xf numFmtId="0" fontId="13" fillId="2" borderId="54" xfId="0" applyFont="1" applyFill="1" applyBorder="1" applyAlignment="1">
      <alignment vertical="top"/>
    </xf>
    <xf numFmtId="0" fontId="13" fillId="2" borderId="55" xfId="0" applyFont="1" applyFill="1" applyBorder="1" applyAlignment="1">
      <alignment vertical="top"/>
    </xf>
    <xf numFmtId="0" fontId="13" fillId="2" borderId="56" xfId="0" applyFont="1" applyFill="1" applyBorder="1" applyAlignment="1">
      <alignment vertical="top"/>
    </xf>
    <xf numFmtId="0" fontId="13" fillId="2" borderId="53" xfId="0" applyFont="1" applyFill="1" applyBorder="1" applyAlignment="1">
      <alignment horizontal="left" vertical="top"/>
    </xf>
    <xf numFmtId="0" fontId="13" fillId="2" borderId="61" xfId="0" applyFont="1" applyFill="1" applyBorder="1" applyAlignment="1">
      <alignment horizontal="left" vertical="top"/>
    </xf>
    <xf numFmtId="0" fontId="14" fillId="2" borderId="45" xfId="0" applyFont="1" applyFill="1" applyBorder="1" applyAlignment="1">
      <alignment horizontal="left" vertical="top"/>
    </xf>
    <xf numFmtId="0" fontId="11" fillId="2" borderId="2" xfId="0" applyFont="1" applyFill="1" applyBorder="1" applyAlignment="1">
      <alignment vertical="top"/>
    </xf>
    <xf numFmtId="0" fontId="11" fillId="2" borderId="2" xfId="0" applyFont="1" applyFill="1" applyBorder="1" applyAlignment="1" applyProtection="1">
      <alignment vertical="top"/>
      <protection locked="0"/>
    </xf>
    <xf numFmtId="0" fontId="0" fillId="0" borderId="0" xfId="0" applyProtection="1">
      <protection locked="0"/>
    </xf>
    <xf numFmtId="0" fontId="9" fillId="0" borderId="1" xfId="0" applyFont="1" applyBorder="1" applyAlignment="1" applyProtection="1">
      <alignment horizontal="left" vertical="top" wrapText="1"/>
      <protection locked="0"/>
    </xf>
    <xf numFmtId="0" fontId="8" fillId="0" borderId="1" xfId="0" applyFont="1" applyBorder="1" applyAlignment="1" applyProtection="1">
      <alignment horizontal="left" vertical="top" wrapText="1"/>
      <protection locked="0"/>
    </xf>
    <xf numFmtId="0" fontId="9" fillId="6" borderId="0" xfId="0" applyFont="1" applyFill="1" applyAlignment="1">
      <alignment horizontal="left" vertical="center"/>
    </xf>
    <xf numFmtId="0" fontId="7" fillId="6" borderId="0" xfId="0" applyFont="1" applyFill="1" applyAlignment="1">
      <alignment horizontal="left" vertical="center"/>
    </xf>
    <xf numFmtId="0" fontId="7" fillId="4" borderId="1" xfId="0" applyFont="1" applyFill="1" applyBorder="1"/>
    <xf numFmtId="0" fontId="14" fillId="3" borderId="54" xfId="0" applyFont="1" applyFill="1" applyBorder="1" applyAlignment="1">
      <alignment horizontal="right"/>
    </xf>
    <xf numFmtId="0" fontId="14" fillId="2" borderId="44" xfId="0" applyFont="1" applyFill="1" applyBorder="1" applyAlignment="1">
      <alignment horizontal="left" vertical="top"/>
    </xf>
    <xf numFmtId="0" fontId="14" fillId="2" borderId="62" xfId="0" applyFont="1" applyFill="1" applyBorder="1" applyAlignment="1">
      <alignment horizontal="left" vertical="top"/>
    </xf>
    <xf numFmtId="0" fontId="14" fillId="2" borderId="63" xfId="0" applyFont="1" applyFill="1" applyBorder="1" applyAlignment="1">
      <alignment horizontal="left" vertical="top"/>
    </xf>
    <xf numFmtId="0" fontId="14" fillId="2" borderId="64" xfId="0" applyFont="1" applyFill="1" applyBorder="1" applyAlignment="1">
      <alignment horizontal="left" vertical="top"/>
    </xf>
    <xf numFmtId="0" fontId="14" fillId="2" borderId="65" xfId="0" applyFont="1" applyFill="1" applyBorder="1" applyAlignment="1">
      <alignment horizontal="left" vertical="top"/>
    </xf>
    <xf numFmtId="0" fontId="13" fillId="5" borderId="57" xfId="0" applyFont="1" applyFill="1" applyBorder="1" applyAlignment="1">
      <alignment horizontal="left" vertical="top"/>
    </xf>
    <xf numFmtId="0" fontId="13" fillId="5" borderId="58" xfId="0" applyFont="1" applyFill="1" applyBorder="1" applyAlignment="1">
      <alignment horizontal="left" vertical="top"/>
    </xf>
    <xf numFmtId="0" fontId="14" fillId="3" borderId="56" xfId="0" applyFont="1" applyFill="1" applyBorder="1" applyAlignment="1">
      <alignment horizontal="right"/>
    </xf>
    <xf numFmtId="0" fontId="14" fillId="3" borderId="55" xfId="0" applyFont="1" applyFill="1" applyBorder="1" applyAlignment="1">
      <alignment horizontal="right"/>
    </xf>
    <xf numFmtId="0" fontId="14" fillId="3" borderId="46" xfId="0" applyFont="1" applyFill="1" applyBorder="1" applyAlignment="1">
      <alignment horizontal="center"/>
    </xf>
    <xf numFmtId="0" fontId="0" fillId="7" borderId="46" xfId="0" applyFill="1" applyBorder="1"/>
    <xf numFmtId="0" fontId="0" fillId="0" borderId="46" xfId="0" applyBorder="1"/>
    <xf numFmtId="2" fontId="15" fillId="6" borderId="55" xfId="0" applyNumberFormat="1" applyFont="1" applyFill="1" applyBorder="1" applyAlignment="1">
      <alignment horizontal="right"/>
    </xf>
    <xf numFmtId="0" fontId="15" fillId="6" borderId="54" xfId="0" applyFont="1" applyFill="1" applyBorder="1" applyAlignment="1">
      <alignment horizontal="right"/>
    </xf>
    <xf numFmtId="0" fontId="15" fillId="6" borderId="56" xfId="0" applyFont="1" applyFill="1" applyBorder="1" applyAlignment="1">
      <alignment horizontal="right"/>
    </xf>
    <xf numFmtId="0" fontId="14" fillId="2" borderId="43" xfId="0" applyFont="1" applyFill="1" applyBorder="1" applyAlignment="1">
      <alignment horizontal="left" vertical="top"/>
    </xf>
    <xf numFmtId="0" fontId="0" fillId="7" borderId="54" xfId="0" applyFill="1" applyBorder="1" applyAlignment="1">
      <alignment horizontal="right"/>
    </xf>
    <xf numFmtId="0" fontId="9" fillId="7" borderId="55" xfId="0" applyFont="1" applyFill="1" applyBorder="1" applyAlignment="1">
      <alignment horizontal="right"/>
    </xf>
    <xf numFmtId="14" fontId="0" fillId="7" borderId="56" xfId="0" applyNumberFormat="1" applyFill="1" applyBorder="1" applyAlignment="1">
      <alignment horizontal="right"/>
    </xf>
    <xf numFmtId="164" fontId="9" fillId="7" borderId="54" xfId="0" applyNumberFormat="1" applyFont="1" applyFill="1" applyBorder="1" applyAlignment="1">
      <alignment horizontal="right"/>
    </xf>
    <xf numFmtId="14" fontId="0" fillId="7" borderId="55" xfId="0" applyNumberFormat="1" applyFill="1" applyBorder="1" applyAlignment="1">
      <alignment horizontal="right"/>
    </xf>
    <xf numFmtId="0" fontId="9" fillId="7" borderId="56" xfId="0" applyFont="1" applyFill="1" applyBorder="1" applyAlignment="1">
      <alignment horizontal="right"/>
    </xf>
    <xf numFmtId="14" fontId="14" fillId="3" borderId="52" xfId="0" applyNumberFormat="1" applyFont="1" applyFill="1" applyBorder="1" applyAlignment="1">
      <alignment horizontal="right"/>
    </xf>
    <xf numFmtId="0" fontId="14" fillId="4" borderId="46" xfId="0" applyFont="1" applyFill="1" applyBorder="1" applyAlignment="1">
      <alignment horizontal="center"/>
    </xf>
    <xf numFmtId="0" fontId="11" fillId="0" borderId="46" xfId="0" applyFont="1" applyBorder="1"/>
    <xf numFmtId="0" fontId="14" fillId="0" borderId="70" xfId="0" applyFont="1" applyBorder="1" applyAlignment="1">
      <alignment horizontal="right"/>
    </xf>
    <xf numFmtId="2" fontId="14" fillId="0" borderId="70" xfId="0" applyNumberFormat="1" applyFont="1" applyBorder="1" applyAlignment="1">
      <alignment horizontal="right"/>
    </xf>
    <xf numFmtId="0" fontId="17" fillId="0" borderId="70" xfId="0" applyFont="1" applyBorder="1" applyAlignment="1">
      <alignment horizontal="right"/>
    </xf>
    <xf numFmtId="0" fontId="14" fillId="0" borderId="72" xfId="0" applyFont="1" applyBorder="1" applyAlignment="1">
      <alignment horizontal="right"/>
    </xf>
    <xf numFmtId="2" fontId="14" fillId="0" borderId="72" xfId="0" applyNumberFormat="1" applyFont="1" applyBorder="1" applyAlignment="1">
      <alignment horizontal="right"/>
    </xf>
    <xf numFmtId="0" fontId="14" fillId="0" borderId="74" xfId="0" applyFont="1" applyBorder="1" applyAlignment="1">
      <alignment horizontal="right"/>
    </xf>
    <xf numFmtId="2" fontId="14" fillId="0" borderId="74" xfId="0" applyNumberFormat="1" applyFont="1" applyBorder="1" applyAlignment="1">
      <alignment horizontal="right"/>
    </xf>
    <xf numFmtId="0" fontId="14" fillId="0" borderId="77" xfId="0" applyFont="1" applyBorder="1" applyAlignment="1">
      <alignment horizontal="right"/>
    </xf>
    <xf numFmtId="0" fontId="14" fillId="9" borderId="70" xfId="0" applyFont="1" applyFill="1" applyBorder="1" applyAlignment="1">
      <alignment horizontal="right"/>
    </xf>
    <xf numFmtId="0" fontId="14" fillId="10" borderId="52" xfId="0" applyFont="1" applyFill="1" applyBorder="1" applyAlignment="1">
      <alignment horizontal="right" wrapText="1"/>
    </xf>
    <xf numFmtId="0" fontId="14" fillId="0" borderId="46" xfId="0" applyFont="1" applyBorder="1" applyAlignment="1">
      <alignment horizontal="right"/>
    </xf>
    <xf numFmtId="0" fontId="15" fillId="0" borderId="46" xfId="0" applyFont="1" applyBorder="1" applyAlignment="1">
      <alignment horizontal="right"/>
    </xf>
    <xf numFmtId="0" fontId="6" fillId="0" borderId="46" xfId="0" applyFont="1" applyBorder="1" applyAlignment="1">
      <alignment horizontal="right"/>
    </xf>
    <xf numFmtId="0" fontId="14" fillId="0" borderId="46" xfId="0" quotePrefix="1" applyFont="1" applyBorder="1" applyAlignment="1">
      <alignment horizontal="right"/>
    </xf>
    <xf numFmtId="0" fontId="14" fillId="2" borderId="57" xfId="0" applyFont="1" applyFill="1" applyBorder="1" applyAlignment="1">
      <alignment horizontal="left" vertical="top"/>
    </xf>
    <xf numFmtId="0" fontId="14" fillId="2" borderId="66" xfId="0" applyFont="1" applyFill="1" applyBorder="1" applyAlignment="1">
      <alignment horizontal="left" vertical="top"/>
    </xf>
    <xf numFmtId="0" fontId="9" fillId="2" borderId="66" xfId="0" applyFont="1" applyFill="1" applyBorder="1" applyAlignment="1">
      <alignment horizontal="left" vertical="top"/>
    </xf>
    <xf numFmtId="0" fontId="14" fillId="2" borderId="58" xfId="0" applyFont="1" applyFill="1" applyBorder="1" applyAlignment="1">
      <alignment horizontal="left" vertical="top"/>
    </xf>
    <xf numFmtId="0" fontId="14" fillId="0" borderId="69" xfId="0" applyFont="1" applyBorder="1" applyAlignment="1">
      <alignment horizontal="right"/>
    </xf>
    <xf numFmtId="0" fontId="15" fillId="0" borderId="70" xfId="0" applyFont="1" applyBorder="1" applyAlignment="1">
      <alignment horizontal="right"/>
    </xf>
    <xf numFmtId="0" fontId="6" fillId="0" borderId="70" xfId="0" applyFont="1" applyBorder="1" applyAlignment="1">
      <alignment horizontal="right"/>
    </xf>
    <xf numFmtId="0" fontId="14" fillId="0" borderId="73" xfId="0" applyFont="1" applyBorder="1" applyAlignment="1">
      <alignment horizontal="right"/>
    </xf>
    <xf numFmtId="0" fontId="15" fillId="0" borderId="74" xfId="0" applyFont="1" applyBorder="1" applyAlignment="1">
      <alignment horizontal="right"/>
    </xf>
    <xf numFmtId="0" fontId="6" fillId="0" borderId="74" xfId="0" applyFont="1" applyBorder="1" applyAlignment="1">
      <alignment horizontal="right"/>
    </xf>
    <xf numFmtId="0" fontId="14" fillId="0" borderId="77" xfId="0" quotePrefix="1" applyFont="1" applyBorder="1" applyAlignment="1">
      <alignment horizontal="right"/>
    </xf>
    <xf numFmtId="0" fontId="14" fillId="3" borderId="46" xfId="0" applyFont="1" applyFill="1" applyBorder="1"/>
    <xf numFmtId="0" fontId="14" fillId="4" borderId="36" xfId="0" applyFont="1" applyFill="1" applyBorder="1"/>
    <xf numFmtId="0" fontId="11" fillId="4" borderId="36" xfId="0" applyFont="1" applyFill="1" applyBorder="1"/>
    <xf numFmtId="0" fontId="11" fillId="0" borderId="78" xfId="0" applyFont="1" applyBorder="1" applyAlignment="1">
      <alignment horizontal="right"/>
    </xf>
    <xf numFmtId="0" fontId="11" fillId="0" borderId="79" xfId="0" applyFont="1" applyBorder="1" applyAlignment="1">
      <alignment horizontal="right" vertical="center"/>
    </xf>
    <xf numFmtId="0" fontId="14" fillId="0" borderId="79" xfId="0" applyFont="1" applyBorder="1" applyAlignment="1">
      <alignment horizontal="right" vertical="center"/>
    </xf>
    <xf numFmtId="0" fontId="9" fillId="0" borderId="79" xfId="0" applyFont="1" applyBorder="1" applyAlignment="1">
      <alignment horizontal="right" vertical="center"/>
    </xf>
    <xf numFmtId="0" fontId="11" fillId="0" borderId="79" xfId="0" applyFont="1" applyBorder="1" applyAlignment="1">
      <alignment horizontal="right"/>
    </xf>
    <xf numFmtId="0" fontId="14" fillId="0" borderId="80" xfId="0" applyFont="1" applyBorder="1" applyAlignment="1">
      <alignment horizontal="right"/>
    </xf>
    <xf numFmtId="0" fontId="14" fillId="3" borderId="46" xfId="0" applyFont="1" applyFill="1" applyBorder="1" applyAlignment="1">
      <alignment horizontal="center" vertical="center"/>
    </xf>
    <xf numFmtId="2" fontId="11" fillId="0" borderId="72" xfId="0" applyNumberFormat="1" applyFont="1" applyBorder="1" applyAlignment="1">
      <alignment horizontal="right"/>
    </xf>
    <xf numFmtId="0" fontId="11" fillId="0" borderId="72" xfId="0" applyFont="1" applyBorder="1" applyAlignment="1">
      <alignment horizontal="right"/>
    </xf>
    <xf numFmtId="0" fontId="8" fillId="0" borderId="72" xfId="0" applyFont="1" applyBorder="1" applyAlignment="1">
      <alignment horizontal="right"/>
    </xf>
    <xf numFmtId="2" fontId="11" fillId="0" borderId="74" xfId="0" applyNumberFormat="1" applyFont="1" applyBorder="1" applyAlignment="1">
      <alignment horizontal="right"/>
    </xf>
    <xf numFmtId="0" fontId="11" fillId="0" borderId="74" xfId="0" applyFont="1" applyBorder="1" applyAlignment="1">
      <alignment horizontal="right"/>
    </xf>
    <xf numFmtId="0" fontId="8" fillId="0" borderId="74" xfId="0" applyFont="1" applyBorder="1" applyAlignment="1">
      <alignment horizontal="right"/>
    </xf>
    <xf numFmtId="0" fontId="14" fillId="0" borderId="71" xfId="0" applyFont="1" applyBorder="1" applyAlignment="1">
      <alignment horizontal="right" vertical="top"/>
    </xf>
    <xf numFmtId="164" fontId="14" fillId="0" borderId="72" xfId="0" applyNumberFormat="1" applyFont="1" applyBorder="1" applyAlignment="1">
      <alignment horizontal="right"/>
    </xf>
    <xf numFmtId="0" fontId="0" fillId="0" borderId="72" xfId="0" applyBorder="1" applyAlignment="1">
      <alignment horizontal="right"/>
    </xf>
    <xf numFmtId="0" fontId="14" fillId="0" borderId="73" xfId="0" applyFont="1" applyBorder="1" applyAlignment="1">
      <alignment horizontal="right" vertical="top"/>
    </xf>
    <xf numFmtId="164" fontId="14" fillId="0" borderId="74" xfId="0" applyNumberFormat="1" applyFont="1" applyBorder="1" applyAlignment="1">
      <alignment horizontal="right"/>
    </xf>
    <xf numFmtId="0" fontId="0" fillId="0" borderId="74" xfId="0" applyBorder="1" applyAlignment="1">
      <alignment horizontal="right"/>
    </xf>
    <xf numFmtId="0" fontId="14" fillId="11" borderId="49" xfId="0" applyFont="1" applyFill="1" applyBorder="1" applyAlignment="1">
      <alignment vertical="top" wrapText="1"/>
    </xf>
    <xf numFmtId="0" fontId="14" fillId="11" borderId="49" xfId="0" applyFont="1" applyFill="1" applyBorder="1" applyAlignment="1">
      <alignment horizontal="left" vertical="top" wrapText="1"/>
    </xf>
    <xf numFmtId="0" fontId="14" fillId="9" borderId="44" xfId="0" applyFont="1" applyFill="1" applyBorder="1" applyAlignment="1">
      <alignment horizontal="right"/>
    </xf>
    <xf numFmtId="0" fontId="11" fillId="9" borderId="44" xfId="0" applyFont="1" applyFill="1" applyBorder="1" applyAlignment="1">
      <alignment horizontal="right"/>
    </xf>
    <xf numFmtId="0" fontId="14" fillId="9" borderId="45" xfId="0" applyFont="1" applyFill="1" applyBorder="1" applyAlignment="1">
      <alignment horizontal="right"/>
    </xf>
    <xf numFmtId="0" fontId="14" fillId="9" borderId="46" xfId="0" applyFont="1" applyFill="1" applyBorder="1" applyAlignment="1">
      <alignment horizontal="right"/>
    </xf>
    <xf numFmtId="0" fontId="11" fillId="9" borderId="46" xfId="0" applyFont="1" applyFill="1" applyBorder="1" applyAlignment="1">
      <alignment horizontal="right"/>
    </xf>
    <xf numFmtId="0" fontId="14" fillId="9" borderId="12" xfId="0" applyFont="1" applyFill="1" applyBorder="1" applyAlignment="1">
      <alignment horizontal="right"/>
    </xf>
    <xf numFmtId="0" fontId="14" fillId="9" borderId="67" xfId="0" applyFont="1" applyFill="1" applyBorder="1" applyAlignment="1">
      <alignment horizontal="right"/>
    </xf>
    <xf numFmtId="0" fontId="11" fillId="9" borderId="67" xfId="0" applyFont="1" applyFill="1" applyBorder="1" applyAlignment="1">
      <alignment horizontal="right"/>
    </xf>
    <xf numFmtId="0" fontId="14" fillId="9" borderId="68" xfId="0" applyFont="1" applyFill="1" applyBorder="1" applyAlignment="1">
      <alignment horizontal="right"/>
    </xf>
    <xf numFmtId="0" fontId="0" fillId="9" borderId="52" xfId="0" applyFill="1" applyBorder="1" applyAlignment="1">
      <alignment horizontal="right"/>
    </xf>
    <xf numFmtId="0" fontId="14" fillId="10" borderId="58" xfId="0" applyFont="1" applyFill="1" applyBorder="1" applyAlignment="1">
      <alignment horizontal="right"/>
    </xf>
    <xf numFmtId="0" fontId="14" fillId="0" borderId="81" xfId="0" applyFont="1" applyBorder="1" applyAlignment="1">
      <alignment horizontal="right"/>
    </xf>
    <xf numFmtId="0" fontId="15" fillId="0" borderId="82" xfId="0" applyFont="1" applyBorder="1" applyAlignment="1">
      <alignment horizontal="right"/>
    </xf>
    <xf numFmtId="0" fontId="14" fillId="0" borderId="82" xfId="0" applyFont="1" applyBorder="1" applyAlignment="1">
      <alignment horizontal="right"/>
    </xf>
    <xf numFmtId="0" fontId="6" fillId="0" borderId="82" xfId="0" applyFont="1" applyBorder="1" applyAlignment="1">
      <alignment horizontal="right"/>
    </xf>
    <xf numFmtId="0" fontId="14" fillId="0" borderId="83" xfId="0" quotePrefix="1" applyFont="1" applyBorder="1" applyAlignment="1">
      <alignment horizontal="right"/>
    </xf>
    <xf numFmtId="0" fontId="14" fillId="2" borderId="54" xfId="0" applyFont="1" applyFill="1" applyBorder="1" applyAlignment="1">
      <alignment horizontal="left" vertical="top"/>
    </xf>
    <xf numFmtId="0" fontId="14" fillId="2" borderId="55" xfId="0" applyFont="1" applyFill="1" applyBorder="1" applyAlignment="1">
      <alignment horizontal="left" vertical="top"/>
    </xf>
    <xf numFmtId="0" fontId="9" fillId="2" borderId="55" xfId="0" applyFont="1" applyFill="1" applyBorder="1" applyAlignment="1">
      <alignment horizontal="left" vertical="top"/>
    </xf>
    <xf numFmtId="0" fontId="14" fillId="2" borderId="56" xfId="0" applyFont="1" applyFill="1" applyBorder="1" applyAlignment="1">
      <alignment horizontal="left" vertical="top"/>
    </xf>
    <xf numFmtId="0" fontId="9" fillId="0" borderId="84" xfId="0" applyFont="1" applyBorder="1" applyAlignment="1">
      <alignment horizontal="right"/>
    </xf>
    <xf numFmtId="0" fontId="14" fillId="0" borderId="85" xfId="0" applyFont="1" applyBorder="1" applyAlignment="1">
      <alignment horizontal="right"/>
    </xf>
    <xf numFmtId="2" fontId="14" fillId="0" borderId="85" xfId="0" applyNumberFormat="1" applyFont="1" applyBorder="1" applyAlignment="1">
      <alignment horizontal="right"/>
    </xf>
    <xf numFmtId="0" fontId="17" fillId="0" borderId="85" xfId="0" applyFont="1" applyBorder="1" applyAlignment="1">
      <alignment horizontal="right"/>
    </xf>
    <xf numFmtId="0" fontId="14" fillId="9" borderId="85" xfId="0" applyFont="1" applyFill="1" applyBorder="1" applyAlignment="1">
      <alignment horizontal="right"/>
    </xf>
    <xf numFmtId="0" fontId="14" fillId="0" borderId="86" xfId="0" applyFont="1" applyBorder="1" applyAlignment="1">
      <alignment horizontal="right"/>
    </xf>
    <xf numFmtId="0" fontId="9" fillId="0" borderId="87" xfId="0" applyFont="1" applyBorder="1" applyAlignment="1">
      <alignment horizontal="right"/>
    </xf>
    <xf numFmtId="0" fontId="14" fillId="0" borderId="88" xfId="0" applyFont="1" applyBorder="1" applyAlignment="1">
      <alignment horizontal="right"/>
    </xf>
    <xf numFmtId="0" fontId="4" fillId="0" borderId="87" xfId="0" applyFont="1" applyBorder="1" applyAlignment="1">
      <alignment horizontal="right"/>
    </xf>
    <xf numFmtId="0" fontId="9" fillId="0" borderId="89" xfId="0" applyFont="1" applyBorder="1" applyAlignment="1">
      <alignment horizontal="right"/>
    </xf>
    <xf numFmtId="0" fontId="14" fillId="0" borderId="90" xfId="0" applyFont="1" applyBorder="1" applyAlignment="1">
      <alignment horizontal="right"/>
    </xf>
    <xf numFmtId="2" fontId="14" fillId="0" borderId="90" xfId="0" applyNumberFormat="1" applyFont="1" applyBorder="1" applyAlignment="1">
      <alignment horizontal="right"/>
    </xf>
    <xf numFmtId="0" fontId="17" fillId="0" borderId="90" xfId="0" applyFont="1" applyBorder="1" applyAlignment="1">
      <alignment horizontal="right"/>
    </xf>
    <xf numFmtId="0" fontId="14" fillId="9" borderId="90" xfId="0" applyFont="1" applyFill="1" applyBorder="1" applyAlignment="1">
      <alignment horizontal="right"/>
    </xf>
    <xf numFmtId="0" fontId="14" fillId="0" borderId="91" xfId="0" applyFont="1" applyBorder="1" applyAlignment="1">
      <alignment horizontal="right"/>
    </xf>
    <xf numFmtId="0" fontId="14" fillId="0" borderId="92" xfId="0" applyFont="1" applyBorder="1" applyAlignment="1">
      <alignment horizontal="right"/>
    </xf>
    <xf numFmtId="0" fontId="14" fillId="10" borderId="56" xfId="0" applyFont="1" applyFill="1" applyBorder="1" applyAlignment="1">
      <alignment horizontal="right"/>
    </xf>
    <xf numFmtId="0" fontId="4" fillId="0" borderId="73" xfId="0" applyFont="1" applyBorder="1" applyAlignment="1">
      <alignment horizontal="right"/>
    </xf>
    <xf numFmtId="0" fontId="4" fillId="0" borderId="71" xfId="0" applyFont="1" applyBorder="1" applyAlignment="1">
      <alignment horizontal="right"/>
    </xf>
    <xf numFmtId="0" fontId="4" fillId="0" borderId="93" xfId="0" applyFont="1" applyBorder="1" applyAlignment="1">
      <alignment horizontal="right"/>
    </xf>
    <xf numFmtId="0" fontId="14" fillId="0" borderId="94" xfId="0" applyFont="1" applyBorder="1" applyAlignment="1">
      <alignment horizontal="right"/>
    </xf>
    <xf numFmtId="2" fontId="11" fillId="0" borderId="94" xfId="0" applyNumberFormat="1" applyFont="1" applyBorder="1" applyAlignment="1">
      <alignment horizontal="right"/>
    </xf>
    <xf numFmtId="0" fontId="11" fillId="0" borderId="94" xfId="0" applyFont="1" applyBorder="1" applyAlignment="1">
      <alignment horizontal="right"/>
    </xf>
    <xf numFmtId="0" fontId="14" fillId="0" borderId="95" xfId="0" applyFont="1" applyBorder="1" applyAlignment="1">
      <alignment horizontal="right"/>
    </xf>
    <xf numFmtId="0" fontId="14" fillId="9" borderId="75" xfId="0" applyFont="1" applyFill="1" applyBorder="1" applyAlignment="1">
      <alignment horizontal="right" vertical="top"/>
    </xf>
    <xf numFmtId="0" fontId="14" fillId="9" borderId="77" xfId="0" applyFont="1" applyFill="1" applyBorder="1" applyAlignment="1">
      <alignment horizontal="right" vertical="top"/>
    </xf>
    <xf numFmtId="2" fontId="14" fillId="9" borderId="72" xfId="0" applyNumberFormat="1" applyFont="1" applyFill="1" applyBorder="1" applyAlignment="1">
      <alignment horizontal="right"/>
    </xf>
    <xf numFmtId="2" fontId="14" fillId="9" borderId="74" xfId="0" applyNumberFormat="1" applyFont="1" applyFill="1" applyBorder="1" applyAlignment="1">
      <alignment horizontal="right"/>
    </xf>
    <xf numFmtId="0" fontId="3" fillId="0" borderId="72" xfId="0" applyFont="1" applyBorder="1" applyAlignment="1">
      <alignment horizontal="right"/>
    </xf>
    <xf numFmtId="0" fontId="3" fillId="0" borderId="94" xfId="0" applyFont="1" applyBorder="1" applyAlignment="1">
      <alignment horizontal="right"/>
    </xf>
    <xf numFmtId="0" fontId="3" fillId="0" borderId="74" xfId="0" applyFont="1" applyBorder="1" applyAlignment="1">
      <alignment horizontal="right"/>
    </xf>
    <xf numFmtId="0" fontId="14" fillId="0" borderId="76" xfId="0" quotePrefix="1" applyFont="1" applyBorder="1" applyAlignment="1">
      <alignment horizontal="right"/>
    </xf>
    <xf numFmtId="0" fontId="14" fillId="0" borderId="75" xfId="0" applyFont="1" applyBorder="1" applyAlignment="1">
      <alignment horizontal="right"/>
    </xf>
    <xf numFmtId="0" fontId="14" fillId="0" borderId="52" xfId="0" applyFont="1" applyBorder="1" applyAlignment="1">
      <alignment horizontal="right" vertical="center"/>
    </xf>
    <xf numFmtId="0" fontId="14" fillId="9" borderId="52" xfId="0" applyFont="1" applyFill="1" applyBorder="1" applyAlignment="1">
      <alignment horizontal="right"/>
    </xf>
    <xf numFmtId="0" fontId="2" fillId="0" borderId="0" xfId="0" applyFont="1" applyAlignment="1">
      <alignment wrapText="1"/>
    </xf>
    <xf numFmtId="0" fontId="10" fillId="12" borderId="96" xfId="0" applyFont="1" applyFill="1" applyBorder="1" applyAlignment="1">
      <alignment wrapText="1"/>
    </xf>
  </cellXfs>
  <cellStyles count="4">
    <cellStyle name="Normal" xfId="0" builtinId="0"/>
    <cellStyle name="Normal 2" xfId="1" xr:uid="{15B5984B-4EE4-4A35-88CA-1D33B63AE2B6}"/>
    <cellStyle name="Normal 3" xfId="2" xr:uid="{AB8D9973-7796-4B68-8D28-BC086092D458}"/>
    <cellStyle name="Normal 4" xfId="3" xr:uid="{7FC1EEAD-F2C8-461A-AB06-788EF29667F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2880360</xdr:colOff>
      <xdr:row>26</xdr:row>
      <xdr:rowOff>0</xdr:rowOff>
    </xdr:from>
    <xdr:to>
      <xdr:col>13</xdr:col>
      <xdr:colOff>678180</xdr:colOff>
      <xdr:row>41</xdr:row>
      <xdr:rowOff>26670</xdr:rowOff>
    </xdr:to>
    <xdr:pic>
      <xdr:nvPicPr>
        <xdr:cNvPr id="3" name="Picture 2">
          <a:extLst>
            <a:ext uri="{FF2B5EF4-FFF2-40B4-BE49-F238E27FC236}">
              <a16:creationId xmlns:a16="http://schemas.microsoft.com/office/drawing/2014/main" id="{44E57F2B-5A2C-4D6B-AC36-BC81C85EC5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760160" y="6416040"/>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4968240</xdr:colOff>
      <xdr:row>20</xdr:row>
      <xdr:rowOff>190500</xdr:rowOff>
    </xdr:from>
    <xdr:to>
      <xdr:col>0</xdr:col>
      <xdr:colOff>8940165</xdr:colOff>
      <xdr:row>33</xdr:row>
      <xdr:rowOff>57150</xdr:rowOff>
    </xdr:to>
    <xdr:pic>
      <xdr:nvPicPr>
        <xdr:cNvPr id="3" name="Graphic 2">
          <a:extLst>
            <a:ext uri="{FF2B5EF4-FFF2-40B4-BE49-F238E27FC236}">
              <a16:creationId xmlns:a16="http://schemas.microsoft.com/office/drawing/2014/main" id="{EBA6988D-A146-1F66-EBAE-16770E0CADC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68240" y="4152900"/>
          <a:ext cx="3971925" cy="22669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9EB958B2-AC98-4EEA-B5B1-0A0ADB7BC7A5}"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K24" dT="2026-05-05T18:27:44.79" personId="{9EB958B2-AC98-4EEA-B5B1-0A0ADB7BC7A5}" id="{C53B5B45-70FF-4643-B8B2-199EBE973B19}">
    <text>Computed from Q = m*cp*dT</text>
  </threadedComment>
  <threadedComment ref="K25" dT="2026-05-05T18:28:22.37" personId="{9EB958B2-AC98-4EEA-B5B1-0A0ADB7BC7A5}" id="{B32B7AD1-2AB0-4418-BDAB-6BED148184EB}">
    <text>Assumed to be water at constant cp</text>
  </threadedComment>
  <threadedComment ref="M25" dT="2026-05-05T18:28:01.44" personId="{9EB958B2-AC98-4EEA-B5B1-0A0ADB7BC7A5}" id="{9E675225-93D7-41E7-B3AC-C3FFB1F86C71}">
    <text>Computed from Q = m*cp*dT</text>
  </threadedComment>
</ThreadedComment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35" customWidth="1"/>
    <col min="3" max="3" width="29.44140625" customWidth="1"/>
  </cols>
  <sheetData>
    <row r="2" spans="1:2" ht="37.799999999999997" customHeight="1" x14ac:dyDescent="0.3">
      <c r="A2" s="84" t="s">
        <v>0</v>
      </c>
      <c r="B2" s="136" t="s">
        <v>1</v>
      </c>
    </row>
    <row r="3" spans="1:2" ht="15" customHeight="1" x14ac:dyDescent="0.3">
      <c r="A3" s="133"/>
      <c r="B3" s="134"/>
    </row>
    <row r="4" spans="1:2" ht="23.55" customHeight="1" x14ac:dyDescent="0.3">
      <c r="A4" s="84" t="s">
        <v>123</v>
      </c>
      <c r="B4" s="137" t="s">
        <v>124</v>
      </c>
    </row>
    <row r="5" spans="1:2" ht="14.4" x14ac:dyDescent="0.3">
      <c r="A5" s="133"/>
      <c r="B5" s="134"/>
    </row>
    <row r="6" spans="1:2" ht="72.45" customHeight="1" x14ac:dyDescent="0.3">
      <c r="A6" s="84" t="s">
        <v>2</v>
      </c>
      <c r="B6" s="137" t="s">
        <v>125</v>
      </c>
    </row>
    <row r="7" spans="1:2" ht="14.4" x14ac:dyDescent="0.3">
      <c r="A7" s="133"/>
      <c r="B7" s="134"/>
    </row>
    <row r="8" spans="1:2" ht="39.450000000000003" customHeight="1" x14ac:dyDescent="0.3">
      <c r="A8" s="84" t="s">
        <v>3</v>
      </c>
      <c r="B8" s="136" t="s">
        <v>4</v>
      </c>
    </row>
    <row r="9" spans="1:2" ht="14.4" x14ac:dyDescent="0.3">
      <c r="A9" s="133"/>
      <c r="B9" s="134"/>
    </row>
    <row r="10" spans="1:2" ht="55.8" customHeight="1" x14ac:dyDescent="0.3">
      <c r="A10" s="84" t="s">
        <v>5</v>
      </c>
      <c r="B10" s="137"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85" zoomScaleNormal="8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6"/>
  </cols>
  <sheetData>
    <row r="1" spans="1:4" ht="14.4" x14ac:dyDescent="0.3">
      <c r="A1" s="119" t="s">
        <v>66</v>
      </c>
      <c r="B1" s="226"/>
      <c r="C1" s="2"/>
      <c r="D1" s="11" t="s">
        <v>101</v>
      </c>
    </row>
    <row r="2" spans="1:4" ht="14.4" x14ac:dyDescent="0.3">
      <c r="A2" s="120" t="s">
        <v>67</v>
      </c>
      <c r="B2" s="121" t="s">
        <v>235</v>
      </c>
      <c r="D2" s="138" t="s">
        <v>6</v>
      </c>
    </row>
    <row r="3" spans="1:4" ht="14.4" x14ac:dyDescent="0.3">
      <c r="A3" s="120" t="s">
        <v>68</v>
      </c>
      <c r="B3" s="121" t="s">
        <v>234</v>
      </c>
      <c r="C3" s="86"/>
      <c r="D3" s="139" t="s">
        <v>132</v>
      </c>
    </row>
    <row r="4" spans="1:4" ht="14.4" x14ac:dyDescent="0.3">
      <c r="A4" s="120" t="s">
        <v>80</v>
      </c>
      <c r="B4" s="121" t="s">
        <v>81</v>
      </c>
      <c r="C4" s="86"/>
      <c r="D4" s="139" t="s">
        <v>133</v>
      </c>
    </row>
    <row r="5" spans="1:4" ht="14.4" x14ac:dyDescent="0.3">
      <c r="A5" s="120" t="s">
        <v>71</v>
      </c>
      <c r="B5" s="164">
        <v>46133</v>
      </c>
      <c r="C5" s="86"/>
      <c r="D5" s="138" t="s">
        <v>9</v>
      </c>
    </row>
    <row r="6" spans="1:4" ht="14.4" x14ac:dyDescent="0.3">
      <c r="A6" s="120" t="s">
        <v>75</v>
      </c>
      <c r="B6" s="164">
        <v>46133</v>
      </c>
      <c r="C6" s="86"/>
      <c r="D6" s="138" t="s">
        <v>13</v>
      </c>
    </row>
    <row r="7" spans="1:4" ht="14.4" x14ac:dyDescent="0.3">
      <c r="A7" s="120" t="s">
        <v>83</v>
      </c>
      <c r="B7" s="121" t="s">
        <v>84</v>
      </c>
      <c r="D7" s="139" t="s">
        <v>134</v>
      </c>
    </row>
    <row r="8" spans="1:4" ht="14.4" x14ac:dyDescent="0.3">
      <c r="A8" s="120" t="s">
        <v>69</v>
      </c>
      <c r="B8" s="122" t="s">
        <v>94</v>
      </c>
      <c r="C8" s="86"/>
      <c r="D8" s="139" t="s">
        <v>130</v>
      </c>
    </row>
    <row r="9" spans="1:4" ht="14.4" x14ac:dyDescent="0.3">
      <c r="A9" s="120" t="s">
        <v>70</v>
      </c>
      <c r="B9" s="121" t="s">
        <v>8</v>
      </c>
      <c r="C9" s="86"/>
      <c r="D9" s="139" t="s">
        <v>131</v>
      </c>
    </row>
    <row r="10" spans="1:4" ht="14.4" x14ac:dyDescent="0.3">
      <c r="A10" s="120" t="s">
        <v>102</v>
      </c>
      <c r="B10" s="118">
        <v>1</v>
      </c>
      <c r="D10" s="139" t="s">
        <v>135</v>
      </c>
    </row>
    <row r="11" spans="1:4" ht="14.4" x14ac:dyDescent="0.3">
      <c r="A11" s="120" t="s">
        <v>73</v>
      </c>
      <c r="B11" s="121" t="s">
        <v>10</v>
      </c>
      <c r="C11" s="86"/>
      <c r="D11" s="139" t="s">
        <v>136</v>
      </c>
    </row>
    <row r="12" spans="1:4" ht="28.8" x14ac:dyDescent="0.3">
      <c r="A12" s="123" t="s">
        <v>77</v>
      </c>
      <c r="B12" s="269" t="str">
        <f>TEXT(CogenFuel,0)&amp; "kW of natural gas consumption"</f>
        <v>1000kW of natural gas consumption</v>
      </c>
      <c r="C12" s="1"/>
      <c r="D12" s="139" t="s">
        <v>137</v>
      </c>
    </row>
    <row r="13" spans="1:4" ht="21.45" customHeight="1" x14ac:dyDescent="0.3">
      <c r="A13" s="123" t="s">
        <v>43</v>
      </c>
      <c r="B13" s="121">
        <v>9</v>
      </c>
      <c r="C13" s="1"/>
      <c r="D13" s="139" t="s">
        <v>138</v>
      </c>
    </row>
    <row r="14" spans="1:4" ht="14.4" x14ac:dyDescent="0.3">
      <c r="A14" s="120" t="s">
        <v>76</v>
      </c>
      <c r="B14" s="270" t="s">
        <v>239</v>
      </c>
      <c r="C14" s="85"/>
      <c r="D14" s="138" t="s">
        <v>14</v>
      </c>
    </row>
    <row r="15" spans="1:4" ht="14.4" x14ac:dyDescent="0.3">
      <c r="A15" s="123" t="s">
        <v>15</v>
      </c>
      <c r="B15" s="124" t="s">
        <v>240</v>
      </c>
      <c r="C15" s="1"/>
      <c r="D15" s="138" t="s">
        <v>128</v>
      </c>
    </row>
    <row r="16" spans="1:4" ht="14.4" x14ac:dyDescent="0.3">
      <c r="A16" s="123" t="s">
        <v>78</v>
      </c>
      <c r="B16" s="225"/>
      <c r="C16" s="1"/>
      <c r="D16" s="138" t="s">
        <v>127</v>
      </c>
    </row>
    <row r="17" spans="1:4" ht="14.4" x14ac:dyDescent="0.3">
      <c r="A17" s="123" t="s">
        <v>82</v>
      </c>
      <c r="B17" s="225"/>
      <c r="C17" s="1"/>
      <c r="D17" s="139" t="s">
        <v>139</v>
      </c>
    </row>
    <row r="18" spans="1:4" ht="20.55" customHeight="1" x14ac:dyDescent="0.3">
      <c r="A18" s="120" t="s">
        <v>72</v>
      </c>
      <c r="B18" s="176" t="s">
        <v>236</v>
      </c>
      <c r="C18" s="86"/>
      <c r="D18" s="139" t="s">
        <v>140</v>
      </c>
    </row>
    <row r="19" spans="1:4" ht="14.4" x14ac:dyDescent="0.3">
      <c r="A19" s="120" t="s">
        <v>74</v>
      </c>
      <c r="B19" s="121" t="s">
        <v>153</v>
      </c>
      <c r="C19" s="86"/>
      <c r="D19" s="138" t="s">
        <v>11</v>
      </c>
    </row>
    <row r="20" spans="1:4" ht="14.4" x14ac:dyDescent="0.3">
      <c r="A20" s="120" t="s">
        <v>99</v>
      </c>
      <c r="B20" s="121" t="s">
        <v>153</v>
      </c>
      <c r="C20" s="86"/>
      <c r="D20" s="139" t="s">
        <v>141</v>
      </c>
    </row>
    <row r="21" spans="1:4" ht="15.75" customHeight="1" x14ac:dyDescent="0.3">
      <c r="A21" s="123" t="s">
        <v>79</v>
      </c>
      <c r="B21" s="121" t="s">
        <v>237</v>
      </c>
      <c r="C21" s="1"/>
      <c r="D21" s="139" t="s">
        <v>142</v>
      </c>
    </row>
    <row r="22" spans="1:4" ht="14.4" x14ac:dyDescent="0.3">
      <c r="A22" s="120" t="s">
        <v>12</v>
      </c>
      <c r="B22" s="225"/>
      <c r="C22" s="86"/>
      <c r="D22" s="139" t="s">
        <v>143</v>
      </c>
    </row>
    <row r="23" spans="1:4" ht="15.75" customHeight="1" thickBot="1" x14ac:dyDescent="0.35">
      <c r="A23" s="125" t="s">
        <v>85</v>
      </c>
      <c r="B23" s="126" t="s">
        <v>97</v>
      </c>
      <c r="C23" s="1"/>
      <c r="D23" s="139"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56"/>
  <sheetViews>
    <sheetView showGridLines="0" zoomScale="55" zoomScaleNormal="55" workbookViewId="0">
      <selection activeCell="E49" sqref="E49"/>
    </sheetView>
  </sheetViews>
  <sheetFormatPr defaultColWidth="14.44140625" defaultRowHeight="15" customHeight="1" x14ac:dyDescent="0.3"/>
  <cols>
    <col min="1" max="1" width="42.6640625" style="83" customWidth="1"/>
    <col min="2" max="2" width="19.44140625" style="83" bestFit="1" customWidth="1"/>
    <col min="3" max="3" width="17.33203125" style="83" customWidth="1"/>
    <col min="4" max="4" width="20.109375" style="83" bestFit="1" customWidth="1"/>
    <col min="5" max="5" width="19.44140625" style="83" bestFit="1" customWidth="1"/>
    <col min="6" max="6" width="23.44140625" style="83" customWidth="1"/>
    <col min="7" max="7" width="27" style="83" customWidth="1"/>
    <col min="8" max="8" width="23.44140625" style="83" customWidth="1"/>
    <col min="9" max="9" width="33.109375" style="83" bestFit="1" customWidth="1"/>
    <col min="10" max="10" width="27" style="83"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65</v>
      </c>
      <c r="B2" s="4"/>
      <c r="C2" s="4"/>
      <c r="D2" s="4"/>
      <c r="E2" s="4"/>
      <c r="F2" s="4"/>
      <c r="G2" s="4"/>
      <c r="H2" s="4"/>
      <c r="I2" s="4"/>
      <c r="J2" s="4"/>
      <c r="K2" s="3"/>
      <c r="L2" s="5"/>
      <c r="M2" s="6"/>
      <c r="N2" s="6"/>
      <c r="O2" s="6"/>
      <c r="P2" s="6"/>
    </row>
    <row r="3" spans="1:16" thickBot="1" x14ac:dyDescent="0.35">
      <c r="A3" s="99" t="s">
        <v>16</v>
      </c>
      <c r="B3" s="100"/>
      <c r="C3" s="100"/>
      <c r="D3" s="100"/>
      <c r="E3" s="100"/>
      <c r="F3" s="100"/>
      <c r="G3" s="100"/>
      <c r="H3" s="100"/>
      <c r="I3" s="100"/>
      <c r="J3" s="100"/>
      <c r="K3" s="130"/>
      <c r="L3" s="131"/>
      <c r="M3" s="6"/>
      <c r="N3" s="6"/>
      <c r="O3" s="6"/>
      <c r="P3" s="6"/>
    </row>
    <row r="4" spans="1:16" thickBot="1" x14ac:dyDescent="0.35">
      <c r="A4" s="232" t="s">
        <v>100</v>
      </c>
      <c r="B4" s="233" t="s">
        <v>17</v>
      </c>
      <c r="C4" s="233" t="s">
        <v>18</v>
      </c>
      <c r="D4" s="233" t="s">
        <v>148</v>
      </c>
      <c r="E4" s="233" t="s">
        <v>20</v>
      </c>
      <c r="F4" s="234" t="s">
        <v>21</v>
      </c>
      <c r="G4" s="233" t="s">
        <v>22</v>
      </c>
      <c r="H4" s="233" t="s">
        <v>23</v>
      </c>
      <c r="I4" s="233" t="s">
        <v>24</v>
      </c>
      <c r="J4" s="233" t="s">
        <v>25</v>
      </c>
      <c r="K4" s="233" t="s">
        <v>26</v>
      </c>
      <c r="L4" s="235" t="s">
        <v>15</v>
      </c>
      <c r="M4" s="5"/>
      <c r="N4" s="6"/>
      <c r="O4" s="6"/>
      <c r="P4" s="6"/>
    </row>
    <row r="5" spans="1:16" thickBot="1" x14ac:dyDescent="0.35">
      <c r="A5" s="227" t="s">
        <v>225</v>
      </c>
      <c r="B5" s="228" t="s">
        <v>241</v>
      </c>
      <c r="C5" s="228" t="s">
        <v>229</v>
      </c>
      <c r="D5" s="228" t="s">
        <v>183</v>
      </c>
      <c r="E5" s="229">
        <v>25</v>
      </c>
      <c r="F5" s="230" t="s">
        <v>242</v>
      </c>
      <c r="G5" s="229">
        <v>1</v>
      </c>
      <c r="H5" s="229" t="s">
        <v>227</v>
      </c>
      <c r="I5" s="229">
        <v>1</v>
      </c>
      <c r="J5" s="229" t="s">
        <v>243</v>
      </c>
      <c r="K5" s="229" t="s">
        <v>244</v>
      </c>
      <c r="L5" s="231" t="s">
        <v>245</v>
      </c>
      <c r="M5" s="83"/>
      <c r="N5" s="6"/>
      <c r="O5" s="6"/>
      <c r="P5" s="6"/>
    </row>
    <row r="6" spans="1:16" thickBot="1" x14ac:dyDescent="0.35">
      <c r="A6" s="185" t="s">
        <v>224</v>
      </c>
      <c r="B6" s="186" t="s">
        <v>268</v>
      </c>
      <c r="C6" s="186" t="s">
        <v>224</v>
      </c>
      <c r="D6" s="186" t="s">
        <v>183</v>
      </c>
      <c r="E6" s="167" t="s">
        <v>27</v>
      </c>
      <c r="F6" s="187" t="s">
        <v>27</v>
      </c>
      <c r="G6" s="167" t="s">
        <v>27</v>
      </c>
      <c r="H6" s="167" t="s">
        <v>27</v>
      </c>
      <c r="I6" s="167" t="s">
        <v>27</v>
      </c>
      <c r="J6" s="167" t="s">
        <v>27</v>
      </c>
      <c r="K6" s="167" t="s">
        <v>27</v>
      </c>
      <c r="L6" s="267" t="s">
        <v>250</v>
      </c>
      <c r="M6" s="83"/>
      <c r="N6" s="6"/>
      <c r="O6" s="6"/>
      <c r="P6" s="6"/>
    </row>
    <row r="7" spans="1:16" thickBot="1" x14ac:dyDescent="0.35">
      <c r="A7" s="188" t="s">
        <v>246</v>
      </c>
      <c r="B7" s="189" t="s">
        <v>247</v>
      </c>
      <c r="C7" s="189" t="s">
        <v>226</v>
      </c>
      <c r="D7" s="189" t="s">
        <v>189</v>
      </c>
      <c r="E7" s="172">
        <v>25</v>
      </c>
      <c r="F7" s="190" t="s">
        <v>242</v>
      </c>
      <c r="G7" s="172">
        <v>1</v>
      </c>
      <c r="H7" s="172" t="s">
        <v>227</v>
      </c>
      <c r="I7" s="172">
        <v>1</v>
      </c>
      <c r="J7" s="172" t="s">
        <v>243</v>
      </c>
      <c r="K7" s="172" t="s">
        <v>248</v>
      </c>
      <c r="L7" s="191" t="s">
        <v>249</v>
      </c>
      <c r="M7" s="83"/>
      <c r="N7" s="6"/>
      <c r="O7" s="6"/>
      <c r="P7" s="6"/>
    </row>
    <row r="8" spans="1:16" thickBot="1" x14ac:dyDescent="0.35">
      <c r="A8" s="177"/>
      <c r="B8" s="178"/>
      <c r="C8" s="178"/>
      <c r="D8" s="178"/>
      <c r="E8" s="177"/>
      <c r="F8" s="179"/>
      <c r="G8" s="177"/>
      <c r="H8" s="177"/>
      <c r="I8" s="177"/>
      <c r="J8" s="177"/>
      <c r="K8" s="177"/>
      <c r="L8" s="180"/>
      <c r="M8" s="83"/>
      <c r="N8" s="6"/>
      <c r="O8" s="6"/>
      <c r="P8" s="6"/>
    </row>
    <row r="9" spans="1:16" thickBot="1" x14ac:dyDescent="0.35">
      <c r="A9" s="8"/>
      <c r="B9" s="8"/>
      <c r="C9" s="8"/>
      <c r="D9" s="8"/>
      <c r="E9" s="8"/>
      <c r="F9" s="8"/>
      <c r="G9" s="8"/>
      <c r="H9" s="8"/>
      <c r="I9" s="9"/>
      <c r="J9" s="10"/>
      <c r="K9" s="10"/>
      <c r="L9" s="10"/>
      <c r="N9" s="6"/>
      <c r="O9" s="6"/>
      <c r="P9" s="6"/>
    </row>
    <row r="10" spans="1:16" thickBot="1" x14ac:dyDescent="0.35">
      <c r="A10" s="11" t="s">
        <v>64</v>
      </c>
      <c r="B10" s="12"/>
      <c r="C10" s="12"/>
      <c r="D10" s="12"/>
      <c r="E10" s="12"/>
      <c r="F10" s="12"/>
      <c r="G10" s="12"/>
      <c r="H10" s="12"/>
      <c r="I10" s="13"/>
      <c r="J10" s="14"/>
      <c r="K10" s="14"/>
      <c r="L10" s="14"/>
      <c r="M10" s="6"/>
      <c r="N10" s="6"/>
      <c r="O10" s="6"/>
      <c r="P10" s="6"/>
    </row>
    <row r="11" spans="1:16" thickBot="1" x14ac:dyDescent="0.35">
      <c r="A11" s="99" t="s">
        <v>28</v>
      </c>
      <c r="B11" s="100"/>
      <c r="C11" s="100"/>
      <c r="D11" s="100"/>
      <c r="E11" s="100"/>
      <c r="F11" s="100"/>
      <c r="G11" s="100"/>
      <c r="H11" s="100"/>
      <c r="I11" s="100"/>
      <c r="J11" s="100"/>
      <c r="K11" s="130"/>
      <c r="L11" s="131"/>
      <c r="M11" s="5"/>
      <c r="N11" s="6"/>
      <c r="O11" s="6"/>
      <c r="P11" s="6"/>
    </row>
    <row r="12" spans="1:16" thickBot="1" x14ac:dyDescent="0.35">
      <c r="A12" s="181" t="s">
        <v>100</v>
      </c>
      <c r="B12" s="182" t="s">
        <v>17</v>
      </c>
      <c r="C12" s="182" t="s">
        <v>18</v>
      </c>
      <c r="D12" s="182" t="s">
        <v>148</v>
      </c>
      <c r="E12" s="182" t="s">
        <v>20</v>
      </c>
      <c r="F12" s="183" t="s">
        <v>21</v>
      </c>
      <c r="G12" s="182" t="s">
        <v>22</v>
      </c>
      <c r="H12" s="182" t="s">
        <v>23</v>
      </c>
      <c r="I12" s="182" t="s">
        <v>24</v>
      </c>
      <c r="J12" s="182" t="s">
        <v>25</v>
      </c>
      <c r="K12" s="182" t="s">
        <v>26</v>
      </c>
      <c r="L12" s="184" t="s">
        <v>15</v>
      </c>
      <c r="M12" s="5"/>
      <c r="N12" s="6"/>
      <c r="O12" s="6"/>
      <c r="P12" s="6"/>
    </row>
    <row r="13" spans="1:16" thickBot="1" x14ac:dyDescent="0.35">
      <c r="A13" s="195" t="s">
        <v>27</v>
      </c>
      <c r="B13" s="196" t="s">
        <v>27</v>
      </c>
      <c r="C13" s="197" t="s">
        <v>27</v>
      </c>
      <c r="D13" s="197" t="s">
        <v>27</v>
      </c>
      <c r="E13" s="196" t="s">
        <v>27</v>
      </c>
      <c r="F13" s="198" t="s">
        <v>27</v>
      </c>
      <c r="G13" s="196" t="s">
        <v>27</v>
      </c>
      <c r="H13" s="199" t="s">
        <v>27</v>
      </c>
      <c r="I13" s="196" t="s">
        <v>27</v>
      </c>
      <c r="J13" s="196" t="s">
        <v>27</v>
      </c>
      <c r="K13" s="197" t="s">
        <v>27</v>
      </c>
      <c r="L13" s="200" t="s">
        <v>27</v>
      </c>
      <c r="M13" s="15"/>
      <c r="N13" s="6"/>
      <c r="O13" s="6"/>
      <c r="P13" s="6"/>
    </row>
    <row r="14" spans="1:16" ht="15.75" customHeight="1" thickBot="1" x14ac:dyDescent="0.35">
      <c r="A14" s="16"/>
      <c r="B14" s="16"/>
      <c r="C14" s="16"/>
      <c r="D14" s="16"/>
      <c r="E14" s="16"/>
      <c r="F14" s="16"/>
      <c r="G14" s="17"/>
      <c r="H14" s="192"/>
      <c r="I14" s="192"/>
      <c r="J14" s="193"/>
      <c r="K14" s="194"/>
      <c r="L14" s="194"/>
      <c r="M14" s="6"/>
      <c r="N14" s="6"/>
      <c r="O14" s="6"/>
      <c r="P14" s="6"/>
    </row>
    <row r="15" spans="1:16" ht="15.75" customHeight="1" thickBot="1" x14ac:dyDescent="0.35">
      <c r="A15" s="18"/>
      <c r="B15" s="18"/>
      <c r="C15" s="18"/>
      <c r="D15" s="18"/>
      <c r="E15" s="18"/>
      <c r="F15" s="19"/>
      <c r="G15" s="20"/>
      <c r="H15" s="21"/>
      <c r="I15" s="20"/>
      <c r="J15" s="14"/>
      <c r="K15" s="22"/>
      <c r="L15" s="6"/>
      <c r="M15" s="6"/>
      <c r="N15" s="6"/>
      <c r="O15" s="6"/>
      <c r="P15" s="6"/>
    </row>
    <row r="16" spans="1:16" ht="15.75" customHeight="1" thickBot="1" x14ac:dyDescent="0.35">
      <c r="K16" s="15"/>
      <c r="L16" s="15"/>
      <c r="M16" s="6"/>
      <c r="N16" s="6"/>
      <c r="O16" s="6"/>
      <c r="P16" s="6"/>
    </row>
    <row r="17" spans="10:16" ht="15.75" customHeight="1" thickBot="1" x14ac:dyDescent="0.35">
      <c r="L17" s="15"/>
      <c r="M17" s="6"/>
      <c r="N17" s="6"/>
      <c r="O17" s="6"/>
      <c r="P17" s="6"/>
    </row>
    <row r="18" spans="10:16" ht="15.75" customHeight="1" thickBot="1" x14ac:dyDescent="0.35">
      <c r="J18" s="86"/>
      <c r="K18" s="86"/>
      <c r="L18" s="101"/>
      <c r="M18" s="6"/>
      <c r="N18" s="6"/>
      <c r="O18" s="6"/>
      <c r="P18" s="6"/>
    </row>
    <row r="19" spans="10:16" ht="15.75" customHeight="1" thickBot="1" x14ac:dyDescent="0.35">
      <c r="J19" s="86"/>
      <c r="K19" s="86"/>
      <c r="L19" s="102"/>
      <c r="M19" s="6"/>
      <c r="N19" s="6"/>
      <c r="O19" s="6"/>
      <c r="P19" s="6"/>
    </row>
    <row r="20" spans="10:16" ht="15.75" customHeight="1" thickBot="1" x14ac:dyDescent="0.35">
      <c r="J20" s="86"/>
      <c r="K20" s="86"/>
      <c r="L20" s="83"/>
      <c r="M20" s="6"/>
      <c r="N20" s="6"/>
      <c r="O20" s="6"/>
      <c r="P20" s="6"/>
    </row>
    <row r="21" spans="10:16" ht="15.75" customHeight="1" thickBot="1" x14ac:dyDescent="0.35">
      <c r="J21" s="86"/>
      <c r="K21" s="86"/>
      <c r="L21" s="83"/>
      <c r="M21" s="6"/>
      <c r="N21" s="6"/>
      <c r="O21" s="6"/>
      <c r="P21" s="6"/>
    </row>
    <row r="22" spans="10:16" ht="15.75" customHeight="1" thickBot="1" x14ac:dyDescent="0.35">
      <c r="J22" s="86"/>
      <c r="K22" s="86"/>
      <c r="L22" s="83"/>
      <c r="M22" s="6"/>
      <c r="N22" s="6"/>
      <c r="O22" s="6"/>
      <c r="P22" s="6"/>
    </row>
    <row r="23" spans="10:16" ht="15.75" customHeight="1" thickBot="1" x14ac:dyDescent="0.35">
      <c r="J23" s="86"/>
      <c r="K23" s="86"/>
      <c r="L23" s="83"/>
      <c r="M23" s="6"/>
      <c r="N23" s="6"/>
      <c r="O23" s="6"/>
      <c r="P23" s="6"/>
    </row>
    <row r="24" spans="10:16" ht="15.75" customHeight="1" thickBot="1" x14ac:dyDescent="0.35">
      <c r="J24" s="86"/>
      <c r="K24" s="86"/>
      <c r="L24" s="83"/>
      <c r="M24" s="6"/>
      <c r="N24" s="6"/>
      <c r="O24" s="6"/>
      <c r="P24" s="6"/>
    </row>
    <row r="25" spans="10:16" ht="15.75" customHeight="1" x14ac:dyDescent="0.3"/>
    <row r="26" spans="10:16" ht="15.75" customHeight="1" x14ac:dyDescent="0.3"/>
    <row r="27" spans="10:16" ht="15.75" customHeight="1" x14ac:dyDescent="0.3"/>
    <row r="28" spans="10:16" ht="15.75" customHeight="1" x14ac:dyDescent="0.3"/>
    <row r="29" spans="10:16" ht="15.75" customHeight="1" x14ac:dyDescent="0.3"/>
    <row r="30" spans="10:16" ht="15.75" customHeight="1" x14ac:dyDescent="0.3"/>
    <row r="31" spans="10:16" ht="15.75" customHeight="1" x14ac:dyDescent="0.3"/>
    <row r="32" spans="10: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sheetData>
  <dataValidations count="3">
    <dataValidation type="list" allowBlank="1" showErrorMessage="1" sqref="C13" xr:uid="{00000000-0002-0000-0200-000001000000}">
      <formula1>"MASS,ELECTRICITY,EMISSIONS,ENERGY"</formula1>
    </dataValidation>
    <dataValidation type="list" allowBlank="1" showErrorMessage="1" sqref="C5:C8" xr:uid="{00000000-0002-0000-0200-000000000000}">
      <formula1>"ELECTRICITY,EMISSIONS,MASS"</formula1>
    </dataValidation>
    <dataValidation type="list" errorStyle="information" allowBlank="1" showInputMessage="1" showErrorMessage="1" sqref="D5:D7 F5:F7 H5:H7 D13 F13 H13" xr:uid="{097FB87C-8507-4132-BCF2-215F35761DB6}">
      <formula1>"-,kg,s,m,K,°C,W,bar,kg/h,t/h,kW,kW/m2K,W/m2K,kJ/kgK,kJ/kg,m3/h,Nm3/t,kWh/Nm3,Nm3/h,%,kg/kmol,eur,eur/year,eur/kW,kWel/kWth,year, days"</formula1>
    </dataValidation>
  </dataValidation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37"/>
  <sheetViews>
    <sheetView showGridLines="0" zoomScale="70" zoomScaleNormal="70" workbookViewId="0">
      <selection activeCell="A22" sqref="A22"/>
    </sheetView>
  </sheetViews>
  <sheetFormatPr defaultColWidth="14.44140625" defaultRowHeight="15" customHeight="1" x14ac:dyDescent="0.3"/>
  <cols>
    <col min="1" max="1" width="191.77734375" style="83" bestFit="1" customWidth="1"/>
    <col min="2" max="2" width="13.6640625" style="83" customWidth="1"/>
    <col min="3" max="3" width="36.44140625" style="83" bestFit="1" customWidth="1"/>
    <col min="4" max="4" width="14.21875" style="83" bestFit="1" customWidth="1"/>
    <col min="5" max="5" width="17.6640625" style="83" bestFit="1" customWidth="1"/>
    <col min="6" max="6" width="13.109375" style="83" bestFit="1" customWidth="1"/>
    <col min="7" max="7" width="97.44140625" style="83" bestFit="1" customWidth="1"/>
    <col min="8" max="8" width="10.33203125" style="83" bestFit="1" customWidth="1"/>
    <col min="9" max="9" width="10.6640625" style="83" bestFit="1" customWidth="1"/>
    <col min="10" max="10" width="24.33203125" style="83" bestFit="1" customWidth="1"/>
    <col min="11" max="11" width="20.109375" style="83" bestFit="1" customWidth="1"/>
    <col min="12" max="12" width="96" style="83" bestFit="1" customWidth="1"/>
    <col min="13" max="13" width="29.77734375" style="83" customWidth="1"/>
    <col min="14" max="39" width="10.6640625" style="83" customWidth="1"/>
    <col min="40" max="16384" width="14.44140625" style="83"/>
  </cols>
  <sheetData>
    <row r="1" spans="1:12" customFormat="1" ht="14.4" x14ac:dyDescent="0.3">
      <c r="A1" s="23" t="s">
        <v>29</v>
      </c>
      <c r="B1" s="24"/>
      <c r="C1" s="24"/>
      <c r="D1" s="24"/>
      <c r="E1" s="24"/>
      <c r="F1" s="24"/>
      <c r="G1" s="24"/>
      <c r="H1" s="24"/>
      <c r="I1" s="24"/>
      <c r="J1" s="24"/>
      <c r="K1" s="24"/>
      <c r="L1" s="24"/>
    </row>
    <row r="2" spans="1:12" ht="14.4" x14ac:dyDescent="0.3">
      <c r="A2" s="25" t="s">
        <v>30</v>
      </c>
      <c r="B2" s="24"/>
      <c r="C2" s="24"/>
      <c r="D2" s="24"/>
      <c r="E2" s="24"/>
      <c r="F2" s="24"/>
      <c r="G2" s="24"/>
      <c r="H2" s="24"/>
      <c r="I2" s="24"/>
      <c r="J2" s="24"/>
      <c r="K2" s="24"/>
      <c r="L2" s="24"/>
    </row>
    <row r="3" spans="1:12" ht="14.4" x14ac:dyDescent="0.3">
      <c r="A3" s="26" t="s">
        <v>31</v>
      </c>
      <c r="B3" s="27"/>
      <c r="C3" s="27"/>
      <c r="D3" s="27"/>
      <c r="E3" s="27"/>
      <c r="F3" s="27"/>
      <c r="G3" s="27"/>
      <c r="H3" s="27"/>
      <c r="I3" s="27"/>
      <c r="J3" s="27"/>
      <c r="K3" s="24"/>
      <c r="L3" s="24"/>
    </row>
    <row r="4" spans="1:12" ht="14.4" x14ac:dyDescent="0.3">
      <c r="A4" s="26" t="s">
        <v>32</v>
      </c>
      <c r="B4" s="27"/>
      <c r="C4" s="27"/>
      <c r="D4" s="27"/>
      <c r="E4" s="27"/>
      <c r="F4" s="27"/>
      <c r="G4" s="27"/>
      <c r="H4" s="27"/>
      <c r="I4" s="27"/>
      <c r="J4" s="27"/>
      <c r="K4" s="24"/>
      <c r="L4" s="24"/>
    </row>
    <row r="5" spans="1:12" ht="14.4" x14ac:dyDescent="0.3">
      <c r="A5" s="26" t="s">
        <v>33</v>
      </c>
      <c r="B5" s="27"/>
      <c r="C5" s="27"/>
      <c r="D5" s="27"/>
      <c r="E5" s="27"/>
      <c r="F5" s="27"/>
      <c r="G5" s="27"/>
      <c r="H5" s="27"/>
      <c r="I5" s="27"/>
      <c r="J5" s="27"/>
      <c r="K5" s="24"/>
      <c r="L5" s="24"/>
    </row>
    <row r="6" spans="1:12" ht="14.4" x14ac:dyDescent="0.3">
      <c r="A6" s="140" t="s">
        <v>144</v>
      </c>
      <c r="B6" s="27"/>
      <c r="C6" s="27"/>
      <c r="D6" s="27"/>
      <c r="E6" s="27"/>
      <c r="F6" s="27"/>
      <c r="G6" s="27"/>
      <c r="H6" s="27"/>
      <c r="I6" s="27"/>
      <c r="J6" s="27"/>
      <c r="K6" s="24"/>
      <c r="L6" s="24"/>
    </row>
    <row r="7" spans="1:12" ht="14.4" x14ac:dyDescent="0.3">
      <c r="A7" s="28" t="s">
        <v>34</v>
      </c>
      <c r="B7" s="27"/>
      <c r="C7" s="27"/>
      <c r="D7" s="27"/>
      <c r="E7" s="27"/>
      <c r="F7" s="27"/>
      <c r="G7" s="27"/>
      <c r="H7" s="27"/>
      <c r="I7" s="27"/>
      <c r="J7" s="27"/>
      <c r="K7" s="24"/>
      <c r="L7" s="24"/>
    </row>
    <row r="8" spans="1:12" ht="14.4" x14ac:dyDescent="0.3">
      <c r="A8" s="27" t="s">
        <v>35</v>
      </c>
      <c r="B8" s="27"/>
      <c r="C8" s="27"/>
      <c r="D8" s="27"/>
      <c r="E8" s="27"/>
      <c r="F8" s="27"/>
      <c r="G8" s="27"/>
      <c r="H8" s="27"/>
      <c r="I8" s="27"/>
      <c r="J8" s="27"/>
      <c r="K8" s="24"/>
      <c r="L8" s="24"/>
    </row>
    <row r="9" spans="1:12" ht="14.4" x14ac:dyDescent="0.3">
      <c r="A9" s="29" t="s">
        <v>36</v>
      </c>
      <c r="B9" s="30"/>
      <c r="C9" s="30"/>
      <c r="D9" s="30"/>
      <c r="E9" s="30"/>
      <c r="F9" s="30"/>
      <c r="G9" s="30"/>
      <c r="H9" s="30"/>
      <c r="I9" s="30"/>
      <c r="J9" s="30"/>
      <c r="K9" s="31"/>
      <c r="L9" s="31"/>
    </row>
    <row r="10" spans="1:12" ht="14.4" x14ac:dyDescent="0.3">
      <c r="A10" s="32" t="s">
        <v>37</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81"/>
      <c r="H12" s="34"/>
      <c r="I12" s="34"/>
      <c r="J12" s="34"/>
      <c r="K12" s="34"/>
      <c r="L12" s="34"/>
    </row>
    <row r="13" spans="1:12" thickBot="1" x14ac:dyDescent="0.35">
      <c r="A13" s="35"/>
      <c r="B13" s="36"/>
      <c r="C13" s="36"/>
      <c r="D13" s="36"/>
      <c r="E13" s="36"/>
      <c r="F13" s="36"/>
      <c r="G13" s="82"/>
      <c r="H13" s="36"/>
      <c r="I13" s="36"/>
      <c r="J13" s="36"/>
      <c r="K13" s="36"/>
      <c r="L13" s="36"/>
    </row>
    <row r="14" spans="1:12" thickBot="1" x14ac:dyDescent="0.35">
      <c r="A14" s="89" t="s">
        <v>3</v>
      </c>
      <c r="B14" s="109"/>
      <c r="C14" s="109"/>
      <c r="D14" s="109"/>
      <c r="E14" s="109"/>
      <c r="F14" s="109"/>
      <c r="G14" s="98"/>
      <c r="H14" s="109"/>
      <c r="I14" s="109"/>
      <c r="J14" s="109"/>
      <c r="K14" s="109"/>
      <c r="L14" s="110"/>
    </row>
    <row r="15" spans="1:12" thickBot="1" x14ac:dyDescent="0.35">
      <c r="A15" s="111" t="s">
        <v>98</v>
      </c>
      <c r="B15" s="112" t="s">
        <v>18</v>
      </c>
      <c r="C15" s="112" t="s">
        <v>60</v>
      </c>
      <c r="D15" s="112" t="s">
        <v>34</v>
      </c>
      <c r="E15" s="112" t="s">
        <v>152</v>
      </c>
      <c r="F15" s="112" t="s">
        <v>19</v>
      </c>
      <c r="G15" s="112" t="s">
        <v>151</v>
      </c>
      <c r="H15" s="113" t="s">
        <v>61</v>
      </c>
      <c r="I15" s="112" t="s">
        <v>62</v>
      </c>
      <c r="J15" s="112" t="s">
        <v>63</v>
      </c>
      <c r="K15" s="142" t="s">
        <v>104</v>
      </c>
      <c r="L15" s="114" t="s">
        <v>15</v>
      </c>
    </row>
    <row r="16" spans="1:12" ht="14.4" x14ac:dyDescent="0.3">
      <c r="A16" s="236" t="s">
        <v>157</v>
      </c>
      <c r="B16" s="237" t="s">
        <v>158</v>
      </c>
      <c r="C16" s="237" t="s">
        <v>159</v>
      </c>
      <c r="D16" s="237" t="s">
        <v>160</v>
      </c>
      <c r="E16" s="238">
        <v>0.433</v>
      </c>
      <c r="F16" s="237" t="s">
        <v>27</v>
      </c>
      <c r="G16" s="237" t="s">
        <v>27</v>
      </c>
      <c r="H16" s="240">
        <v>0</v>
      </c>
      <c r="I16" s="240">
        <v>1</v>
      </c>
      <c r="J16" s="239" t="s">
        <v>161</v>
      </c>
      <c r="K16" s="240" t="s">
        <v>294</v>
      </c>
      <c r="L16" s="241" t="s">
        <v>159</v>
      </c>
    </row>
    <row r="17" spans="1:12" ht="14.4" x14ac:dyDescent="0.3">
      <c r="A17" s="242" t="s">
        <v>162</v>
      </c>
      <c r="B17" s="167" t="s">
        <v>158</v>
      </c>
      <c r="C17" s="167" t="s">
        <v>253</v>
      </c>
      <c r="D17" s="167" t="s">
        <v>160</v>
      </c>
      <c r="E17" s="168">
        <v>0.21</v>
      </c>
      <c r="F17" s="167" t="s">
        <v>27</v>
      </c>
      <c r="G17" s="167" t="s">
        <v>27</v>
      </c>
      <c r="H17" s="175">
        <v>0</v>
      </c>
      <c r="I17" s="175">
        <v>1</v>
      </c>
      <c r="J17" s="169" t="s">
        <v>164</v>
      </c>
      <c r="K17" s="175" t="s">
        <v>293</v>
      </c>
      <c r="L17" s="243" t="s">
        <v>163</v>
      </c>
    </row>
    <row r="18" spans="1:12" ht="14.4" x14ac:dyDescent="0.3">
      <c r="A18" s="242" t="s">
        <v>165</v>
      </c>
      <c r="B18" s="167" t="s">
        <v>158</v>
      </c>
      <c r="C18" s="167" t="s">
        <v>254</v>
      </c>
      <c r="D18" s="167" t="s">
        <v>160</v>
      </c>
      <c r="E18" s="168">
        <v>0.23599999999999999</v>
      </c>
      <c r="F18" s="167" t="s">
        <v>27</v>
      </c>
      <c r="G18" s="167" t="s">
        <v>27</v>
      </c>
      <c r="H18" s="175">
        <v>0</v>
      </c>
      <c r="I18" s="175">
        <v>1</v>
      </c>
      <c r="J18" s="169" t="s">
        <v>167</v>
      </c>
      <c r="K18" s="175" t="s">
        <v>293</v>
      </c>
      <c r="L18" s="243" t="s">
        <v>166</v>
      </c>
    </row>
    <row r="19" spans="1:12" ht="14.4" x14ac:dyDescent="0.3">
      <c r="A19" s="242" t="s">
        <v>168</v>
      </c>
      <c r="B19" s="167" t="s">
        <v>158</v>
      </c>
      <c r="C19" s="167" t="s">
        <v>251</v>
      </c>
      <c r="D19" s="167" t="s">
        <v>160</v>
      </c>
      <c r="E19" s="168">
        <v>400</v>
      </c>
      <c r="F19" s="167" t="s">
        <v>242</v>
      </c>
      <c r="G19" s="167" t="s">
        <v>27</v>
      </c>
      <c r="H19" s="175">
        <v>350</v>
      </c>
      <c r="I19" s="175">
        <v>600</v>
      </c>
      <c r="J19" s="169" t="s">
        <v>170</v>
      </c>
      <c r="K19" s="175" t="s">
        <v>293</v>
      </c>
      <c r="L19" s="243" t="s">
        <v>169</v>
      </c>
    </row>
    <row r="20" spans="1:12" ht="14.4" x14ac:dyDescent="0.3">
      <c r="A20" s="242" t="s">
        <v>171</v>
      </c>
      <c r="B20" s="167" t="s">
        <v>158</v>
      </c>
      <c r="C20" s="167" t="s">
        <v>252</v>
      </c>
      <c r="D20" s="167" t="s">
        <v>160</v>
      </c>
      <c r="E20" s="168">
        <v>150</v>
      </c>
      <c r="F20" s="167" t="s">
        <v>242</v>
      </c>
      <c r="G20" s="167" t="s">
        <v>27</v>
      </c>
      <c r="H20" s="175">
        <v>100</v>
      </c>
      <c r="I20" s="175">
        <v>200</v>
      </c>
      <c r="J20" s="169" t="s">
        <v>173</v>
      </c>
      <c r="K20" s="175" t="s">
        <v>293</v>
      </c>
      <c r="L20" s="243" t="s">
        <v>172</v>
      </c>
    </row>
    <row r="21" spans="1:12" ht="14.4" x14ac:dyDescent="0.3">
      <c r="A21" s="242" t="s">
        <v>174</v>
      </c>
      <c r="B21" s="167" t="s">
        <v>158</v>
      </c>
      <c r="C21" s="167" t="s">
        <v>175</v>
      </c>
      <c r="D21" s="167" t="s">
        <v>160</v>
      </c>
      <c r="E21" s="168">
        <v>90</v>
      </c>
      <c r="F21" s="167" t="s">
        <v>242</v>
      </c>
      <c r="G21" s="167" t="s">
        <v>27</v>
      </c>
      <c r="H21" s="175">
        <v>70</v>
      </c>
      <c r="I21" s="175">
        <v>100</v>
      </c>
      <c r="J21" s="169" t="s">
        <v>176</v>
      </c>
      <c r="K21" s="175" t="s">
        <v>293</v>
      </c>
      <c r="L21" s="243" t="s">
        <v>175</v>
      </c>
    </row>
    <row r="22" spans="1:12" ht="14.4" x14ac:dyDescent="0.3">
      <c r="A22" s="242" t="s">
        <v>177</v>
      </c>
      <c r="B22" s="167" t="s">
        <v>158</v>
      </c>
      <c r="C22" s="167" t="s">
        <v>178</v>
      </c>
      <c r="D22" s="167" t="s">
        <v>160</v>
      </c>
      <c r="E22" s="168">
        <v>40</v>
      </c>
      <c r="F22" s="167" t="s">
        <v>242</v>
      </c>
      <c r="G22" s="167" t="s">
        <v>27</v>
      </c>
      <c r="H22" s="175">
        <v>30</v>
      </c>
      <c r="I22" s="175">
        <v>60</v>
      </c>
      <c r="J22" s="169" t="s">
        <v>179</v>
      </c>
      <c r="K22" s="175" t="s">
        <v>293</v>
      </c>
      <c r="L22" s="243" t="s">
        <v>178</v>
      </c>
    </row>
    <row r="23" spans="1:12" ht="14.4" x14ac:dyDescent="0.3">
      <c r="A23" s="244" t="s">
        <v>255</v>
      </c>
      <c r="B23" s="167" t="s">
        <v>158</v>
      </c>
      <c r="C23" s="167" t="s">
        <v>258</v>
      </c>
      <c r="D23" s="167" t="s">
        <v>160</v>
      </c>
      <c r="E23" s="168">
        <v>5</v>
      </c>
      <c r="F23" s="167" t="s">
        <v>180</v>
      </c>
      <c r="G23" s="167" t="s">
        <v>27</v>
      </c>
      <c r="H23" s="175">
        <v>2</v>
      </c>
      <c r="I23" s="175">
        <v>15</v>
      </c>
      <c r="J23" s="169" t="s">
        <v>263</v>
      </c>
      <c r="K23" s="175" t="s">
        <v>293</v>
      </c>
      <c r="L23" s="251" t="s">
        <v>258</v>
      </c>
    </row>
    <row r="24" spans="1:12" ht="14.4" x14ac:dyDescent="0.3">
      <c r="A24" s="244" t="s">
        <v>256</v>
      </c>
      <c r="B24" s="167" t="s">
        <v>158</v>
      </c>
      <c r="C24" s="167" t="s">
        <v>257</v>
      </c>
      <c r="D24" s="167" t="s">
        <v>160</v>
      </c>
      <c r="E24" s="168">
        <v>8</v>
      </c>
      <c r="F24" s="167" t="s">
        <v>180</v>
      </c>
      <c r="G24" s="167" t="s">
        <v>27</v>
      </c>
      <c r="H24" s="175">
        <v>5</v>
      </c>
      <c r="I24" s="175">
        <v>25</v>
      </c>
      <c r="J24" s="169" t="s">
        <v>264</v>
      </c>
      <c r="K24" s="175" t="s">
        <v>293</v>
      </c>
      <c r="L24" s="243" t="s">
        <v>266</v>
      </c>
    </row>
    <row r="25" spans="1:12" ht="14.4" x14ac:dyDescent="0.3">
      <c r="A25" s="244" t="s">
        <v>260</v>
      </c>
      <c r="B25" s="167" t="s">
        <v>261</v>
      </c>
      <c r="C25" s="167" t="s">
        <v>262</v>
      </c>
      <c r="D25" s="167" t="s">
        <v>160</v>
      </c>
      <c r="E25" s="168">
        <v>50000</v>
      </c>
      <c r="F25" s="167" t="s">
        <v>190</v>
      </c>
      <c r="G25" s="167" t="s">
        <v>27</v>
      </c>
      <c r="H25" s="175">
        <v>35000</v>
      </c>
      <c r="I25" s="175">
        <v>55000</v>
      </c>
      <c r="J25" s="169" t="s">
        <v>265</v>
      </c>
      <c r="K25" s="175" t="s">
        <v>293</v>
      </c>
      <c r="L25" s="243" t="s">
        <v>267</v>
      </c>
    </row>
    <row r="26" spans="1:12" ht="14.4" x14ac:dyDescent="0.3">
      <c r="A26" s="242" t="s">
        <v>181</v>
      </c>
      <c r="B26" s="167" t="s">
        <v>158</v>
      </c>
      <c r="C26" s="167" t="s">
        <v>182</v>
      </c>
      <c r="D26" s="167" t="s">
        <v>160</v>
      </c>
      <c r="E26" s="168">
        <v>1000</v>
      </c>
      <c r="F26" s="167" t="s">
        <v>183</v>
      </c>
      <c r="G26" s="167" t="s">
        <v>27</v>
      </c>
      <c r="H26" s="175">
        <v>100</v>
      </c>
      <c r="I26" s="175">
        <v>50000</v>
      </c>
      <c r="J26" s="169" t="s">
        <v>184</v>
      </c>
      <c r="K26" s="175" t="s">
        <v>293</v>
      </c>
      <c r="L26" s="243" t="s">
        <v>182</v>
      </c>
    </row>
    <row r="27" spans="1:12" ht="14.4" x14ac:dyDescent="0.3">
      <c r="A27" s="244" t="s">
        <v>269</v>
      </c>
      <c r="B27" s="167" t="s">
        <v>158</v>
      </c>
      <c r="C27" s="167" t="s">
        <v>270</v>
      </c>
      <c r="D27" s="167" t="s">
        <v>160</v>
      </c>
      <c r="E27" s="168">
        <f>CogenFuel/Fuel_LHV*3600*44/16</f>
        <v>198</v>
      </c>
      <c r="F27" s="167" t="s">
        <v>189</v>
      </c>
      <c r="G27" s="167" t="s">
        <v>292</v>
      </c>
      <c r="H27" s="175">
        <v>10</v>
      </c>
      <c r="I27" s="175">
        <v>10000</v>
      </c>
      <c r="J27" s="169" t="s">
        <v>271</v>
      </c>
      <c r="K27" s="175" t="s">
        <v>293</v>
      </c>
      <c r="L27" s="243" t="s">
        <v>270</v>
      </c>
    </row>
    <row r="28" spans="1:12" ht="14.4" x14ac:dyDescent="0.3">
      <c r="A28" s="242" t="s">
        <v>185</v>
      </c>
      <c r="B28" s="167" t="s">
        <v>158</v>
      </c>
      <c r="C28" s="167" t="s">
        <v>186</v>
      </c>
      <c r="D28" s="167" t="s">
        <v>160</v>
      </c>
      <c r="E28" s="168">
        <v>1200</v>
      </c>
      <c r="F28" s="167" t="s">
        <v>187</v>
      </c>
      <c r="G28" s="167" t="s">
        <v>27</v>
      </c>
      <c r="H28" s="175">
        <v>500</v>
      </c>
      <c r="I28" s="175">
        <v>2500</v>
      </c>
      <c r="J28" s="169" t="s">
        <v>188</v>
      </c>
      <c r="K28" s="175" t="s">
        <v>293</v>
      </c>
      <c r="L28" s="243" t="s">
        <v>186</v>
      </c>
    </row>
    <row r="29" spans="1:12" ht="14.4" x14ac:dyDescent="0.3">
      <c r="A29" s="242" t="s">
        <v>191</v>
      </c>
      <c r="B29" s="167" t="s">
        <v>158</v>
      </c>
      <c r="C29" s="167" t="s">
        <v>192</v>
      </c>
      <c r="D29" s="167" t="s">
        <v>160</v>
      </c>
      <c r="E29" s="168">
        <v>40</v>
      </c>
      <c r="F29" s="167" t="s">
        <v>193</v>
      </c>
      <c r="G29" s="167" t="s">
        <v>27</v>
      </c>
      <c r="H29" s="175">
        <v>15</v>
      </c>
      <c r="I29" s="175">
        <v>50</v>
      </c>
      <c r="J29" s="169" t="s">
        <v>194</v>
      </c>
      <c r="K29" s="175" t="s">
        <v>293</v>
      </c>
      <c r="L29" s="243" t="s">
        <v>192</v>
      </c>
    </row>
    <row r="30" spans="1:12" ht="14.4" x14ac:dyDescent="0.3">
      <c r="A30" s="242" t="s">
        <v>195</v>
      </c>
      <c r="B30" s="167" t="s">
        <v>158</v>
      </c>
      <c r="C30" s="167" t="s">
        <v>196</v>
      </c>
      <c r="D30" s="167" t="s">
        <v>160</v>
      </c>
      <c r="E30" s="168">
        <v>0.06</v>
      </c>
      <c r="F30" s="167" t="s">
        <v>27</v>
      </c>
      <c r="G30" s="167" t="s">
        <v>27</v>
      </c>
      <c r="H30" s="175">
        <v>0</v>
      </c>
      <c r="I30" s="175">
        <v>0.15</v>
      </c>
      <c r="J30" s="169" t="s">
        <v>197</v>
      </c>
      <c r="K30" s="175" t="s">
        <v>293</v>
      </c>
      <c r="L30" s="243" t="s">
        <v>196</v>
      </c>
    </row>
    <row r="31" spans="1:12" ht="14.4" x14ac:dyDescent="0.3">
      <c r="A31" s="242" t="s">
        <v>198</v>
      </c>
      <c r="B31" s="167" t="s">
        <v>158</v>
      </c>
      <c r="C31" s="167" t="s">
        <v>259</v>
      </c>
      <c r="D31" s="167" t="s">
        <v>160</v>
      </c>
      <c r="E31" s="168">
        <v>596.20000000000005</v>
      </c>
      <c r="F31" s="167" t="s">
        <v>27</v>
      </c>
      <c r="G31" s="167" t="s">
        <v>27</v>
      </c>
      <c r="H31" s="175">
        <v>500</v>
      </c>
      <c r="I31" s="175">
        <v>1000</v>
      </c>
      <c r="J31" s="169" t="s">
        <v>199</v>
      </c>
      <c r="K31" s="175" t="s">
        <v>293</v>
      </c>
      <c r="L31" s="243" t="s">
        <v>259</v>
      </c>
    </row>
    <row r="32" spans="1:12" ht="14.4" x14ac:dyDescent="0.3">
      <c r="A32" s="242" t="s">
        <v>200</v>
      </c>
      <c r="B32" s="167" t="s">
        <v>158</v>
      </c>
      <c r="C32" s="167" t="s">
        <v>201</v>
      </c>
      <c r="D32" s="167" t="s">
        <v>160</v>
      </c>
      <c r="E32" s="168">
        <v>575.4</v>
      </c>
      <c r="F32" s="167" t="s">
        <v>27</v>
      </c>
      <c r="G32" s="167" t="s">
        <v>27</v>
      </c>
      <c r="H32" s="175">
        <v>500</v>
      </c>
      <c r="I32" s="175">
        <v>1000</v>
      </c>
      <c r="J32" s="169" t="s">
        <v>202</v>
      </c>
      <c r="K32" s="175" t="s">
        <v>293</v>
      </c>
      <c r="L32" s="243" t="s">
        <v>201</v>
      </c>
    </row>
    <row r="33" spans="1:12" ht="14.4" x14ac:dyDescent="0.3">
      <c r="A33" s="242" t="s">
        <v>203</v>
      </c>
      <c r="B33" s="167" t="s">
        <v>158</v>
      </c>
      <c r="C33" s="167" t="s">
        <v>204</v>
      </c>
      <c r="D33" s="167" t="s">
        <v>160</v>
      </c>
      <c r="E33" s="168">
        <f>eta_el*CogenFuel</f>
        <v>433</v>
      </c>
      <c r="F33" s="167" t="s">
        <v>183</v>
      </c>
      <c r="G33" s="167" t="s">
        <v>219</v>
      </c>
      <c r="H33" s="175">
        <v>30</v>
      </c>
      <c r="I33" s="175">
        <v>25000</v>
      </c>
      <c r="J33" s="169" t="s">
        <v>205</v>
      </c>
      <c r="K33" s="175" t="s">
        <v>293</v>
      </c>
      <c r="L33" s="243" t="s">
        <v>204</v>
      </c>
    </row>
    <row r="34" spans="1:12" ht="14.4" x14ac:dyDescent="0.3">
      <c r="A34" s="242" t="s">
        <v>206</v>
      </c>
      <c r="B34" s="167" t="s">
        <v>158</v>
      </c>
      <c r="C34" s="167" t="s">
        <v>207</v>
      </c>
      <c r="D34" s="167" t="s">
        <v>160</v>
      </c>
      <c r="E34" s="168">
        <f>eta_th_fg*CogenFuel</f>
        <v>210</v>
      </c>
      <c r="F34" s="167" t="s">
        <v>183</v>
      </c>
      <c r="G34" s="167" t="s">
        <v>220</v>
      </c>
      <c r="H34" s="175">
        <v>15</v>
      </c>
      <c r="I34" s="175">
        <v>15000</v>
      </c>
      <c r="J34" s="169" t="s">
        <v>208</v>
      </c>
      <c r="K34" s="175" t="s">
        <v>293</v>
      </c>
      <c r="L34" s="243" t="s">
        <v>207</v>
      </c>
    </row>
    <row r="35" spans="1:12" ht="14.4" x14ac:dyDescent="0.3">
      <c r="A35" s="242" t="s">
        <v>209</v>
      </c>
      <c r="B35" s="167" t="s">
        <v>158</v>
      </c>
      <c r="C35" s="167" t="s">
        <v>210</v>
      </c>
      <c r="D35" s="167" t="s">
        <v>160</v>
      </c>
      <c r="E35" s="168">
        <f>eta_th_cw*CogenFuel</f>
        <v>236</v>
      </c>
      <c r="F35" s="167" t="s">
        <v>183</v>
      </c>
      <c r="G35" s="167" t="s">
        <v>221</v>
      </c>
      <c r="H35" s="175">
        <v>15</v>
      </c>
      <c r="I35" s="175">
        <v>15000</v>
      </c>
      <c r="J35" s="169" t="s">
        <v>211</v>
      </c>
      <c r="K35" s="175" t="s">
        <v>293</v>
      </c>
      <c r="L35" s="243" t="s">
        <v>210</v>
      </c>
    </row>
    <row r="36" spans="1:12" ht="14.4" x14ac:dyDescent="0.3">
      <c r="A36" s="242" t="s">
        <v>212</v>
      </c>
      <c r="B36" s="167" t="s">
        <v>158</v>
      </c>
      <c r="C36" s="167" t="s">
        <v>213</v>
      </c>
      <c r="D36" s="167" t="s">
        <v>160</v>
      </c>
      <c r="E36" s="168">
        <f>(i*(i+1)^n)/((i+1)^n-1)</f>
        <v>6.6461535920675496E-2</v>
      </c>
      <c r="F36" s="167" t="s">
        <v>27</v>
      </c>
      <c r="G36" s="167" t="s">
        <v>222</v>
      </c>
      <c r="H36" s="175">
        <v>0</v>
      </c>
      <c r="I36" s="175">
        <v>1</v>
      </c>
      <c r="J36" s="169" t="s">
        <v>214</v>
      </c>
      <c r="K36" s="175" t="s">
        <v>293</v>
      </c>
      <c r="L36" s="243" t="s">
        <v>213</v>
      </c>
    </row>
    <row r="37" spans="1:12" thickBot="1" x14ac:dyDescent="0.35">
      <c r="A37" s="245" t="s">
        <v>215</v>
      </c>
      <c r="B37" s="246" t="s">
        <v>158</v>
      </c>
      <c r="C37" s="246" t="s">
        <v>216</v>
      </c>
      <c r="D37" s="246" t="s">
        <v>160</v>
      </c>
      <c r="E37" s="247">
        <f>Spec_engineCost*CogenElec*(CEPCI_2020/CEPCI_2008)*Annuity</f>
        <v>35781.754371194198</v>
      </c>
      <c r="F37" s="246" t="s">
        <v>217</v>
      </c>
      <c r="G37" s="246" t="s">
        <v>223</v>
      </c>
      <c r="H37" s="249">
        <v>5000</v>
      </c>
      <c r="I37" s="249">
        <v>5000000</v>
      </c>
      <c r="J37" s="248" t="s">
        <v>218</v>
      </c>
      <c r="K37" s="249" t="s">
        <v>293</v>
      </c>
      <c r="L37" s="250" t="s">
        <v>216</v>
      </c>
    </row>
  </sheetData>
  <dataValidations count="3">
    <dataValidation type="list" allowBlank="1" showErrorMessage="1" sqref="B16:B37" xr:uid="{00000000-0002-0000-0300-000000000000}">
      <formula1>"CONTEXT,LITERATURE,MEASURED,DECISION"</formula1>
    </dataValidation>
    <dataValidation type="list" allowBlank="1" showErrorMessage="1" sqref="D16:D37" xr:uid="{00000000-0002-0000-0300-000001000000}">
      <formula1>"MANDATORY,OPTIONAL,PRIVATE"</formula1>
    </dataValidation>
    <dataValidation type="list" errorStyle="information" allowBlank="1" showInputMessage="1" showErrorMessage="1" sqref="F16:F37" xr:uid="{9CAE566B-FCB5-4470-BF9A-233719E8BCF0}">
      <formula1>"-,kg,s,m,K,°C,W,bar,kg/h,t/h,kW,kW/m2K,W/m2K,kJ/kgK,kJ/kg,m3/h,Nm3/t,kWh/Nm3,Nm3/h,%,kg/kmol,eur,eur/year,eur/kW,kWel/kWth,year, days"</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2"/>
  <sheetViews>
    <sheetView showGridLines="0" zoomScale="50" zoomScaleNormal="25" workbookViewId="0">
      <selection activeCell="M13" sqref="M13"/>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7" t="s">
        <v>46</v>
      </c>
      <c r="B1" s="86"/>
      <c r="C1" s="86"/>
      <c r="D1" s="37"/>
      <c r="E1" s="38"/>
      <c r="F1" s="38"/>
      <c r="G1" s="38"/>
      <c r="H1" s="38"/>
      <c r="I1" s="6"/>
      <c r="J1" s="6"/>
      <c r="K1" s="7"/>
      <c r="L1" s="7"/>
      <c r="M1" s="7"/>
      <c r="N1" s="7"/>
    </row>
    <row r="2" spans="1:21" ht="48" customHeight="1" thickBot="1" x14ac:dyDescent="0.35">
      <c r="A2" s="214" t="s">
        <v>283</v>
      </c>
      <c r="B2" s="86"/>
      <c r="C2" s="86"/>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7"/>
      <c r="B4" s="39"/>
      <c r="C4" s="39"/>
      <c r="D4" s="6"/>
      <c r="E4" s="40"/>
      <c r="F4" s="40"/>
      <c r="G4" s="40"/>
      <c r="H4" s="41"/>
      <c r="I4" s="42"/>
      <c r="J4" s="42"/>
      <c r="K4" s="42"/>
      <c r="L4" s="42"/>
      <c r="M4" s="42"/>
      <c r="N4" s="42"/>
    </row>
    <row r="5" spans="1:21" thickBot="1" x14ac:dyDescent="0.35">
      <c r="A5" s="90" t="s">
        <v>48</v>
      </c>
      <c r="B5" s="91" t="s">
        <v>50</v>
      </c>
      <c r="C5" s="92" t="s">
        <v>49</v>
      </c>
      <c r="D5" s="67" t="s">
        <v>150</v>
      </c>
      <c r="E5" s="46"/>
      <c r="F5" s="46"/>
      <c r="G5" s="46"/>
      <c r="H5" s="44"/>
      <c r="I5" s="7"/>
      <c r="J5" s="7"/>
      <c r="K5" s="7"/>
      <c r="L5" s="7"/>
      <c r="M5" s="7"/>
      <c r="N5" s="7"/>
    </row>
    <row r="6" spans="1:21" thickBot="1" x14ac:dyDescent="0.35">
      <c r="A6" s="141" t="s">
        <v>238</v>
      </c>
      <c r="B6" s="150">
        <v>0</v>
      </c>
      <c r="C6" s="252">
        <v>100</v>
      </c>
      <c r="D6" s="47"/>
      <c r="E6" s="48"/>
      <c r="F6" s="49"/>
      <c r="G6" s="49"/>
      <c r="H6" s="50"/>
      <c r="I6" s="38"/>
      <c r="J6" s="38"/>
      <c r="K6" s="38"/>
      <c r="L6" s="38"/>
      <c r="M6" s="38"/>
      <c r="N6" s="38"/>
    </row>
    <row r="7" spans="1:21" thickBot="1" x14ac:dyDescent="0.35">
      <c r="A7" s="51"/>
      <c r="B7" s="52"/>
      <c r="C7" s="52"/>
      <c r="D7" s="53"/>
      <c r="E7" s="5"/>
      <c r="F7" s="40"/>
      <c r="G7" s="40"/>
      <c r="H7" s="41"/>
      <c r="I7" s="40"/>
      <c r="J7" s="40"/>
      <c r="K7" s="40"/>
      <c r="L7" s="40"/>
      <c r="M7" s="40"/>
      <c r="N7" s="40"/>
    </row>
    <row r="8" spans="1:21" ht="17.25" customHeight="1" thickBot="1" x14ac:dyDescent="0.35">
      <c r="A8" s="104" t="s">
        <v>47</v>
      </c>
      <c r="B8" s="86"/>
      <c r="C8" s="86"/>
      <c r="D8" s="41"/>
      <c r="E8" s="5"/>
      <c r="F8" s="40"/>
      <c r="G8" s="40"/>
      <c r="H8" s="41"/>
      <c r="I8" s="40"/>
      <c r="J8" s="40"/>
      <c r="K8" s="40"/>
      <c r="L8" s="40"/>
      <c r="M8" s="40"/>
      <c r="N8" s="40"/>
    </row>
    <row r="9" spans="1:21" ht="61.2" customHeight="1" thickBot="1" x14ac:dyDescent="0.35">
      <c r="A9" s="214" t="s">
        <v>284</v>
      </c>
      <c r="B9" s="86"/>
      <c r="C9" s="86"/>
      <c r="D9" s="5"/>
      <c r="E9" s="5"/>
      <c r="F9" s="40"/>
      <c r="G9" s="40"/>
      <c r="H9" s="41"/>
      <c r="I9" s="40"/>
      <c r="J9" s="40"/>
      <c r="K9" s="40"/>
      <c r="L9" s="40"/>
      <c r="M9" s="40"/>
      <c r="N9" s="40"/>
    </row>
    <row r="10" spans="1:21" thickBot="1" x14ac:dyDescent="0.35">
      <c r="A10" s="54"/>
      <c r="B10" s="40"/>
      <c r="C10" s="40"/>
      <c r="D10" s="5"/>
      <c r="E10" s="5"/>
      <c r="F10" s="40"/>
      <c r="G10" s="40"/>
      <c r="H10" s="41"/>
      <c r="I10" s="40"/>
      <c r="J10" s="40"/>
      <c r="K10" s="40"/>
      <c r="L10" s="40"/>
      <c r="M10" s="40"/>
      <c r="N10" s="40"/>
    </row>
    <row r="11" spans="1:21" thickBot="1" x14ac:dyDescent="0.35">
      <c r="A11" s="55" t="s">
        <v>59</v>
      </c>
      <c r="B11" s="40"/>
      <c r="C11" s="40"/>
      <c r="D11" s="5"/>
      <c r="E11" s="5"/>
      <c r="F11" s="40"/>
      <c r="G11" s="40"/>
      <c r="H11" s="41"/>
      <c r="I11" s="40"/>
      <c r="J11" s="40"/>
      <c r="K11" s="40"/>
      <c r="L11" s="40"/>
      <c r="M11" s="40"/>
      <c r="N11" s="40"/>
    </row>
    <row r="12" spans="1:21" thickBot="1" x14ac:dyDescent="0.35">
      <c r="A12" s="56" t="s">
        <v>58</v>
      </c>
      <c r="B12" s="57"/>
      <c r="D12" s="57"/>
      <c r="E12" s="57"/>
      <c r="F12" s="57"/>
      <c r="G12" s="57"/>
      <c r="H12" s="57"/>
      <c r="I12" s="58"/>
      <c r="J12" s="57"/>
      <c r="K12" s="57"/>
      <c r="L12" s="57"/>
      <c r="M12" s="43"/>
      <c r="N12" s="43"/>
    </row>
    <row r="13" spans="1:21" ht="19.5" customHeight="1" thickBot="1" x14ac:dyDescent="0.35">
      <c r="A13" s="89" t="s">
        <v>2</v>
      </c>
      <c r="B13" s="93"/>
      <c r="C13" s="93"/>
      <c r="D13" s="93"/>
      <c r="E13" s="93"/>
      <c r="F13" s="93"/>
      <c r="G13" s="93"/>
      <c r="H13" s="93"/>
      <c r="I13" s="93"/>
      <c r="J13" s="93"/>
      <c r="K13" s="93"/>
      <c r="L13" s="96"/>
      <c r="M13" s="96"/>
      <c r="N13" s="103"/>
    </row>
    <row r="14" spans="1:21" thickBot="1" x14ac:dyDescent="0.35">
      <c r="A14" s="111" t="s">
        <v>17</v>
      </c>
      <c r="B14" s="112" t="s">
        <v>18</v>
      </c>
      <c r="C14" s="112" t="s">
        <v>38</v>
      </c>
      <c r="D14" s="112" t="s">
        <v>147</v>
      </c>
      <c r="E14" s="112" t="s">
        <v>148</v>
      </c>
      <c r="F14" s="112" t="s">
        <v>145</v>
      </c>
      <c r="G14" s="113" t="s">
        <v>21</v>
      </c>
      <c r="H14" s="112" t="s">
        <v>146</v>
      </c>
      <c r="I14" s="112" t="s">
        <v>23</v>
      </c>
      <c r="J14" s="112" t="s">
        <v>24</v>
      </c>
      <c r="K14" s="112" t="s">
        <v>25</v>
      </c>
      <c r="L14" s="142" t="s">
        <v>26</v>
      </c>
      <c r="M14" s="142" t="s">
        <v>121</v>
      </c>
      <c r="N14" s="132" t="s">
        <v>15</v>
      </c>
    </row>
    <row r="15" spans="1:21" ht="14.4" x14ac:dyDescent="0.3">
      <c r="A15" s="254" t="s">
        <v>268</v>
      </c>
      <c r="B15" s="170" t="s">
        <v>224</v>
      </c>
      <c r="C15" s="170" t="s">
        <v>228</v>
      </c>
      <c r="D15" s="202">
        <f>CogenElec</f>
        <v>433</v>
      </c>
      <c r="E15" s="170" t="s">
        <v>183</v>
      </c>
      <c r="F15" s="203" t="s">
        <v>27</v>
      </c>
      <c r="G15" s="203" t="s">
        <v>27</v>
      </c>
      <c r="H15" s="203" t="s">
        <v>27</v>
      </c>
      <c r="I15" s="203" t="s">
        <v>27</v>
      </c>
      <c r="J15" s="203" t="s">
        <v>27</v>
      </c>
      <c r="K15" s="203" t="s">
        <v>27</v>
      </c>
      <c r="L15" s="170" t="s">
        <v>27</v>
      </c>
      <c r="M15" s="264" t="s">
        <v>275</v>
      </c>
      <c r="N15" s="268" t="s">
        <v>250</v>
      </c>
      <c r="O15" s="1"/>
      <c r="P15" s="1"/>
      <c r="Q15" s="1"/>
      <c r="R15" s="1"/>
      <c r="S15" s="1"/>
      <c r="T15" s="1"/>
      <c r="U15" s="1"/>
    </row>
    <row r="16" spans="1:21" ht="14.4" x14ac:dyDescent="0.3">
      <c r="A16" s="255" t="s">
        <v>247</v>
      </c>
      <c r="B16" s="256" t="s">
        <v>226</v>
      </c>
      <c r="C16" s="256" t="s">
        <v>228</v>
      </c>
      <c r="D16" s="257">
        <f>CO2fromICE</f>
        <v>198</v>
      </c>
      <c r="E16" s="256" t="s">
        <v>189</v>
      </c>
      <c r="F16" s="258">
        <v>25</v>
      </c>
      <c r="G16" s="258" t="s">
        <v>242</v>
      </c>
      <c r="H16" s="258">
        <v>1</v>
      </c>
      <c r="I16" s="258" t="s">
        <v>227</v>
      </c>
      <c r="J16" s="258">
        <v>1</v>
      </c>
      <c r="K16" s="258" t="s">
        <v>243</v>
      </c>
      <c r="L16" s="256" t="s">
        <v>248</v>
      </c>
      <c r="M16" s="265" t="s">
        <v>275</v>
      </c>
      <c r="N16" s="259" t="s">
        <v>249</v>
      </c>
      <c r="O16" s="201"/>
      <c r="P16" s="201"/>
      <c r="Q16" s="201"/>
      <c r="R16" s="201"/>
      <c r="S16" s="201"/>
      <c r="T16" s="201"/>
      <c r="U16" s="201"/>
    </row>
    <row r="17" spans="1:21" thickBot="1" x14ac:dyDescent="0.35">
      <c r="A17" s="253" t="s">
        <v>241</v>
      </c>
      <c r="B17" s="172" t="s">
        <v>229</v>
      </c>
      <c r="C17" s="172" t="s">
        <v>230</v>
      </c>
      <c r="D17" s="205">
        <f>CogenFuel</f>
        <v>1000</v>
      </c>
      <c r="E17" s="172" t="s">
        <v>183</v>
      </c>
      <c r="F17" s="206">
        <v>25</v>
      </c>
      <c r="G17" s="206" t="s">
        <v>242</v>
      </c>
      <c r="H17" s="206">
        <v>1</v>
      </c>
      <c r="I17" s="206" t="s">
        <v>227</v>
      </c>
      <c r="J17" s="206">
        <v>1</v>
      </c>
      <c r="K17" s="206" t="s">
        <v>243</v>
      </c>
      <c r="L17" s="172" t="s">
        <v>244</v>
      </c>
      <c r="M17" s="266" t="s">
        <v>291</v>
      </c>
      <c r="N17" s="174" t="s">
        <v>245</v>
      </c>
      <c r="O17" s="201"/>
      <c r="P17" s="201"/>
      <c r="Q17" s="201"/>
      <c r="R17" s="201"/>
      <c r="S17" s="201"/>
      <c r="T17" s="201"/>
      <c r="U17" s="201"/>
    </row>
    <row r="18" spans="1:21" thickBot="1" x14ac:dyDescent="0.35">
      <c r="A18" s="60"/>
      <c r="B18" s="52"/>
      <c r="C18" s="52"/>
      <c r="D18" s="52"/>
      <c r="E18" s="61"/>
      <c r="F18" s="62"/>
      <c r="G18" s="62"/>
      <c r="H18" s="62"/>
      <c r="I18" s="62"/>
      <c r="J18" s="61"/>
      <c r="K18" s="63"/>
      <c r="L18" s="52"/>
      <c r="M18" s="64"/>
      <c r="N18" s="52"/>
      <c r="O18" s="64"/>
      <c r="P18" s="64"/>
      <c r="Q18" s="64"/>
      <c r="R18" s="64"/>
      <c r="S18" s="64"/>
      <c r="T18" s="64"/>
      <c r="U18" s="64"/>
    </row>
    <row r="19" spans="1:21" ht="14.25" customHeight="1" thickBot="1" x14ac:dyDescent="0.35">
      <c r="A19" s="105" t="s">
        <v>56</v>
      </c>
      <c r="C19" s="86"/>
      <c r="D19" s="37"/>
      <c r="E19" s="38"/>
      <c r="F19" s="38"/>
      <c r="G19" s="38"/>
      <c r="H19" s="38"/>
      <c r="I19" s="6"/>
      <c r="J19" s="6"/>
      <c r="K19" s="7"/>
      <c r="L19" s="7"/>
      <c r="M19" s="7"/>
      <c r="N19" s="7"/>
      <c r="O19" s="38"/>
      <c r="P19" s="38"/>
      <c r="Q19" s="38"/>
      <c r="R19" s="38"/>
      <c r="S19" s="38"/>
      <c r="T19" s="38"/>
      <c r="U19" s="38"/>
    </row>
    <row r="20" spans="1:21" ht="39.450000000000003" customHeight="1" thickBot="1" x14ac:dyDescent="0.35">
      <c r="A20" s="214" t="s">
        <v>285</v>
      </c>
      <c r="C20" s="86"/>
      <c r="D20" s="37"/>
      <c r="E20" s="38"/>
      <c r="F20" s="38"/>
      <c r="G20" s="38"/>
      <c r="H20" s="38"/>
      <c r="I20" s="6"/>
      <c r="J20" s="6"/>
      <c r="K20" s="7"/>
      <c r="L20" s="7"/>
      <c r="M20" s="7"/>
      <c r="N20" s="7"/>
      <c r="O20" s="38"/>
      <c r="P20" s="38"/>
      <c r="Q20" s="38"/>
      <c r="R20" s="38"/>
      <c r="S20" s="38"/>
      <c r="T20" s="38"/>
      <c r="U20" s="38"/>
    </row>
    <row r="21" spans="1:21" thickBot="1" x14ac:dyDescent="0.35">
      <c r="A21" s="65"/>
      <c r="B21" s="40"/>
      <c r="C21" s="40"/>
      <c r="D21" s="40"/>
      <c r="E21" s="5"/>
      <c r="F21" s="59"/>
      <c r="G21" s="59"/>
      <c r="H21" s="59"/>
      <c r="I21" s="59"/>
      <c r="J21" s="5"/>
      <c r="K21" s="41"/>
      <c r="L21" s="40"/>
      <c r="M21" s="40"/>
      <c r="N21" s="40"/>
      <c r="O21" s="40"/>
      <c r="P21" s="40"/>
      <c r="Q21" s="40"/>
      <c r="R21" s="40"/>
      <c r="S21" s="40"/>
      <c r="T21" s="40"/>
      <c r="U21" s="40"/>
    </row>
    <row r="22" spans="1:21" thickBot="1" x14ac:dyDescent="0.35">
      <c r="A22" s="94" t="s">
        <v>40</v>
      </c>
      <c r="B22" s="95"/>
      <c r="C22" s="95"/>
      <c r="D22" s="95"/>
      <c r="E22" s="95"/>
      <c r="F22" s="95"/>
      <c r="G22" s="95"/>
      <c r="H22" s="95"/>
      <c r="I22" s="95"/>
      <c r="J22" s="95"/>
      <c r="K22" s="95"/>
      <c r="L22" s="95"/>
      <c r="M22" s="95"/>
      <c r="N22" s="95"/>
      <c r="O22" s="95"/>
      <c r="P22" s="95"/>
      <c r="Q22" s="95"/>
      <c r="R22" s="95"/>
      <c r="S22" s="95"/>
      <c r="T22" s="95"/>
      <c r="U22" s="103"/>
    </row>
    <row r="23" spans="1:21" thickBot="1" x14ac:dyDescent="0.35">
      <c r="A23" s="143" t="s">
        <v>52</v>
      </c>
      <c r="B23" s="144" t="s">
        <v>18</v>
      </c>
      <c r="C23" s="144" t="s">
        <v>109</v>
      </c>
      <c r="D23" s="145" t="s">
        <v>105</v>
      </c>
      <c r="E23" s="144" t="s">
        <v>110</v>
      </c>
      <c r="F23" s="144" t="s">
        <v>106</v>
      </c>
      <c r="G23" s="144" t="s">
        <v>111</v>
      </c>
      <c r="H23" s="144" t="s">
        <v>112</v>
      </c>
      <c r="I23" s="144" t="s">
        <v>113</v>
      </c>
      <c r="J23" s="144" t="s">
        <v>107</v>
      </c>
      <c r="K23" s="144" t="s">
        <v>114</v>
      </c>
      <c r="L23" s="144" t="s">
        <v>108</v>
      </c>
      <c r="M23" s="144" t="s">
        <v>115</v>
      </c>
      <c r="N23" s="144" t="s">
        <v>116</v>
      </c>
      <c r="O23" s="144" t="s">
        <v>117</v>
      </c>
      <c r="P23" s="144" t="s">
        <v>118</v>
      </c>
      <c r="Q23" s="144" t="s">
        <v>119</v>
      </c>
      <c r="R23" s="144" t="s">
        <v>120</v>
      </c>
      <c r="S23" s="146" t="s">
        <v>51</v>
      </c>
      <c r="T23" s="146" t="s">
        <v>121</v>
      </c>
      <c r="U23" s="132" t="s">
        <v>15</v>
      </c>
    </row>
    <row r="24" spans="1:21" ht="15.75" customHeight="1" x14ac:dyDescent="0.3">
      <c r="A24" s="208" t="s">
        <v>231</v>
      </c>
      <c r="B24" s="170" t="s">
        <v>232</v>
      </c>
      <c r="C24" s="209">
        <v>400</v>
      </c>
      <c r="D24" s="204" t="s">
        <v>183</v>
      </c>
      <c r="E24" s="209">
        <f>fg_Tout</f>
        <v>150</v>
      </c>
      <c r="F24" s="204" t="s">
        <v>242</v>
      </c>
      <c r="G24" s="171">
        <v>210</v>
      </c>
      <c r="H24" s="204" t="s">
        <v>183</v>
      </c>
      <c r="I24" s="171">
        <v>0</v>
      </c>
      <c r="J24" s="204" t="s">
        <v>183</v>
      </c>
      <c r="K24" s="262">
        <f>G24/M24/(C24-E24)*3600</f>
        <v>2.4705882352941178</v>
      </c>
      <c r="L24" s="210" t="s">
        <v>272</v>
      </c>
      <c r="M24" s="262">
        <f>CogenFuel/Fuel_LHV*3600*17</f>
        <v>1224</v>
      </c>
      <c r="N24" s="204" t="s">
        <v>189</v>
      </c>
      <c r="O24" s="170">
        <f>dtmin_gas</f>
        <v>8</v>
      </c>
      <c r="P24" s="204" t="s">
        <v>180</v>
      </c>
      <c r="Q24" s="171">
        <v>1</v>
      </c>
      <c r="R24" s="210" t="s">
        <v>273</v>
      </c>
      <c r="S24" s="171" t="s">
        <v>274</v>
      </c>
      <c r="T24" s="171" t="s">
        <v>275</v>
      </c>
      <c r="U24" s="260" t="s">
        <v>276</v>
      </c>
    </row>
    <row r="25" spans="1:21" ht="15.75" customHeight="1" thickBot="1" x14ac:dyDescent="0.35">
      <c r="A25" s="211" t="s">
        <v>233</v>
      </c>
      <c r="B25" s="172" t="s">
        <v>232</v>
      </c>
      <c r="C25" s="212">
        <v>90</v>
      </c>
      <c r="D25" s="207" t="s">
        <v>183</v>
      </c>
      <c r="E25" s="212">
        <f>cw_Tout</f>
        <v>40</v>
      </c>
      <c r="F25" s="207" t="s">
        <v>242</v>
      </c>
      <c r="G25" s="173">
        <v>236</v>
      </c>
      <c r="H25" s="207" t="s">
        <v>183</v>
      </c>
      <c r="I25" s="173">
        <v>0</v>
      </c>
      <c r="J25" s="207" t="s">
        <v>183</v>
      </c>
      <c r="K25" s="263">
        <v>4.2</v>
      </c>
      <c r="L25" s="213" t="s">
        <v>272</v>
      </c>
      <c r="M25" s="263">
        <f>G25/K25/(C25-E25)*3600</f>
        <v>4045.7142857142858</v>
      </c>
      <c r="N25" s="207" t="s">
        <v>189</v>
      </c>
      <c r="O25" s="172">
        <f>dtmin_liquid</f>
        <v>5</v>
      </c>
      <c r="P25" s="207" t="s">
        <v>180</v>
      </c>
      <c r="Q25" s="173">
        <v>1</v>
      </c>
      <c r="R25" s="213" t="s">
        <v>273</v>
      </c>
      <c r="S25" s="173" t="s">
        <v>274</v>
      </c>
      <c r="T25" s="173" t="s">
        <v>275</v>
      </c>
      <c r="U25" s="261" t="s">
        <v>277</v>
      </c>
    </row>
    <row r="26" spans="1:21" ht="14.25" customHeight="1" thickBot="1" x14ac:dyDescent="0.35">
      <c r="A26" s="151"/>
      <c r="B26" s="151"/>
      <c r="C26" s="151"/>
      <c r="D26" s="151"/>
      <c r="E26" s="151"/>
      <c r="F26" s="151"/>
      <c r="G26" s="151"/>
      <c r="H26" s="151"/>
      <c r="I26" s="151"/>
      <c r="J26" s="151"/>
      <c r="K26" s="151"/>
      <c r="L26" s="152"/>
      <c r="M26" s="152"/>
      <c r="N26" s="152"/>
      <c r="O26" s="81"/>
      <c r="P26" s="81"/>
      <c r="Q26" s="81"/>
      <c r="R26" s="81"/>
      <c r="S26" s="81"/>
      <c r="T26" s="81"/>
      <c r="U26" s="81"/>
    </row>
    <row r="27" spans="1:21" ht="14.25" customHeight="1" thickBot="1" x14ac:dyDescent="0.35">
      <c r="A27" s="107" t="s">
        <v>44</v>
      </c>
      <c r="B27" s="86"/>
      <c r="C27" s="86"/>
      <c r="D27" s="37"/>
      <c r="E27" s="38"/>
      <c r="F27" s="38"/>
      <c r="G27" s="38"/>
      <c r="H27" s="38"/>
      <c r="I27" s="88"/>
      <c r="J27" s="6"/>
      <c r="K27" s="7"/>
      <c r="L27" s="86"/>
      <c r="M27" s="86"/>
      <c r="N27" s="86"/>
      <c r="O27" s="38"/>
      <c r="P27" s="38"/>
      <c r="Q27" s="38"/>
      <c r="R27" s="38"/>
      <c r="S27" s="38"/>
      <c r="T27" s="38"/>
      <c r="U27" s="38"/>
    </row>
    <row r="28" spans="1:21" ht="57.45" customHeight="1" thickBot="1" x14ac:dyDescent="0.35">
      <c r="A28" s="215" t="s">
        <v>286</v>
      </c>
      <c r="B28" s="86"/>
      <c r="C28" s="86"/>
      <c r="D28" s="37"/>
      <c r="E28" s="38"/>
      <c r="F28" s="38"/>
      <c r="G28" s="38"/>
      <c r="H28" s="38"/>
      <c r="I28" s="6"/>
      <c r="J28" s="6"/>
      <c r="K28" s="7"/>
      <c r="L28" s="86"/>
      <c r="M28" s="86"/>
      <c r="N28" s="86"/>
      <c r="O28" s="38"/>
      <c r="P28" s="38"/>
      <c r="Q28" s="38"/>
      <c r="R28" s="38"/>
      <c r="S28" s="38"/>
      <c r="T28" s="38"/>
      <c r="U28" s="38"/>
    </row>
    <row r="29" spans="1:21" ht="15.75" customHeight="1" thickBot="1" x14ac:dyDescent="0.35">
      <c r="A29" s="68"/>
      <c r="B29" s="57"/>
      <c r="C29" s="57"/>
      <c r="D29" s="57"/>
      <c r="E29" s="69"/>
      <c r="F29" s="43"/>
      <c r="G29" s="43"/>
      <c r="H29" s="43"/>
      <c r="I29" s="43"/>
      <c r="J29" s="46"/>
      <c r="K29" s="46"/>
      <c r="L29" s="46"/>
      <c r="M29" s="66"/>
      <c r="O29" s="46"/>
      <c r="P29" s="46"/>
      <c r="Q29" s="46"/>
      <c r="R29" s="46"/>
      <c r="S29" s="46"/>
      <c r="T29" s="46"/>
      <c r="U29" s="46"/>
    </row>
    <row r="30" spans="1:21" ht="15.75" customHeight="1" thickBot="1" x14ac:dyDescent="0.35">
      <c r="A30" s="127" t="s">
        <v>41</v>
      </c>
      <c r="B30" s="128"/>
      <c r="C30" s="128"/>
      <c r="D30" s="128"/>
      <c r="E30" s="128"/>
      <c r="F30" s="128"/>
      <c r="G30" s="129"/>
      <c r="H30" s="70" t="s">
        <v>122</v>
      </c>
      <c r="I30" s="46"/>
      <c r="J30" s="46"/>
      <c r="K30" s="46"/>
      <c r="L30" s="46"/>
      <c r="M30" s="46"/>
      <c r="N30" s="43"/>
      <c r="O30" s="46"/>
      <c r="P30" s="46"/>
      <c r="Q30" s="46"/>
      <c r="R30" s="46"/>
      <c r="S30" s="46"/>
      <c r="T30" s="46"/>
      <c r="U30" s="46"/>
    </row>
    <row r="31" spans="1:21" ht="15.75" customHeight="1" thickBot="1" x14ac:dyDescent="0.35">
      <c r="A31" s="111" t="s">
        <v>52</v>
      </c>
      <c r="B31" s="112" t="s">
        <v>18</v>
      </c>
      <c r="C31" s="112" t="s">
        <v>103</v>
      </c>
      <c r="D31" s="112" t="s">
        <v>104</v>
      </c>
      <c r="E31" s="112" t="s">
        <v>53</v>
      </c>
      <c r="F31" s="112" t="s">
        <v>39</v>
      </c>
      <c r="G31" s="114" t="s">
        <v>149</v>
      </c>
      <c r="H31" s="72"/>
      <c r="I31" s="71"/>
      <c r="J31" s="73"/>
      <c r="K31" s="49"/>
      <c r="L31" s="49"/>
      <c r="M31" s="49"/>
      <c r="N31" s="46"/>
      <c r="O31" s="46"/>
      <c r="P31" s="46"/>
      <c r="Q31" s="46"/>
      <c r="R31" s="46"/>
      <c r="S31" s="46"/>
      <c r="T31" s="46"/>
      <c r="U31" s="46"/>
    </row>
    <row r="32" spans="1:21" ht="15.75" customHeight="1" thickBot="1" x14ac:dyDescent="0.35">
      <c r="A32" s="216" t="s">
        <v>279</v>
      </c>
      <c r="B32" s="216" t="s">
        <v>278</v>
      </c>
      <c r="C32" s="216" t="s">
        <v>280</v>
      </c>
      <c r="D32" s="216" t="s">
        <v>281</v>
      </c>
      <c r="E32" s="217" t="s">
        <v>186</v>
      </c>
      <c r="F32" s="216">
        <f>Spec_engineCost</f>
        <v>1200</v>
      </c>
      <c r="G32" s="218" t="s">
        <v>282</v>
      </c>
      <c r="H32" s="72"/>
      <c r="I32" s="74"/>
      <c r="J32" s="38"/>
      <c r="K32" s="5"/>
      <c r="L32" s="5"/>
      <c r="M32" s="40"/>
      <c r="N32" s="45"/>
      <c r="O32" s="46"/>
      <c r="P32" s="46"/>
      <c r="Q32" s="46"/>
      <c r="R32" s="46"/>
      <c r="S32" s="46"/>
      <c r="T32" s="46"/>
      <c r="U32" s="46"/>
    </row>
    <row r="33" spans="1:21" ht="15.75" customHeight="1" x14ac:dyDescent="0.3">
      <c r="A33" s="219"/>
      <c r="B33" s="219"/>
      <c r="C33" s="219"/>
      <c r="D33" s="219"/>
      <c r="E33" s="220" t="s">
        <v>204</v>
      </c>
      <c r="F33" s="219">
        <f>CogenElec</f>
        <v>433</v>
      </c>
      <c r="G33" s="221" t="s">
        <v>183</v>
      </c>
      <c r="H33" s="165"/>
      <c r="I33" s="165"/>
      <c r="J33" s="165"/>
      <c r="K33" s="166"/>
      <c r="L33" s="166"/>
      <c r="M33" s="151"/>
      <c r="N33" s="151"/>
      <c r="O33" s="151"/>
      <c r="P33" s="151"/>
      <c r="Q33" s="151"/>
      <c r="R33" s="151"/>
      <c r="S33" s="151"/>
      <c r="T33" s="151"/>
      <c r="U33" s="151"/>
    </row>
    <row r="34" spans="1:21" ht="15.75" customHeight="1" x14ac:dyDescent="0.3">
      <c r="A34" s="219"/>
      <c r="B34" s="219"/>
      <c r="C34" s="219"/>
      <c r="D34" s="219"/>
      <c r="E34" s="220" t="s">
        <v>201</v>
      </c>
      <c r="F34" s="219">
        <f>CEPCI_2008</f>
        <v>575.4</v>
      </c>
      <c r="G34" s="221" t="s">
        <v>27</v>
      </c>
      <c r="H34" s="165"/>
      <c r="I34" s="165"/>
      <c r="J34" s="165"/>
      <c r="K34" s="166"/>
      <c r="L34" s="166"/>
      <c r="M34" s="151"/>
      <c r="N34" s="151"/>
      <c r="O34" s="151"/>
      <c r="P34" s="151"/>
      <c r="Q34" s="151"/>
      <c r="R34" s="151"/>
      <c r="S34" s="151"/>
      <c r="T34" s="151"/>
      <c r="U34" s="151"/>
    </row>
    <row r="35" spans="1:21" ht="15.75" customHeight="1" thickBot="1" x14ac:dyDescent="0.35">
      <c r="A35" s="222"/>
      <c r="B35" s="222"/>
      <c r="C35" s="222"/>
      <c r="D35" s="222"/>
      <c r="E35" s="223" t="s">
        <v>213</v>
      </c>
      <c r="F35" s="222">
        <f>Annuity</f>
        <v>6.6461535920675496E-2</v>
      </c>
      <c r="G35" s="224" t="s">
        <v>27</v>
      </c>
      <c r="H35" s="165"/>
      <c r="I35" s="165"/>
      <c r="J35" s="165"/>
      <c r="K35" s="166"/>
      <c r="L35" s="166"/>
      <c r="M35" s="151"/>
      <c r="N35" s="151"/>
      <c r="O35" s="151"/>
      <c r="P35" s="151"/>
      <c r="Q35" s="151"/>
      <c r="R35" s="151"/>
      <c r="S35" s="151"/>
      <c r="T35" s="151"/>
      <c r="U35" s="151"/>
    </row>
    <row r="36" spans="1:21" ht="42" customHeight="1" thickBot="1" x14ac:dyDescent="0.35">
      <c r="A36" s="108"/>
      <c r="B36" s="75"/>
      <c r="C36" s="153"/>
      <c r="D36" s="75"/>
      <c r="E36" s="75"/>
      <c r="F36" s="75"/>
      <c r="G36" s="75"/>
      <c r="H36" s="71"/>
    </row>
    <row r="37" spans="1:21" ht="15.75" customHeight="1" thickBot="1" x14ac:dyDescent="0.35">
      <c r="A37" s="107" t="s">
        <v>45</v>
      </c>
      <c r="B37" s="86"/>
      <c r="C37" s="86"/>
      <c r="D37" s="71"/>
      <c r="E37" s="71"/>
      <c r="F37" s="71"/>
      <c r="G37" s="71"/>
      <c r="H37" s="77"/>
    </row>
    <row r="38" spans="1:21" ht="34.799999999999997" customHeight="1" thickBot="1" x14ac:dyDescent="0.35">
      <c r="A38" s="106" t="s">
        <v>42</v>
      </c>
      <c r="B38" s="86"/>
      <c r="C38" s="86"/>
      <c r="D38" s="71"/>
      <c r="E38" s="71"/>
      <c r="F38" s="71"/>
      <c r="G38" s="71"/>
      <c r="H38" s="71"/>
    </row>
    <row r="39" spans="1:21" ht="15.75" customHeight="1" thickBot="1" x14ac:dyDescent="0.35">
      <c r="A39" s="76"/>
      <c r="B39" s="77"/>
      <c r="C39" s="61"/>
      <c r="D39" s="77"/>
      <c r="E39" s="77"/>
      <c r="F39" s="77"/>
      <c r="G39" s="77"/>
      <c r="H39" s="71"/>
    </row>
    <row r="40" spans="1:21" ht="15.75" customHeight="1" thickBot="1" x14ac:dyDescent="0.35">
      <c r="A40" s="78" t="s">
        <v>57</v>
      </c>
      <c r="B40" s="79"/>
      <c r="C40" s="80"/>
      <c r="D40" s="71"/>
      <c r="E40" s="71"/>
      <c r="F40" s="71"/>
      <c r="G40" s="71"/>
      <c r="H40" s="71"/>
    </row>
    <row r="41" spans="1:21" ht="15.75" customHeight="1" thickBot="1" x14ac:dyDescent="0.35">
      <c r="A41" s="147" t="s">
        <v>54</v>
      </c>
      <c r="B41" s="148" t="s">
        <v>55</v>
      </c>
      <c r="C41" s="71"/>
      <c r="D41" s="71"/>
      <c r="E41" s="71"/>
      <c r="F41" s="71"/>
      <c r="G41" s="71"/>
      <c r="H41" s="71"/>
    </row>
    <row r="42" spans="1:21" ht="15.75" customHeight="1" thickBot="1" x14ac:dyDescent="0.35">
      <c r="A42" s="141">
        <v>0</v>
      </c>
      <c r="B42" s="149">
        <v>0</v>
      </c>
      <c r="C42" s="71"/>
      <c r="D42" s="71"/>
      <c r="E42" s="71"/>
      <c r="F42" s="71"/>
      <c r="G42" s="71"/>
      <c r="H42" s="71"/>
    </row>
  </sheetData>
  <dataValidations count="4">
    <dataValidation type="list" allowBlank="1" showErrorMessage="1" sqref="B24:B25" xr:uid="{00000000-0002-0000-0400-000002000000}">
      <formula1>"Cold,Hot"</formula1>
    </dataValidation>
    <dataValidation type="list" allowBlank="1" showErrorMessage="1" sqref="C15:C17" xr:uid="{00000000-0002-0000-0400-000000000000}">
      <formula1>"IN,OUT"</formula1>
    </dataValidation>
    <dataValidation type="list" allowBlank="1" showErrorMessage="1" sqref="B15:B17" xr:uid="{00000000-0002-0000-0400-000001000000}">
      <formula1>"MASS,ELECTRICITY,EMISSIONS,ENERGY"</formula1>
    </dataValidation>
    <dataValidation type="list" errorStyle="information" allowBlank="1" showInputMessage="1" showErrorMessage="1" sqref="E15:E17 G15:G17 I15:I17 D24:D25 F24:F25 H24:H25 J24:J25 L24:L25 N24:N25 P24:P25 R24:R25 G32:G35" xr:uid="{B04F35CE-82D8-4966-A5CB-E895F6C78D63}">
      <formula1>"-,kg,s,m,K,°C,W,bar,kg/h,t/h,kW,kW/m2K,W/m2K,kJ/kgK,kJ/kg,m3/h,Nm3/t,kWh/Nm3,Nm3/h,%,kg/kmol,eur,eur/year,eur/kW,kWel/kWth,year, days"</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5" t="s">
        <v>96</v>
      </c>
      <c r="B1" s="116" t="s">
        <v>39</v>
      </c>
      <c r="C1" s="117" t="s">
        <v>19</v>
      </c>
    </row>
    <row r="2" spans="1:3" thickBot="1" x14ac:dyDescent="0.35">
      <c r="A2" s="155" t="s">
        <v>27</v>
      </c>
      <c r="B2" s="154" t="s">
        <v>27</v>
      </c>
      <c r="C2" s="156" t="s">
        <v>27</v>
      </c>
    </row>
  </sheetData>
  <dataValidations count="1">
    <dataValidation type="list" errorStyle="information" allowBlank="1" showInputMessage="1" showErrorMessage="1" sqref="C2" xr:uid="{740829EA-42AD-4C9E-91CC-7D37748CC7CB}">
      <formula1>"-,kg,s,m,K,°C,W,bar,kg/h,t/h,kW,kW/m2K,W/m2K,kJ/kgK,kJ/kg,m3/h,Nm3/t,kWh/Nm3,Nm3/h,%,kg/kmol,eur,eur/year,eur/kW,kWel/kWth,year, days"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C2" sqref="C2"/>
    </sheetView>
  </sheetViews>
  <sheetFormatPr defaultColWidth="14.44140625" defaultRowHeight="15" customHeight="1" x14ac:dyDescent="0.3"/>
  <cols>
    <col min="2" max="2" width="29.77734375" bestFit="1" customWidth="1"/>
  </cols>
  <sheetData>
    <row r="1" spans="1:4" thickBot="1" x14ac:dyDescent="0.35">
      <c r="A1" s="115" t="s">
        <v>69</v>
      </c>
      <c r="B1" s="116" t="s">
        <v>93</v>
      </c>
      <c r="C1" s="116" t="s">
        <v>91</v>
      </c>
      <c r="D1" s="117" t="s">
        <v>92</v>
      </c>
    </row>
    <row r="2" spans="1:4" ht="15" customHeight="1" thickBot="1" x14ac:dyDescent="0.35">
      <c r="A2" s="161" t="s">
        <v>94</v>
      </c>
      <c r="B2" s="159" t="s">
        <v>7</v>
      </c>
      <c r="C2" s="162">
        <v>46133</v>
      </c>
      <c r="D2" s="163" t="s">
        <v>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J17" sqref="J17"/>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7" t="s">
        <v>89</v>
      </c>
      <c r="B1" s="96"/>
      <c r="C1" s="96"/>
      <c r="D1" s="96"/>
      <c r="E1" s="96"/>
      <c r="F1" s="96"/>
      <c r="G1" s="103"/>
    </row>
    <row r="2" spans="1:7" ht="15" thickBot="1" x14ac:dyDescent="0.35">
      <c r="A2" s="157" t="s">
        <v>90</v>
      </c>
      <c r="B2" s="142" t="s">
        <v>52</v>
      </c>
      <c r="C2" s="142" t="s">
        <v>18</v>
      </c>
      <c r="D2" s="142" t="s">
        <v>88</v>
      </c>
      <c r="E2" s="142" t="s">
        <v>87</v>
      </c>
      <c r="F2" s="142" t="s">
        <v>86</v>
      </c>
      <c r="G2" s="132" t="s">
        <v>71</v>
      </c>
    </row>
    <row r="3" spans="1:7" ht="15" thickBot="1" x14ac:dyDescent="0.35">
      <c r="A3" s="158">
        <v>1</v>
      </c>
      <c r="B3" s="159" t="s">
        <v>238</v>
      </c>
      <c r="C3" s="159" t="s">
        <v>154</v>
      </c>
      <c r="D3" s="159" t="s">
        <v>155</v>
      </c>
      <c r="E3" s="159" t="s">
        <v>156</v>
      </c>
      <c r="F3" s="159" t="s">
        <v>7</v>
      </c>
      <c r="G3" s="160">
        <v>46133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B94C4-7178-4398-B6A0-21FA5AEEE9D0}">
  <sheetPr codeName="Sheet11"/>
  <dimension ref="A1:A36"/>
  <sheetViews>
    <sheetView showGridLines="0" tabSelected="1" topLeftCell="A20" workbookViewId="0">
      <selection activeCell="A8" sqref="A8"/>
    </sheetView>
  </sheetViews>
  <sheetFormatPr defaultRowHeight="14.4" x14ac:dyDescent="0.3"/>
  <cols>
    <col min="1" max="1" width="140.77734375" style="271" customWidth="1"/>
    <col min="2" max="16384" width="8.88671875" style="271"/>
  </cols>
  <sheetData>
    <row r="1" spans="1:1" ht="15.6" thickTop="1" thickBot="1" x14ac:dyDescent="0.35">
      <c r="A1" s="272" t="s">
        <v>287</v>
      </c>
    </row>
    <row r="2" spans="1:1" ht="29.4" thickTop="1" x14ac:dyDescent="0.3">
      <c r="A2" s="271" t="s">
        <v>295</v>
      </c>
    </row>
    <row r="3" spans="1:1" x14ac:dyDescent="0.3">
      <c r="A3" s="271" t="s">
        <v>296</v>
      </c>
    </row>
    <row r="4" spans="1:1" ht="15" thickBot="1" x14ac:dyDescent="0.35"/>
    <row r="5" spans="1:1" ht="15.6" thickTop="1" thickBot="1" x14ac:dyDescent="0.35">
      <c r="A5" s="272" t="s">
        <v>288</v>
      </c>
    </row>
    <row r="6" spans="1:1" ht="15" thickTop="1" x14ac:dyDescent="0.3">
      <c r="A6" s="271" t="str">
        <f>"Primary Input (Natural Gas): "&amp;TEXT(CogenFuel,"#,##0")&amp;" kW (LHV basis)."</f>
        <v>Primary Input (Natural Gas): 1,000 kW (LHV basis).</v>
      </c>
    </row>
    <row r="7" spans="1:1" x14ac:dyDescent="0.3">
      <c r="A7" s="271" t="str">
        <f>"Electrical Output: "&amp;TEXT(CogenElec,"#,##0.00")&amp;" kW (eta_el = "&amp;TEXT(eta_el*100,"0")&amp;"%)."</f>
        <v>Electrical Output: 433.00 kW (eta_el = 43%).</v>
      </c>
    </row>
    <row r="8" spans="1:1" x14ac:dyDescent="0.3">
      <c r="A8" s="271" t="str">
        <f>"Thermal Efficiencies: Flue Gas (eta_th,fg) = "&amp;TEXT(eta_th_fg*100,"0")&amp;"% | Cooling Water (eta_th,cw) = "&amp;TEXT(eta_th_cw*100,"0")&amp;"%."</f>
        <v>Thermal Efficiencies: Flue Gas (eta_th,fg) = 21% | Cooling Water (eta_th,cw) = 24%.</v>
      </c>
    </row>
    <row r="9" spans="1:1" ht="15" thickBot="1" x14ac:dyDescent="0.35"/>
    <row r="10" spans="1:1" ht="15.6" thickTop="1" thickBot="1" x14ac:dyDescent="0.35">
      <c r="A10" s="272" t="s">
        <v>289</v>
      </c>
    </row>
    <row r="11" spans="1:1" ht="15" thickTop="1" x14ac:dyDescent="0.3">
      <c r="A11" s="271" t="s">
        <v>297</v>
      </c>
    </row>
    <row r="12" spans="1:1" x14ac:dyDescent="0.3">
      <c r="A12" s="271" t="str">
        <f>"• Flue Gas (High-Grade): "&amp;TEXT(Q_cogen_fg,"#,##0")&amp;" kW | Range: "&amp;TEXT(fg_Tin,"0")&amp;"°C to "&amp;TEXT(fg_Tout,"0")&amp;"°C."</f>
        <v>• Flue Gas (High-Grade): 210 kW | Range: 400°C to 150°C.</v>
      </c>
    </row>
    <row r="13" spans="1:1" x14ac:dyDescent="0.3">
      <c r="A13" s="271" t="str">
        <f>"• Cooling Water (Low-Grade): "&amp;TEXT(Q_cogen_cw,"#,##0")&amp;" kW | Range: "&amp;TEXT(cw_Tin,"0")&amp;"°C to "&amp;TEXT(cw_Tout,"0")&amp;"°C."</f>
        <v>• Cooling Water (Low-Grade): 236 kW | Range: 90°C to 40°C.</v>
      </c>
    </row>
    <row r="14" spans="1:1" x14ac:dyDescent="0.3">
      <c r="A14" s="271" t="str">
        <f>"Note on Pinch: DTmin used is "&amp;TEXT(dtmin_gas,"0")&amp;" K for gases and "&amp;TEXT(dtmin_liquid,"0")&amp;" K for liquids."</f>
        <v>Note on Pinch: DTmin used is 8 K for gases and 5 K for liquids.</v>
      </c>
    </row>
    <row r="15" spans="1:1" ht="15" thickBot="1" x14ac:dyDescent="0.35"/>
    <row r="16" spans="1:1" ht="15.6" thickTop="1" thickBot="1" x14ac:dyDescent="0.35">
      <c r="A16" s="272" t="s">
        <v>290</v>
      </c>
    </row>
    <row r="17" spans="1:1" ht="15" thickTop="1" x14ac:dyDescent="0.3">
      <c r="A17" s="271" t="str">
        <f>"Specific Cost: "&amp;TEXT(Spec_engineCost,"#,##0")&amp;" Euro/kW based on electrical capacity."</f>
        <v>Specific Cost: 1,200 Euro/kW based on electrical capacity.</v>
      </c>
    </row>
    <row r="18" spans="1:1" x14ac:dyDescent="0.3">
      <c r="A18" s="271" t="str">
        <f>"The project is evaluated over "&amp;TEXT(n,"0")&amp;" years at an interest rate of "&amp;TEXT(i*100,"0")&amp;"%."</f>
        <v>The project is evaluated over 40 years at an interest rate of 6%.</v>
      </c>
    </row>
    <row r="19" spans="1:1" x14ac:dyDescent="0.3">
      <c r="A19" s="271" t="str">
        <f>"Total Annualized CAPEX: "&amp;TEXT(Cinv2_cogen,"#,##0.00")&amp;" Euro/year."</f>
        <v>Total Annualized CAPEX: 35,781.75 Euro/year.</v>
      </c>
    </row>
    <row r="20" spans="1:1" ht="15" thickBot="1" x14ac:dyDescent="0.35"/>
    <row r="21" spans="1:1" ht="15.6" thickTop="1" thickBot="1" x14ac:dyDescent="0.35">
      <c r="A21" s="272" t="s">
        <v>298</v>
      </c>
    </row>
    <row r="22" spans="1:1" ht="15" thickTop="1" x14ac:dyDescent="0.3">
      <c r="A22" s="271" t="str">
        <f>"Power generation efficiency: "&amp;TEXT(eta_el,"#,##0.00")&amp;" "&amp;"-"</f>
        <v>Power generation efficiency: 0.43 -</v>
      </c>
    </row>
    <row r="23" spans="1:1" x14ac:dyDescent="0.3">
      <c r="A23" s="271" t="str">
        <f>"Thermal efficiency for heat in flue gases: "&amp;TEXT(eta_th_fg,"#,##0.00")&amp;" "&amp;"-"</f>
        <v>Thermal efficiency for heat in flue gases: 0.21 -</v>
      </c>
    </row>
    <row r="24" spans="1:1" x14ac:dyDescent="0.3">
      <c r="A24" s="271" t="str">
        <f>"Thermal efficiency for heat in cooling water: "&amp;TEXT(eta_th_cw,"#,##0.00")&amp;" "&amp;"-"</f>
        <v>Thermal efficiency for heat in cooling water: 0.24 -</v>
      </c>
    </row>
    <row r="25" spans="1:1" x14ac:dyDescent="0.3">
      <c r="A25" s="271" t="str">
        <f>"Flue gas inlet temperature: "&amp;TEXT(fg_Tin,"#,##0.00")&amp;" "&amp;"°C"</f>
        <v>Flue gas inlet temperature: 400.00 °C</v>
      </c>
    </row>
    <row r="26" spans="1:1" x14ac:dyDescent="0.3">
      <c r="A26" s="271" t="str">
        <f>"Waste heat flue gas outlet temperature: "&amp;TEXT(fg_Tout,"#,##0.00")&amp;" "&amp;"°C"</f>
        <v>Waste heat flue gas outlet temperature: 150.00 °C</v>
      </c>
    </row>
    <row r="27" spans="1:1" x14ac:dyDescent="0.3">
      <c r="A27" s="271" t="str">
        <f>"Low-grade waste heat cooling water inlet temperature: "&amp;TEXT(cw_Tin,"#,##0.00")&amp;" "&amp;"°C"</f>
        <v>Low-grade waste heat cooling water inlet temperature: 90.00 °C</v>
      </c>
    </row>
    <row r="28" spans="1:1" x14ac:dyDescent="0.3">
      <c r="A28" s="271" t="str">
        <f>"Low-grade waste heat cooling water outlet temperature: "&amp;TEXT(cw_Tout,"#,##0.00")&amp;" "&amp;"°C"</f>
        <v>Low-grade waste heat cooling water outlet temperature: 40.00 °C</v>
      </c>
    </row>
    <row r="29" spans="1:1" x14ac:dyDescent="0.3">
      <c r="A29" s="271" t="str">
        <f>"Lower heating value of natural gas: "&amp;TEXT(Fuel_LHV,"#,##0.00")&amp;" "&amp;"kJ/kg"</f>
        <v>Lower heating value of natural gas: 50,000.00 kJ/kg</v>
      </c>
    </row>
    <row r="30" spans="1:1" x14ac:dyDescent="0.3">
      <c r="A30" s="271" t="str">
        <f>"Reference cogeneration unit fuel consumption: "&amp;TEXT(CogenFuel,"#,##0.00")&amp;" "&amp;"kW"</f>
        <v>Reference cogeneration unit fuel consumption: 1,000.00 kW</v>
      </c>
    </row>
    <row r="31" spans="1:1" x14ac:dyDescent="0.3">
      <c r="A31" s="271" t="str">
        <f>"Associated CO2 emissions: "&amp;TEXT(CO2fromICE,"#,##0.00")&amp;" "&amp;"kg/h"</f>
        <v>Associated CO2 emissions: 198.00 kg/h</v>
      </c>
    </row>
    <row r="32" spans="1:1" x14ac:dyDescent="0.3">
      <c r="A32" s="271" t="str">
        <f>"Engine specific investment cost: "&amp;TEXT(Spec_engineCost,"#,##0.00")&amp;" "&amp;"Euro/kW"</f>
        <v>Engine specific investment cost: 1,200.00 Euro/kW</v>
      </c>
    </row>
    <row r="33" spans="1:1" x14ac:dyDescent="0.3">
      <c r="A33" s="271" t="str">
        <f>"Yearly investment cost: "&amp;TEXT(Cinv2_cogen,"#,##0.00")&amp;" "&amp;"Euro/y"</f>
        <v>Yearly investment cost: 35,781.75 Euro/y</v>
      </c>
    </row>
    <row r="34" spans="1:1" ht="15" thickBot="1" x14ac:dyDescent="0.35"/>
    <row r="35" spans="1:1" ht="15.6" thickTop="1" thickBot="1" x14ac:dyDescent="0.35">
      <c r="A35" s="272" t="s">
        <v>299</v>
      </c>
    </row>
    <row r="36" spans="1:1" ht="58.2" thickTop="1" x14ac:dyDescent="0.3">
      <c r="A36" s="271" t="s">
        <v>236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22</vt:i4>
      </vt:variant>
    </vt:vector>
  </HeadingPairs>
  <TitlesOfParts>
    <vt:vector size="31" baseType="lpstr">
      <vt:lpstr>README</vt:lpstr>
      <vt:lpstr>METADATA</vt:lpstr>
      <vt:lpstr>CONNECTORS</vt:lpstr>
      <vt:lpstr>VARIABLES</vt:lpstr>
      <vt:lpstr>NatgasEngine</vt:lpstr>
      <vt:lpstr>CALCULATIONS</vt:lpstr>
      <vt:lpstr>CHANGELOG</vt:lpstr>
      <vt:lpstr>SUPPL MATERIAL</vt:lpstr>
      <vt:lpstr>DOCUMENTATION</vt:lpstr>
      <vt:lpstr>Annuity</vt:lpstr>
      <vt:lpstr>CEPCI_2008</vt:lpstr>
      <vt:lpstr>CEPCI_2020</vt:lpstr>
      <vt:lpstr>Cinv2_cogen</vt:lpstr>
      <vt:lpstr>CO2fromICE</vt:lpstr>
      <vt:lpstr>CogenElec</vt:lpstr>
      <vt:lpstr>CogenFuel</vt:lpstr>
      <vt:lpstr>cw_Tin</vt:lpstr>
      <vt:lpstr>cw_Tout</vt:lpstr>
      <vt:lpstr>dtmin_gas</vt:lpstr>
      <vt:lpstr>dtmin_liquid</vt:lpstr>
      <vt:lpstr>eta_el</vt:lpstr>
      <vt:lpstr>eta_th_cw</vt:lpstr>
      <vt:lpstr>eta_th_fg</vt:lpstr>
      <vt:lpstr>fg_Tin</vt:lpstr>
      <vt:lpstr>fg_Tout</vt:lpstr>
      <vt:lpstr>Fuel_LHV</vt:lpstr>
      <vt:lpstr>i</vt:lpstr>
      <vt:lpstr>n</vt:lpstr>
      <vt:lpstr>Q_cogen_cw</vt:lpstr>
      <vt:lpstr>Q_cogen_fg</vt:lpstr>
      <vt:lpstr>Spec_engineCost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2026-05-06T12:19:40Z</dcterms:modified>
</cp:coreProperties>
</file>