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codeName="ThisWorkbook"/>
  <mc:AlternateContent xmlns:mc="http://schemas.openxmlformats.org/markup-compatibility/2006">
    <mc:Choice Requires="x15">
      <x15ac:absPath xmlns:x15ac="http://schemas.microsoft.com/office/spreadsheetml/2010/11/ac" url="https://d.docs.live.net/f3aee38b355b722b/Documents/02_EPFL/01_MA2/SemesterProject/PdS2026/Cooling Tower/"/>
    </mc:Choice>
  </mc:AlternateContent>
  <xr:revisionPtr revIDLastSave="17" documentId="13_ncr:1_{576B73A6-07D6-4E95-B1E3-0449F13C2A0F}" xr6:coauthVersionLast="47" xr6:coauthVersionMax="47" xr10:uidLastSave="{5E9BD2E1-4892-406A-B340-ECE066F93497}"/>
  <bookViews>
    <workbookView xWindow="-108" yWindow="-108" windowWidth="23256" windowHeight="13176" firstSheet="3" activeTab="8" xr2:uid="{00000000-000D-0000-FFFF-FFFF00000000}"/>
  </bookViews>
  <sheets>
    <sheet name="README" sheetId="1" r:id="rId1"/>
    <sheet name="METADATA" sheetId="2" r:id="rId2"/>
    <sheet name="CONNECTORS" sheetId="3" r:id="rId3"/>
    <sheet name="VARIABLES" sheetId="4" r:id="rId4"/>
    <sheet name="CoolTower" sheetId="5" r:id="rId5"/>
    <sheet name="CALCULATIONS" sheetId="10" r:id="rId6"/>
    <sheet name="CHANGELOG" sheetId="9" r:id="rId7"/>
    <sheet name="SUPPL MATERIAL" sheetId="11" r:id="rId8"/>
    <sheet name="DOCUMENTATION" sheetId="42" r:id="rId9"/>
  </sheets>
  <definedNames>
    <definedName name="Annuity">VARIABLES!$E$37</definedName>
    <definedName name="Annuity_max">VARIABLES!$I$37</definedName>
    <definedName name="Annuity_min">VARIABLES!$H$37</definedName>
    <definedName name="approach">VARIABLES!$E$33</definedName>
    <definedName name="approach_max">VARIABLES!$I$33</definedName>
    <definedName name="approach_min">VARIABLES!$H$33</definedName>
    <definedName name="CEPCI_2008">VARIABLES!$E$30</definedName>
    <definedName name="CEPCI_2008_max">VARIABLES!$I$30</definedName>
    <definedName name="CEPCI_2008_min">VARIABLES!$H$30</definedName>
    <definedName name="CEPCI_2020">VARIABLES!$E$29</definedName>
    <definedName name="CEPCI_2020_max">VARIABLES!$I$29</definedName>
    <definedName name="CEPCI_2020_min">VARIABLES!$H$29</definedName>
    <definedName name="Cinv2_CT">VARIABLES!$E$39</definedName>
    <definedName name="Cinv2_CT_max">VARIABLES!$I$39</definedName>
    <definedName name="Cinv2_CT_min">VARIABLES!$H$39</definedName>
    <definedName name="Cool_Elec">VARIABLES!$E$23</definedName>
    <definedName name="Cool_Elec_max">VARIABLES!$I$23</definedName>
    <definedName name="Cool_Elec_min">VARIABLES!$H$23</definedName>
    <definedName name="Cool_Qmax">VARIABLES!$E$19</definedName>
    <definedName name="Cool_Qmax_max">VARIABLES!$I$19</definedName>
    <definedName name="Cool_Qmax_min">VARIABLES!$H$19</definedName>
    <definedName name="Cool_Tin">VARIABLES!$E$16</definedName>
    <definedName name="Cool_Tin_max">VARIABLES!$I$16</definedName>
    <definedName name="Cool_Tin_min">VARIABLES!$H$16</definedName>
    <definedName name="Cool_Tout">VARIABLES!$E$17</definedName>
    <definedName name="Cool_Tout_max">VARIABLES!$I$17</definedName>
    <definedName name="Cool_Tout_min">VARIABLES!$H$17</definedName>
    <definedName name="cp_water">VARIABLES!$E$18</definedName>
    <definedName name="cp_water_max">VARIABLES!$I$18</definedName>
    <definedName name="cp_water_min">VARIABLES!$H$18</definedName>
    <definedName name="CTCost">VARIABLES!$E$38</definedName>
    <definedName name="CTCost_max">VARIABLES!$I$38</definedName>
    <definedName name="CTCost_min">VARIABLES!$H$38</definedName>
    <definedName name="dtmin_2ph">VARIABLES!$E$26</definedName>
    <definedName name="dtmin_2ph_max">VARIABLES!$I$26</definedName>
    <definedName name="dtmin_2ph_min">VARIABLES!$H$26</definedName>
    <definedName name="dtmin_gas">VARIABLES!$E$24</definedName>
    <definedName name="dtmin_gas_max">VARIABLES!$I$24</definedName>
    <definedName name="dtmin_gas_min">VARIABLES!$H$24</definedName>
    <definedName name="dtmin_liq">VARIABLES!$E$25</definedName>
    <definedName name="dtmin_liq_max">VARIABLES!$I$25</definedName>
    <definedName name="dtmin_liq_min">VARIABLES!$H$25</definedName>
    <definedName name="E_ref_CT">VARIABLES!$E$31</definedName>
    <definedName name="E_ref_CT_max">VARIABLES!$I$31</definedName>
    <definedName name="E_ref_CT_min">VARIABLES!$H$31</definedName>
    <definedName name="i">VARIABLES!$E$28</definedName>
    <definedName name="i_max">VARIABLES!$I$28</definedName>
    <definedName name="i_min">VARIABLES!$H$28</definedName>
    <definedName name="n">VARIABLES!$E$27</definedName>
    <definedName name="n_max">VARIABLES!$I$27</definedName>
    <definedName name="n_min">VARIABLES!$H$27</definedName>
    <definedName name="range">VARIABLES!$E$32</definedName>
    <definedName name="range_max">VARIABLES!$I$32</definedName>
    <definedName name="range_min">VARIABLES!$H$32</definedName>
    <definedName name="RelatHum">VARIABLES!$E$21</definedName>
    <definedName name="RelatHum_max">VARIABLES!$I$21</definedName>
    <definedName name="RelatHum_min">VARIABLES!$H$21</definedName>
    <definedName name="Tdrybulb">VARIABLES!$E$20</definedName>
    <definedName name="Tdrybulb_max">VARIABLES!$I$20</definedName>
    <definedName name="Tdrybulb_min">VARIABLES!$H$20</definedName>
    <definedName name="Twetbulb">VARIABLES!$E$22</definedName>
    <definedName name="Twetbulb_max">VARIABLES!$I$22</definedName>
    <definedName name="Twetbulb_min">VARIABLES!$H$22</definedName>
    <definedName name="water_flow">VARIABLES!$E$34</definedName>
    <definedName name="water_flow_max">VARIABLES!$I$34</definedName>
    <definedName name="water_flow_min">VARIABLES!$H$34</definedName>
    <definedName name="water_vflow">VARIABLES!$E$35</definedName>
    <definedName name="water_vflow_max">VARIABLES!$I$35</definedName>
    <definedName name="water_vflow_min">VARIABLES!$H$35</definedName>
    <definedName name="watermu_CT">VARIABLES!$E$36</definedName>
    <definedName name="watermu_CT_max">VARIABLES!$I$36</definedName>
    <definedName name="watermu_CT_min">VARIABLES!$H$36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4" roundtripDataChecksum="bNxJkgama/kYeBi4o0J15qkHQT9g9UA3B49WFr4NTgI="/>
    </ext>
  </extLst>
</workbook>
</file>

<file path=xl/calcChain.xml><?xml version="1.0" encoding="utf-8"?>
<calcChain xmlns="http://schemas.openxmlformats.org/spreadsheetml/2006/main">
  <c r="A25" i="42" l="1"/>
  <c r="A24" i="42"/>
  <c r="A23" i="42"/>
  <c r="A22" i="42"/>
  <c r="A21" i="42"/>
  <c r="A20" i="42"/>
  <c r="A19" i="42"/>
  <c r="A18" i="42"/>
  <c r="A17" i="42"/>
  <c r="A16" i="42"/>
  <c r="A15" i="42"/>
  <c r="A12" i="42"/>
  <c r="A9" i="42"/>
  <c r="A6" i="42"/>
  <c r="E23" i="5" l="1"/>
  <c r="D23" i="5"/>
  <c r="G33" i="5"/>
  <c r="G32" i="5"/>
  <c r="P23" i="5"/>
  <c r="N23" i="5"/>
  <c r="L23" i="5"/>
  <c r="J23" i="5"/>
  <c r="F23" i="5"/>
  <c r="E16" i="5"/>
  <c r="E15" i="5"/>
  <c r="E22" i="4"/>
  <c r="E37" i="4"/>
  <c r="E32" i="4"/>
  <c r="E34" i="4" s="1"/>
  <c r="E31" i="4"/>
  <c r="F33" i="5"/>
  <c r="F31" i="5"/>
  <c r="F30" i="5"/>
  <c r="E35" i="4" l="1"/>
  <c r="E36" i="4" s="1"/>
  <c r="E33" i="4"/>
  <c r="H35" i="4"/>
  <c r="F16" i="5"/>
  <c r="I33" i="4"/>
  <c r="H33" i="4"/>
  <c r="I32" i="4"/>
  <c r="H32" i="4"/>
  <c r="I31" i="4"/>
  <c r="H31" i="4"/>
  <c r="E38" i="4" l="1"/>
  <c r="I35" i="4"/>
  <c r="E39" i="4" l="1"/>
  <c r="K23" i="5"/>
  <c r="O23" i="5" l="1"/>
  <c r="C23" i="5"/>
  <c r="I23" i="5" l="1"/>
  <c r="F32" i="5"/>
  <c r="D15" i="5"/>
  <c r="D16" i="5" l="1"/>
  <c r="M23" i="5"/>
</calcChain>
</file>

<file path=xl/sharedStrings.xml><?xml version="1.0" encoding="utf-8"?>
<sst xmlns="http://schemas.openxmlformats.org/spreadsheetml/2006/main" count="517" uniqueCount="328">
  <si>
    <t>PURPOSE</t>
  </si>
  <si>
    <t>This document has been developed under the IETS Task XXIV: Process Integration for Industrial Decarbonization, as part of Activity 1: Specifications, Ontologies, and Procedures. It provides a standardized template for documenting and sharing ex-ante process and energy systems models. This template is intended to provide a structured, standardized format for documenting and sharing models in a way that supports collaboration, validation, and transparent reuse across the IETS community.</t>
  </si>
  <si>
    <t>CONNECTORS</t>
  </si>
  <si>
    <t>VARIABLES</t>
  </si>
  <si>
    <t>Variables are the core elements used to specify connectors and define the transformations taking place within units. Through these variables, the behavior of process and energy technologies is quantitatively described. The variables can can either have a default value that is assigned to them or they can be calculated by a mathematical operation. The type of variables that are proposed are, context, literature, measured and decision variables. The distinction between the types are explained further in the respective tab.</t>
  </si>
  <si>
    <t>UNITS</t>
  </si>
  <si>
    <t>A representative name for the model</t>
  </si>
  <si>
    <t>Daniel Florez-Orrego, Oktay Boztas</t>
  </si>
  <si>
    <t>Open</t>
  </si>
  <si>
    <t>01.06.2025</t>
  </si>
  <si>
    <t>The creation date of the model</t>
  </si>
  <si>
    <t>Softwares that are used during the development of the model</t>
  </si>
  <si>
    <t>URL</t>
  </si>
  <si>
    <t>The date of the last modification to the model</t>
  </si>
  <si>
    <t>Keywords can be assigned to enable structured categorization of the models</t>
  </si>
  <si>
    <t>DESCRIPTION</t>
  </si>
  <si>
    <t>EXTERNAL CONNECTORS</t>
  </si>
  <si>
    <t>NAME (ALIAS)</t>
  </si>
  <si>
    <t>TYPE</t>
  </si>
  <si>
    <t>PHYSICAL UNIT</t>
  </si>
  <si>
    <t>TEMPERATURE</t>
  </si>
  <si>
    <t>TEMPERATURE UNIT</t>
  </si>
  <si>
    <t>PRESSURE</t>
  </si>
  <si>
    <t>PRESSURE UNIT</t>
  </si>
  <si>
    <t>VAPOR FRACTION [MASS]</t>
  </si>
  <si>
    <t>PHASE</t>
  </si>
  <si>
    <t>COMPOSITION [MOLE/MASS]</t>
  </si>
  <si>
    <t>MASS</t>
  </si>
  <si>
    <t>kg/h</t>
  </si>
  <si>
    <t>bar</t>
  </si>
  <si>
    <t>(L)</t>
  </si>
  <si>
    <t>WATER</t>
  </si>
  <si>
    <t>MASSFRAC:H2O[1]</t>
  </si>
  <si>
    <t>ELECTRICITY</t>
  </si>
  <si>
    <t>kW</t>
  </si>
  <si>
    <t>-</t>
  </si>
  <si>
    <t>INTERNAL CONNECTORS</t>
  </si>
  <si>
    <t>VARIABLE TYPES</t>
  </si>
  <si>
    <r>
      <rPr>
        <b/>
        <sz val="11"/>
        <color theme="1"/>
        <rFont val="Calibri"/>
        <family val="2"/>
      </rPr>
      <t>Context:</t>
    </r>
    <r>
      <rPr>
        <sz val="11"/>
        <color theme="1"/>
        <rFont val="Calibri"/>
        <family val="2"/>
      </rPr>
      <t xml:space="preserve"> These variables are defined at a higher level and refer to local conditions (e.g., ambient temperature and pressure), economic factors (e.g., specific costs), or energy-related parameters.</t>
    </r>
  </si>
  <si>
    <r>
      <rPr>
        <b/>
        <sz val="11"/>
        <color theme="1"/>
        <rFont val="Calibri"/>
        <family val="2"/>
      </rPr>
      <t xml:space="preserve">Literature: </t>
    </r>
    <r>
      <rPr>
        <sz val="11"/>
        <color theme="1"/>
        <rFont val="Calibri"/>
        <family val="2"/>
      </rPr>
      <t>These variables are defined from the literature sources. They include physical constants, reported efficiencies or other variables that are not measured but assumed from literature sources.</t>
    </r>
  </si>
  <si>
    <r>
      <rPr>
        <b/>
        <sz val="11"/>
        <color theme="1"/>
        <rFont val="Calibri"/>
        <family val="2"/>
      </rPr>
      <t>Measured:</t>
    </r>
    <r>
      <rPr>
        <sz val="11"/>
        <color theme="1"/>
        <rFont val="Calibri"/>
        <family val="2"/>
      </rPr>
      <t xml:space="preserve"> These variables are directly measured directly in the industrial or technological system.</t>
    </r>
  </si>
  <si>
    <r>
      <rPr>
        <b/>
        <sz val="11"/>
        <color theme="1"/>
        <rFont val="Calibri"/>
        <family val="2"/>
      </rPr>
      <t>Decision:</t>
    </r>
    <r>
      <rPr>
        <sz val="11"/>
        <color theme="1"/>
        <rFont val="Calibri"/>
        <family val="2"/>
      </rPr>
      <t xml:space="preserve"> These variable are set by the engineers to as degrees of freedom to evaluate their impact on the performance of the energy system</t>
    </r>
  </si>
  <si>
    <t>USER GRADE</t>
  </si>
  <si>
    <r>
      <rPr>
        <b/>
        <sz val="11"/>
        <color theme="1"/>
        <rFont val="Calibri"/>
        <family val="2"/>
      </rPr>
      <t xml:space="preserve">Mandatory: </t>
    </r>
    <r>
      <rPr>
        <sz val="11"/>
        <color theme="1"/>
        <rFont val="Calibri"/>
        <family val="2"/>
      </rPr>
      <t>The user of the model is expected to assign a default value to the variable.</t>
    </r>
  </si>
  <si>
    <r>
      <rPr>
        <b/>
        <sz val="11"/>
        <color theme="1"/>
        <rFont val="Calibri"/>
        <family val="2"/>
      </rPr>
      <t xml:space="preserve">Optional: </t>
    </r>
    <r>
      <rPr>
        <sz val="11"/>
        <color theme="1"/>
        <rFont val="Calibri"/>
        <family val="2"/>
      </rPr>
      <t>Experienced users can modify the default value.</t>
    </r>
  </si>
  <si>
    <r>
      <rPr>
        <b/>
        <sz val="11"/>
        <color theme="1"/>
        <rFont val="Calibri"/>
        <family val="2"/>
      </rPr>
      <t xml:space="preserve">Private: </t>
    </r>
    <r>
      <rPr>
        <sz val="11"/>
        <color theme="1"/>
        <rFont val="Calibri"/>
        <family val="2"/>
      </rPr>
      <t>Decided by the model developer, and users are not allowed to change the default value.</t>
    </r>
  </si>
  <si>
    <t>CONTEXT</t>
  </si>
  <si>
    <t>LITERATURE</t>
  </si>
  <si>
    <t>MANDATORY</t>
  </si>
  <si>
    <t>kW/m2K</t>
  </si>
  <si>
    <t>OPTIONAL</t>
  </si>
  <si>
    <t>DIRECTION</t>
  </si>
  <si>
    <t>VALUE</t>
  </si>
  <si>
    <t>IN</t>
  </si>
  <si>
    <t>HEAT STREAMS</t>
  </si>
  <si>
    <t>Hot</t>
  </si>
  <si>
    <t>EQUIPMENTS</t>
  </si>
  <si>
    <t>Lifetime</t>
  </si>
  <si>
    <t>year</t>
  </si>
  <si>
    <t>The fixed and variable operating costs includes manpower, fixed cost of operation, taxes etc.</t>
  </si>
  <si>
    <t>TRL</t>
  </si>
  <si>
    <t>EQUIPMENTS DESCRIPTION</t>
  </si>
  <si>
    <t>OPERATING COST DESCRIPTION</t>
  </si>
  <si>
    <t>UNIT DESCRIPTION</t>
  </si>
  <si>
    <t>CONNECTORS DESCRIPTION</t>
  </si>
  <si>
    <t>UNIT NAME</t>
  </si>
  <si>
    <t>MAXIMUM CAPACITY MULT</t>
  </si>
  <si>
    <t>MINIMUM CAPACITY MULT</t>
  </si>
  <si>
    <t>HEAT CASCADE</t>
  </si>
  <si>
    <t>NAME</t>
  </si>
  <si>
    <t>PARAMS</t>
  </si>
  <si>
    <t>FIXED OPERATING COST [EUR/y]</t>
  </si>
  <si>
    <t>VARIABLE OPERATING COST [EUR/h]</t>
  </si>
  <si>
    <t>HEAT STREAMS DESCRIPTION</t>
  </si>
  <si>
    <t>The variable operating cost is calculated by multiplying the specific operating cost [EUR/kWh or EUR/kg] and reference capacity [kW or kg/h]</t>
  </si>
  <si>
    <t>Fetch the intensive properties from the connectors tab</t>
  </si>
  <si>
    <t>The declared connectors within the units can be a mix of external and internal connectors</t>
  </si>
  <si>
    <t>FULL NAME</t>
  </si>
  <si>
    <t>MIN BOUND</t>
  </si>
  <si>
    <t>MAX BOUND</t>
  </si>
  <si>
    <t>LATEX SYNTAX</t>
  </si>
  <si>
    <t>kJ/kgK</t>
  </si>
  <si>
    <t>Precheck that each of these internal connectors has at least one in and one out within a model.</t>
  </si>
  <si>
    <t>External connectors should be defined in a global database that documents the physical units and the quality of the connectors to be used for models integration</t>
  </si>
  <si>
    <t>MODEL UID</t>
  </si>
  <si>
    <t>MODEL NAME</t>
  </si>
  <si>
    <t>AUTHORS AND CONTRIBUTORS</t>
  </si>
  <si>
    <t>VERSION</t>
  </si>
  <si>
    <t>CONFIDENTIALITY</t>
  </si>
  <si>
    <t>CREATION DATE</t>
  </si>
  <si>
    <t>REFERENCES</t>
  </si>
  <si>
    <t>GRADE</t>
  </si>
  <si>
    <t>SOFTWARE</t>
  </si>
  <si>
    <t>LAST UPDATED</t>
  </si>
  <si>
    <t>KEYWORDS</t>
  </si>
  <si>
    <t>REFERENCE CAPACITY 
(MAIN PRODUCT/FEEDSTOCK)</t>
  </si>
  <si>
    <t>DOI</t>
  </si>
  <si>
    <t>BLOCK FLOW DIAGRAM ( .png or .svg)</t>
  </si>
  <si>
    <t>CONTACT INFO</t>
  </si>
  <si>
    <t>daniel.florezorrego@epfl.ch, oktay.boztas@epfl.ch</t>
  </si>
  <si>
    <t>MAIN RELATED PUBLICATION</t>
  </si>
  <si>
    <t>MODEL STATUS</t>
  </si>
  <si>
    <t>Maintained</t>
  </si>
  <si>
    <t>SUPPLEMENTARY MATERIAL</t>
  </si>
  <si>
    <t>AUTHORS</t>
  </si>
  <si>
    <t>SIZE</t>
  </si>
  <si>
    <t>FORMAT</t>
  </si>
  <si>
    <t>LIST OF SUPPLEMENTARY MATERIAL</t>
  </si>
  <si>
    <t>No.</t>
  </si>
  <si>
    <t>DATE</t>
  </si>
  <si>
    <t>COMMENTS</t>
  </si>
  <si>
    <t>CONTRIBUTOR</t>
  </si>
  <si>
    <t>1.0.1</t>
  </si>
  <si>
    <t>Original file</t>
  </si>
  <si>
    <t>PARAMETER</t>
  </si>
  <si>
    <t>Drawio</t>
  </si>
  <si>
    <t>50 kB</t>
  </si>
  <si>
    <t>See SUPPL MATERIAL tab</t>
  </si>
  <si>
    <t>VARIABLE NAME</t>
  </si>
  <si>
    <t>SOFTWARE FILE</t>
  </si>
  <si>
    <t>UID</t>
  </si>
  <si>
    <t>Metadata is important for model documentation and versioning, as well as for authorship and supplementary material indexation</t>
  </si>
  <si>
    <t>SHARING LAYER</t>
  </si>
  <si>
    <t>SUBTYPE</t>
  </si>
  <si>
    <t>REFERENCE</t>
  </si>
  <si>
    <t>INLET TEMPERATURE UNIT</t>
  </si>
  <si>
    <t>OUTLET TEMPERATURE UNIT</t>
  </si>
  <si>
    <t>OUTLET ENTHALPY FLOW UNIT</t>
  </si>
  <si>
    <t>SPEC HEAT CAP UNIT</t>
  </si>
  <si>
    <t>INLET TEMPERATURE VALUE</t>
  </si>
  <si>
    <t>OUTLET TEMPERATURE VALUE</t>
  </si>
  <si>
    <t>INLET ENTHALPY FLOW VALUE</t>
  </si>
  <si>
    <t>INLET ENTHALPY FLOW UNIT</t>
  </si>
  <si>
    <t>OUTLET ENTHALPY FLOW VALUE</t>
  </si>
  <si>
    <t>SPEC HEAT CAP VALUE</t>
  </si>
  <si>
    <t>MASS FLOW VALUE</t>
  </si>
  <si>
    <t>MASS FLOW UNIT</t>
  </si>
  <si>
    <t>K</t>
  </si>
  <si>
    <t>DTMIN CONTR VALUE</t>
  </si>
  <si>
    <t>DTMIN CONTR UNIT</t>
  </si>
  <si>
    <t>HEAT TRANSFER COEF VALUE</t>
  </si>
  <si>
    <t>HEAT TRANSFER COEF UNIT</t>
  </si>
  <si>
    <t>REFERENCE STREAM</t>
  </si>
  <si>
    <t>Yes</t>
  </si>
  <si>
    <t>No</t>
  </si>
  <si>
    <t>Obtain investment from equipments cost database, which already provides the application range</t>
  </si>
  <si>
    <t>METADATA</t>
  </si>
  <si>
    <t>The metadata section includes essential metadata about the model. The information provided ensures clear classification, proper attribution, and traceability by capturing key details about the model’s identity, origin, and context.</t>
  </si>
  <si>
    <t>Interconnections between processes and energy technologies are established via connectors, which serve as structured representations of mass, electricity, and heat flows. They are analogous to pipelines that is mediating the exchange of flows at the boundaries of units. They can be categorised as:
- External connectors in case they are realizing an exchange between the unit and technosphere or environment. Example to external connectors are feedstock, product, waste or emission flows.
- Internal connectors, which represent exchanges occurring between subprocesses, where the flows remain within the boundaries of the overall process.</t>
  </si>
  <si>
    <t>Units are blocks that represent the transformations occurring within a defined boundary of a process or energy technology. These transformations are expressed through connector. Units may have material flows, electricity consumption or supply, and heat demand or supply, represented by hot and cold heat streams. Units are considered to be linearly scalable within a defined capacity range during MILP optimization, specified by minimum and maximum multipliers. The units are defined for a reference capacity.</t>
  </si>
  <si>
    <t>Digital object identifier of the model</t>
  </si>
  <si>
    <t>Description of the model for discoverability and overview</t>
  </si>
  <si>
    <t>List of supplementary material of the model</t>
  </si>
  <si>
    <t>Keeps a clear version history</t>
  </si>
  <si>
    <t>The level of sensitivity can be indicated as open, restricted, confidential</t>
  </si>
  <si>
    <t>Authors and contributors to the development of the model with their affiliated organizations.</t>
  </si>
  <si>
    <t>Contact information of the authors and contributors</t>
  </si>
  <si>
    <t>Maintained or Archived model</t>
  </si>
  <si>
    <t>The sharing layer is the extent of detail adopted for the model at certain time</t>
  </si>
  <si>
    <t>Black-box for static or surrogate models, Gray-box for partly adjustable models, and White-box for models with flowsheet</t>
  </si>
  <si>
    <t>The reference capacity of the model can be defined based on the main product</t>
  </si>
  <si>
    <t>Technology readiness level of the model. The minimum TRL corresponds to the minimum level considering the model units</t>
  </si>
  <si>
    <t>Link to the main related publication(s) to the model</t>
  </si>
  <si>
    <t>References used during the model development can be provided in a .bib file</t>
  </si>
  <si>
    <t>Physycal file of the model (if available), otherwise, N.A.</t>
  </si>
  <si>
    <t>Graphical representation of the block flow diagram of the model</t>
  </si>
  <si>
    <t>Link to the repository where the model is alternatively stored</t>
  </si>
  <si>
    <r>
      <rPr>
        <b/>
        <sz val="11"/>
        <color theme="1"/>
        <rFont val="Calibri"/>
        <family val="2"/>
        <scheme val="minor"/>
      </rPr>
      <t>Calculated</t>
    </r>
    <r>
      <rPr>
        <sz val="11"/>
        <color theme="1"/>
        <rFont val="Calibri"/>
        <family val="2"/>
        <scheme val="minor"/>
      </rPr>
      <t>: These are derived variables, calculated based on the previous types of variables and are considered as dependent variables</t>
    </r>
  </si>
  <si>
    <t>TEMPERATURE VALUE</t>
  </si>
  <si>
    <t>PRESSURE VALUE</t>
  </si>
  <si>
    <t>FLOW VALUE</t>
  </si>
  <si>
    <t>FLOW UNIT</t>
  </si>
  <si>
    <t>UNIT</t>
  </si>
  <si>
    <t>Compare Fmin and Fmax to define if it scalable of fixed, if fixed Fmin=Fmax=Fmult</t>
  </si>
  <si>
    <t>FORMULA OR PATH</t>
  </si>
  <si>
    <t>DEFAULT VALUE</t>
  </si>
  <si>
    <t>Daniel Flórez-Orrego, EPFL IPESE research group</t>
  </si>
  <si>
    <t>24.03.2026</t>
  </si>
  <si>
    <t>Cooling tower utility</t>
  </si>
  <si>
    <t>Electricity</t>
  </si>
  <si>
    <t>Water</t>
  </si>
  <si>
    <t>Cool_Tin</t>
  </si>
  <si>
    <t>$Cool_{Tin}$</t>
  </si>
  <si>
    <t>Cool_Tout</t>
  </si>
  <si>
    <t>$Cool_{Tout}$</t>
  </si>
  <si>
    <t>Cool_Qmax</t>
  </si>
  <si>
    <t>$Cool_{Qmax}$</t>
  </si>
  <si>
    <t>Tdrybulb</t>
  </si>
  <si>
    <t>$T_{drybulb}$</t>
  </si>
  <si>
    <t>RelatHum</t>
  </si>
  <si>
    <t>Relative humidity</t>
  </si>
  <si>
    <t>%</t>
  </si>
  <si>
    <t>$RelatHum$</t>
  </si>
  <si>
    <t>Twetbulb</t>
  </si>
  <si>
    <t>$T_{wetbulb}$</t>
  </si>
  <si>
    <t>check the Twet bulb for each application</t>
  </si>
  <si>
    <t>Cool_Elec</t>
  </si>
  <si>
    <t>kWel/kWth</t>
  </si>
  <si>
    <t>$Cool_{Elec}$</t>
  </si>
  <si>
    <t>dtmin_gas</t>
  </si>
  <si>
    <t>$\Delta t_{min,\,gas}$</t>
  </si>
  <si>
    <t>dtmin_liq</t>
  </si>
  <si>
    <t>$\Delta t_{min,\,liq}$</t>
  </si>
  <si>
    <t>dtmin_2ph</t>
  </si>
  <si>
    <t>$\Delta t_{min,\,2ph}$</t>
  </si>
  <si>
    <t>n</t>
  </si>
  <si>
    <t>$n$</t>
  </si>
  <si>
    <t>i</t>
  </si>
  <si>
    <t>Interest rate</t>
  </si>
  <si>
    <t>$i$</t>
  </si>
  <si>
    <t>CEPCI_2020</t>
  </si>
  <si>
    <t>Actual CEPCI</t>
  </si>
  <si>
    <t>$CEPCI_{2020}$</t>
  </si>
  <si>
    <t>CEPCI_2008</t>
  </si>
  <si>
    <t>CEPCI 2008</t>
  </si>
  <si>
    <t>$CEPCI_{2008}$</t>
  </si>
  <si>
    <t>E_ref_CT</t>
  </si>
  <si>
    <t>$E_{ref,\,CT}$</t>
  </si>
  <si>
    <t>approach</t>
  </si>
  <si>
    <t>$approach$</t>
  </si>
  <si>
    <t>water_flow</t>
  </si>
  <si>
    <t>Water flow rate</t>
  </si>
  <si>
    <t>t/h</t>
  </si>
  <si>
    <t>$\dot{m}_{water}$</t>
  </si>
  <si>
    <t>water_vflow</t>
  </si>
  <si>
    <t>Water volume flow rate for 1t/m3</t>
  </si>
  <si>
    <t>$\dot{V}_{water}$</t>
  </si>
  <si>
    <t>watermu_CT</t>
  </si>
  <si>
    <t>Makeup water in the CT system</t>
  </si>
  <si>
    <t>m3/h</t>
  </si>
  <si>
    <t>$\mu_{water,\,CT}$</t>
  </si>
  <si>
    <t>Annuity</t>
  </si>
  <si>
    <t>$Annuity$</t>
  </si>
  <si>
    <t>CTCost</t>
  </si>
  <si>
    <t>Eur</t>
  </si>
  <si>
    <t>$C_{T,\,cost}$</t>
  </si>
  <si>
    <t>Cinv2_CT</t>
  </si>
  <si>
    <t>Eur/y</t>
  </si>
  <si>
    <t>$C_{inv2,\,CT}$</t>
  </si>
  <si>
    <t> Cooling tower reference heat load</t>
  </si>
  <si>
    <t>Dry bulb temperature</t>
  </si>
  <si>
    <t>Wet bulb temperature</t>
  </si>
  <si>
    <t>CoolingTower</t>
  </si>
  <si>
    <t>MASSFRAC:H20[1]</t>
  </si>
  <si>
    <t>Electricity input</t>
  </si>
  <si>
    <t>Water input</t>
  </si>
  <si>
    <t>There is one heat stream that carries away the waste heat produced during operation</t>
  </si>
  <si>
    <t>Cooling tower heat</t>
  </si>
  <si>
    <t>MARLEY, Cooling Tower energy and its management</t>
  </si>
  <si>
    <t>Electricity consumption</t>
  </si>
  <si>
    <t>Temperature range</t>
  </si>
  <si>
    <t>Difference between return and supply temperature</t>
  </si>
  <si>
    <t>Approach temperature</t>
  </si>
  <si>
    <t>range</t>
  </si>
  <si>
    <t>Cooling electricity per thermal power</t>
  </si>
  <si>
    <t>Electricity power input per thermal power output. Energy for 400 tons - 30kW</t>
  </si>
  <si>
    <t>Delta Tmin for gas phase</t>
  </si>
  <si>
    <t>Delta Tmin for liquid cooling water</t>
  </si>
  <si>
    <t>Delta Tmin for 2 phases fluid</t>
  </si>
  <si>
    <t>Total investment cost</t>
  </si>
  <si>
    <t>Annualized investment cost</t>
  </si>
  <si>
    <t>Makeup water</t>
  </si>
  <si>
    <t>Grey box</t>
  </si>
  <si>
    <t>100000 kW of cooling</t>
  </si>
  <si>
    <t xml:space="preserve">Cold utility, Cooling water, Electricity, Evaporation </t>
  </si>
  <si>
    <t>NA</t>
  </si>
  <si>
    <t>https://www.sciencedirect.com/science/article/pii/S0959652619335176</t>
  </si>
  <si>
    <t>CoolingTower\Figures\CoolTower.svg</t>
  </si>
  <si>
    <t>DECISION</t>
  </si>
  <si>
    <t>cp_water</t>
  </si>
  <si>
    <t xml:space="preserve">Cooling tower return water  temperature </t>
  </si>
  <si>
    <t xml:space="preserve">Cooling tower supply water temperature </t>
  </si>
  <si>
    <t>$cp_{water}$</t>
  </si>
  <si>
    <t>Heat capacity of water at 25°C</t>
  </si>
  <si>
    <t>Minimal temperature difference in a heat exchanger operating with gas</t>
  </si>
  <si>
    <t>Minimal temperature difference in a heat exchanger operating with liquid</t>
  </si>
  <si>
    <t>Minimal temperature difference in a heat exchanger operating with two phase mixture</t>
  </si>
  <si>
    <t>Lifetime of the cooling tower</t>
  </si>
  <si>
    <t>CEPCI for the reference year (2008)</t>
  </si>
  <si>
    <t>Electricity consumption of the cooling tower</t>
  </si>
  <si>
    <t>Water flow rate in ton per hour</t>
  </si>
  <si>
    <t>Water volumetric flow rate</t>
  </si>
  <si>
    <t>Makeup water volumetric flow rate</t>
  </si>
  <si>
    <t>Annualization factor</t>
  </si>
  <si>
    <t>Heat capacity water</t>
  </si>
  <si>
    <t>Cooling tower heat load</t>
  </si>
  <si>
    <t>This unit represents a cooling tower removing 100000 kW of heat via evaporative cooling, supplying water at 13°C.</t>
  </si>
  <si>
    <t>This unit includes an electricity input for auxiliary equipment (fans and pumps) and a water input representing the circulating cooling water to be cooled. The unit outputs heat to the environment via a thermal stream.</t>
  </si>
  <si>
    <t>°C</t>
  </si>
  <si>
    <t>Default</t>
  </si>
  <si>
    <t>Asset</t>
  </si>
  <si>
    <t>Cooling tower</t>
  </si>
  <si>
    <t>@Florez-Orrego et al</t>
  </si>
  <si>
    <t>CoolingUtility</t>
  </si>
  <si>
    <t xml:space="preserve"> </t>
  </si>
  <si>
    <t>A full cooling tower (asset) equipment is required for cost calculation.</t>
  </si>
  <si>
    <t>Check the Tdry bulb for each application</t>
  </si>
  <si>
    <t>Check the relative humidity for each application</t>
  </si>
  <si>
    <t xml:space="preserve">CEPCI (2020) </t>
  </si>
  <si>
    <t>Interest rate of the cooling tower</t>
  </si>
  <si>
    <t>Difference between dry and wet bulb temperature</t>
  </si>
  <si>
    <t>Cool_Elec*Cool_Qmax</t>
  </si>
  <si>
    <t>Cool_Tout-Cool_Tin</t>
  </si>
  <si>
    <t>Cool_Tin-Twetbulb</t>
  </si>
  <si>
    <t>Cool_Qmax/cp_water/range*3600/1000</t>
  </si>
  <si>
    <t>water_flow*1</t>
  </si>
  <si>
    <t>0.00085*1.8*water_vflow*(Cool_Tout-Cool_Tin)</t>
  </si>
  <si>
    <t>(i*(i+1)^n)/((i+1)^n-1)</t>
  </si>
  <si>
    <t>746.49/0.066*(water_flow^0.79)*(range^0.57)*((approach)^(-0.9924))*(0.022*Twetbulb+0.39)^2.447</t>
  </si>
  <si>
    <t>CTCost*(CEPCI_2020/CEPCI_2008)*Annuity</t>
  </si>
  <si>
    <t>$range$</t>
  </si>
  <si>
    <t>1. Overview</t>
  </si>
  <si>
    <t>2. Wet-Bulb Temperature</t>
  </si>
  <si>
    <t>3. Design Constraints</t>
  </si>
  <si>
    <t>4. Key Model Parameters</t>
  </si>
  <si>
    <t>5. References</t>
  </si>
  <si>
    <t>Tdrybulb * ATAN(0.151977 * SQRT(RelatHum+8.313659)) + ATAN(Tdrybulb+RelatHum) - ATAN(RelatHum-1.676331) + 0.00391838 * RelatHum^1.5 * ATAN(0.023101*RelatHum) - 4.686035</t>
  </si>
  <si>
    <t>[1] Int. J. Environ. Sci. Tech., 5 (2), 251-262, Spring 2008
[2] ECOS2105, Florez-Orrego, et al
[3] Stull, Wet-Bulb Temperature from Relative Humidity and Air Temperature, 2011, DOI: https://doi.org/10.1175/JAMC-D-11-0143.1
[4] Perry Chemical Engineers Handbook
[5] https://spxcooling.com/coolingtowers
[6] MARLEY, Cooling Tower energy and its management</t>
  </si>
  <si>
    <t>Industrial processes generate large amounts of waste heat from exothermic reactions, combustion chambers, and dissipative components such as intercooled compression systems. When internal heat recovery is not possible, excess heat must be removed using auxiliary fluids. In water-based cooling systems, circulating water collects waste heat from the process and is treated in a cooling tower.</t>
  </si>
  <si>
    <t>The cooling tower is a specialized heat and mass exchange device in which hot circulating water is sprayed and brought into direct contact with fresh air. A small fraction of the water evaporates, lowering the bulk water temperature. The cooled water is then pumped back to the process to absorb heat again, completing the cycle. The tower can achieve temperatures below the dry-bulb air temperature by exploiting the evaporative effect, cooling the water down toward the wet-bulb temperature.</t>
  </si>
  <si>
    <t>CoolTower</t>
  </si>
  <si>
    <t xml:space="preserve">Cooling tower inlet temperature </t>
  </si>
  <si>
    <t xml:space="preserve">Cooling tower outlet temperature </t>
  </si>
  <si>
    <t>.svg</t>
  </si>
  <si>
    <t>[1] Int. J. Environ. Sci. Tech., 5 (2), 251-262, Spring 2008;
[2] ECOS2105, Florez-Orrego, et al;
[3] Stull, Wet-Bulb Temperature from Relative Humidity and Air Temperature, 2011, DOI: https://doi.org/10.1175/JAMC-D-11-0143.1;
[4] Perry Chemical Engineers Handbook;
[5] https://spxcooling.com/coolingtowers;
[6] MARLEY, Cooling Tower energy and its management</t>
  </si>
  <si>
    <t>years</t>
  </si>
  <si>
    <t>EPFL IPESE research group</t>
  </si>
  <si>
    <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</si>
</sst>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0"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font>
    <font>
      <sz val="11"/>
      <color theme="1"/>
      <name val="Calibri"/>
      <family val="2"/>
    </font>
    <font>
      <b/>
      <sz val="11"/>
      <color rgb="FFFF0000"/>
      <name val="Calibri"/>
      <family val="2"/>
    </font>
    <font>
      <b/>
      <sz val="11"/>
      <color rgb="FF000000"/>
      <name val="Calibri"/>
      <family val="2"/>
      <scheme val="minor"/>
    </font>
  </fonts>
  <fills count="14">
    <fill>
      <patternFill patternType="none"/>
    </fill>
    <fill>
      <patternFill patternType="gray125"/>
    </fill>
    <fill>
      <patternFill patternType="solid">
        <fgColor rgb="FFBDD6EE"/>
        <bgColor rgb="FFBDD6EE"/>
      </patternFill>
    </fill>
    <fill>
      <patternFill patternType="solid">
        <fgColor theme="0"/>
        <bgColor theme="0"/>
      </patternFill>
    </fill>
    <fill>
      <patternFill patternType="solid">
        <fgColor rgb="FFFFFFFF"/>
        <bgColor rgb="FFFFFFFF"/>
      </patternFill>
    </fill>
    <fill>
      <patternFill patternType="solid">
        <fgColor rgb="FF9CC2E5"/>
        <bgColor rgb="FF9CC2E5"/>
      </patternFill>
    </fill>
    <fill>
      <patternFill patternType="solid">
        <fgColor theme="0"/>
        <bgColor indexed="64"/>
      </patternFill>
    </fill>
    <fill>
      <patternFill patternType="solid">
        <fgColor theme="2"/>
        <bgColor theme="0"/>
      </patternFill>
    </fill>
    <fill>
      <patternFill patternType="solid">
        <fgColor theme="2"/>
        <bgColor indexed="64"/>
      </patternFill>
    </fill>
    <fill>
      <patternFill patternType="solid">
        <fgColor theme="2"/>
        <bgColor rgb="FFFFFFFF"/>
      </patternFill>
    </fill>
    <fill>
      <patternFill patternType="solid">
        <fgColor rgb="FFBDD6EE"/>
        <bgColor indexed="64"/>
      </patternFill>
    </fill>
    <fill>
      <patternFill patternType="solid">
        <fgColor theme="5" tint="0.79998168889431442"/>
        <bgColor theme="0"/>
      </patternFill>
    </fill>
    <fill>
      <patternFill patternType="solid">
        <fgColor theme="5" tint="0.79998168889431442"/>
        <bgColor indexed="64"/>
      </patternFill>
    </fill>
    <fill>
      <patternFill patternType="solid">
        <fgColor theme="5" tint="0.79998168889431442"/>
        <bgColor rgb="FFFFFFFF"/>
      </patternFill>
    </fill>
  </fills>
  <borders count="90">
    <border>
      <left/>
      <right/>
      <top/>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bottom/>
      <diagonal/>
    </border>
    <border>
      <left/>
      <right/>
      <top/>
      <bottom/>
      <diagonal/>
    </border>
    <border>
      <left/>
      <right/>
      <top/>
      <bottom/>
      <diagonal/>
    </border>
    <border>
      <left/>
      <right/>
      <top/>
      <bottom/>
      <diagonal/>
    </border>
    <border>
      <left/>
      <right/>
      <top/>
      <bottom/>
      <diagonal/>
    </border>
    <border>
      <left style="medium">
        <color rgb="FFFFFFFF"/>
      </left>
      <right style="medium">
        <color rgb="FFFFFFFF"/>
      </right>
      <top style="medium">
        <color rgb="FFFFFFFF"/>
      </top>
      <bottom style="medium">
        <color rgb="FFFFFFFF"/>
      </bottom>
      <diagonal/>
    </border>
    <border>
      <left style="medium">
        <color rgb="FF000000"/>
      </left>
      <right/>
      <top style="medium">
        <color rgb="FF000000"/>
      </top>
      <bottom/>
      <diagonal/>
    </border>
    <border>
      <left/>
      <right/>
      <top style="medium">
        <color rgb="FF000000"/>
      </top>
      <bottom/>
      <diagonal/>
    </border>
    <border>
      <left style="medium">
        <color rgb="FF000000"/>
      </left>
      <right/>
      <top/>
      <bottom/>
      <diagonal/>
    </border>
    <border>
      <left/>
      <right style="medium">
        <color rgb="FF000000"/>
      </right>
      <top/>
      <bottom/>
      <diagonal/>
    </border>
    <border>
      <left style="thin">
        <color rgb="FFFFFFFF"/>
      </left>
      <right style="thin">
        <color rgb="FFFFFFFF"/>
      </right>
      <top/>
      <bottom style="thin">
        <color rgb="FFFFFFFF"/>
      </bottom>
      <diagonal/>
    </border>
    <border>
      <left/>
      <right/>
      <top/>
      <bottom/>
      <diagonal/>
    </border>
    <border>
      <left/>
      <right/>
      <top/>
      <bottom/>
      <diagonal/>
    </border>
    <border>
      <left/>
      <right style="medium">
        <color rgb="FFFFFFFF"/>
      </right>
      <top/>
      <bottom style="medium">
        <color rgb="FFFFFFFF"/>
      </bottom>
      <diagonal/>
    </border>
    <border>
      <left style="thin">
        <color rgb="FFFFFFFF"/>
      </left>
      <right style="thin">
        <color rgb="FFFFFFFF"/>
      </right>
      <top style="thin">
        <color rgb="FFFFFFFF"/>
      </top>
      <bottom/>
      <diagonal/>
    </border>
    <border>
      <left/>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style="thin">
        <color rgb="FFFFFFFF"/>
      </left>
      <right style="thin">
        <color rgb="FFFFFFFF"/>
      </right>
      <top/>
      <bottom/>
      <diagonal/>
    </border>
    <border>
      <left/>
      <right/>
      <top/>
      <bottom/>
      <diagonal/>
    </border>
    <border>
      <left/>
      <right/>
      <top/>
      <bottom/>
      <diagonal/>
    </border>
    <border>
      <left style="medium">
        <color rgb="FFFFFFFF"/>
      </left>
      <right style="medium">
        <color rgb="FFFFFFFF"/>
      </right>
      <top/>
      <bottom style="medium">
        <color rgb="FFFFFFFF"/>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D9D9D9"/>
      </left>
      <right style="thin">
        <color rgb="FFD9D9D9"/>
      </right>
      <top style="thin">
        <color rgb="FFD9D9D9"/>
      </top>
      <bottom style="thin">
        <color rgb="FFD9D9D9"/>
      </bottom>
      <diagonal/>
    </border>
    <border>
      <left style="thin">
        <color rgb="FFFFFFFF"/>
      </left>
      <right style="medium">
        <color rgb="FFFFFFFF"/>
      </right>
      <top/>
      <bottom style="medium">
        <color rgb="FFFFFFFF"/>
      </bottom>
      <diagonal/>
    </border>
    <border>
      <left/>
      <right style="medium">
        <color rgb="FFFFFFFF"/>
      </right>
      <top style="medium">
        <color rgb="FFFFFFFF"/>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diagonal/>
    </border>
    <border>
      <left style="medium">
        <color rgb="FFFFFFFF"/>
      </left>
      <right style="medium">
        <color rgb="FFFFFFFF"/>
      </right>
      <top/>
      <bottom style="medium">
        <color rgb="FFFFFFFF"/>
      </bottom>
      <diagonal/>
    </border>
    <border>
      <left style="medium">
        <color rgb="FF000000"/>
      </left>
      <right style="thin">
        <color rgb="FFCCCCCC"/>
      </right>
      <top style="medium">
        <color rgb="FF000000"/>
      </top>
      <bottom style="medium">
        <color rgb="FF000000"/>
      </bottom>
      <diagonal/>
    </border>
    <border>
      <left style="thin">
        <color rgb="FFCCCCCC"/>
      </left>
      <right style="thin">
        <color rgb="FFCCCCCC"/>
      </right>
      <top style="medium">
        <color rgb="FF000000"/>
      </top>
      <bottom style="medium">
        <color rgb="FF000000"/>
      </bottom>
      <diagonal/>
    </border>
    <border>
      <left/>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style="medium">
        <color rgb="FFFFFFFF"/>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style="medium">
        <color rgb="FF000000"/>
      </top>
      <bottom style="medium">
        <color indexed="64"/>
      </bottom>
      <diagonal/>
    </border>
    <border>
      <left style="medium">
        <color indexed="64"/>
      </left>
      <right style="thin">
        <color rgb="FFD9D9D9"/>
      </right>
      <top style="medium">
        <color indexed="64"/>
      </top>
      <bottom style="thin">
        <color rgb="FFD9D9D9"/>
      </bottom>
      <diagonal/>
    </border>
    <border>
      <left style="thin">
        <color rgb="FFD9D9D9"/>
      </left>
      <right style="thin">
        <color rgb="FFD9D9D9"/>
      </right>
      <top style="medium">
        <color indexed="64"/>
      </top>
      <bottom style="thin">
        <color rgb="FFD9D9D9"/>
      </bottom>
      <diagonal/>
    </border>
    <border>
      <left style="thin">
        <color rgb="FFD9D9D9"/>
      </left>
      <right style="medium">
        <color indexed="64"/>
      </right>
      <top style="medium">
        <color indexed="64"/>
      </top>
      <bottom style="thin">
        <color rgb="FFD9D9D9"/>
      </bottom>
      <diagonal/>
    </border>
    <border>
      <left style="medium">
        <color indexed="64"/>
      </left>
      <right style="thin">
        <color rgb="FFD9D9D9"/>
      </right>
      <top style="thin">
        <color rgb="FFD9D9D9"/>
      </top>
      <bottom style="thin">
        <color rgb="FFD9D9D9"/>
      </bottom>
      <diagonal/>
    </border>
    <border>
      <left style="thin">
        <color rgb="FFD9D9D9"/>
      </left>
      <right style="medium">
        <color indexed="64"/>
      </right>
      <top style="thin">
        <color rgb="FFD9D9D9"/>
      </top>
      <bottom style="thin">
        <color rgb="FFD9D9D9"/>
      </bottom>
      <diagonal/>
    </border>
    <border>
      <left style="medium">
        <color indexed="64"/>
      </left>
      <right/>
      <top/>
      <bottom/>
      <diagonal/>
    </border>
    <border>
      <left/>
      <right style="medium">
        <color indexed="64"/>
      </right>
      <top/>
      <bottom/>
      <diagonal/>
    </border>
    <border>
      <left style="medium">
        <color indexed="64"/>
      </left>
      <right style="thin">
        <color rgb="FFD9D9D9"/>
      </right>
      <top style="thin">
        <color rgb="FFD9D9D9"/>
      </top>
      <bottom style="medium">
        <color indexed="64"/>
      </bottom>
      <diagonal/>
    </border>
    <border>
      <left style="thin">
        <color rgb="FFD9D9D9"/>
      </left>
      <right style="thin">
        <color rgb="FFD9D9D9"/>
      </right>
      <top style="thin">
        <color rgb="FFD9D9D9"/>
      </top>
      <bottom style="medium">
        <color indexed="64"/>
      </bottom>
      <diagonal/>
    </border>
    <border>
      <left/>
      <right/>
      <top style="medium">
        <color rgb="FF000000"/>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rgb="FF000000"/>
      </right>
      <top style="medium">
        <color rgb="FF000000"/>
      </top>
      <bottom style="medium">
        <color indexed="64"/>
      </bottom>
      <diagonal/>
    </border>
    <border>
      <left/>
      <right/>
      <top style="medium">
        <color indexed="64"/>
      </top>
      <bottom/>
      <diagonal/>
    </border>
    <border>
      <left style="thin">
        <color rgb="FFD9D9D9"/>
      </left>
      <right style="thin">
        <color rgb="FFD9D9D9"/>
      </right>
      <top style="medium">
        <color indexed="64"/>
      </top>
      <bottom/>
      <diagonal/>
    </border>
    <border>
      <left style="medium">
        <color rgb="FF000000"/>
      </left>
      <right style="thin">
        <color rgb="FFCCCCCC"/>
      </right>
      <top/>
      <bottom/>
      <diagonal/>
    </border>
    <border>
      <left style="thin">
        <color rgb="FFCCCCCC"/>
      </left>
      <right style="thin">
        <color rgb="FFCCCCCC"/>
      </right>
      <top/>
      <bottom/>
      <diagonal/>
    </border>
    <border>
      <left style="thin">
        <color rgb="FFCCCCCC"/>
      </left>
      <right style="thin">
        <color rgb="FFCCCCCC"/>
      </right>
      <top style="medium">
        <color rgb="FF000000"/>
      </top>
      <bottom/>
      <diagonal/>
    </border>
    <border>
      <left style="thin">
        <color rgb="FFCCCCCC"/>
      </left>
      <right/>
      <top style="medium">
        <color rgb="FF000000"/>
      </top>
      <bottom/>
      <diagonal/>
    </border>
    <border>
      <left style="thin">
        <color rgb="FFD9D9D9"/>
      </left>
      <right style="medium">
        <color theme="1"/>
      </right>
      <top style="thin">
        <color rgb="FFD9D9D9"/>
      </top>
      <bottom style="thin">
        <color rgb="FFD9D9D9"/>
      </bottom>
      <diagonal/>
    </border>
    <border>
      <left style="thin">
        <color rgb="FFD9D9D9"/>
      </left>
      <right style="medium">
        <color theme="1"/>
      </right>
      <top style="thin">
        <color rgb="FFD9D9D9"/>
      </top>
      <bottom style="medium">
        <color indexed="64"/>
      </bottom>
      <diagonal/>
    </border>
    <border>
      <left style="thin">
        <color rgb="FFFFFFFF"/>
      </left>
      <right/>
      <top/>
      <bottom style="thin">
        <color rgb="FFFFFFFF"/>
      </bottom>
      <diagonal/>
    </border>
    <border>
      <left style="medium">
        <color rgb="FFFFFFFF"/>
      </left>
      <right/>
      <top/>
      <bottom style="medium">
        <color rgb="FFFFFFFF"/>
      </bottom>
      <diagonal/>
    </border>
    <border>
      <left/>
      <right style="thin">
        <color rgb="FFFFFFFF"/>
      </right>
      <top/>
      <bottom style="thin">
        <color rgb="FFFFFFFF"/>
      </bottom>
      <diagonal/>
    </border>
    <border>
      <left style="medium">
        <color indexed="64"/>
      </left>
      <right style="medium">
        <color theme="0"/>
      </right>
      <top style="medium">
        <color indexed="64"/>
      </top>
      <bottom/>
      <diagonal/>
    </border>
    <border>
      <left style="medium">
        <color theme="0"/>
      </left>
      <right style="medium">
        <color theme="0"/>
      </right>
      <top style="medium">
        <color indexed="64"/>
      </top>
      <bottom/>
      <diagonal/>
    </border>
    <border>
      <left/>
      <right style="medium">
        <color theme="0"/>
      </right>
      <top style="medium">
        <color indexed="64"/>
      </top>
      <bottom/>
      <diagonal/>
    </border>
    <border>
      <left/>
      <right/>
      <top style="thin">
        <color theme="2"/>
      </top>
      <bottom style="thin">
        <color theme="2"/>
      </bottom>
      <diagonal/>
    </border>
    <border>
      <left style="thick">
        <color rgb="FF000000"/>
      </left>
      <right style="thick">
        <color rgb="FF000000"/>
      </right>
      <top style="thick">
        <color rgb="FF000000"/>
      </top>
      <bottom style="thick">
        <color rgb="FF000000"/>
      </bottom>
      <diagonal/>
    </border>
  </borders>
  <cellStyleXfs count="2">
    <xf numFmtId="0" fontId="0" fillId="0" borderId="0"/>
    <xf numFmtId="0" fontId="5" fillId="0" borderId="45"/>
  </cellStyleXfs>
  <cellXfs count="261">
    <xf numFmtId="0" fontId="0" fillId="0" borderId="0" xfId="0"/>
    <xf numFmtId="0" fontId="17" fillId="3" borderId="4" xfId="0" applyFont="1" applyFill="1" applyBorder="1" applyAlignment="1">
      <alignment horizontal="center" vertical="center"/>
    </xf>
    <xf numFmtId="0" fontId="17" fillId="3" borderId="5" xfId="0" applyFont="1" applyFill="1" applyBorder="1" applyAlignment="1">
      <alignment horizontal="left" vertical="center"/>
    </xf>
    <xf numFmtId="0" fontId="17" fillId="3" borderId="7" xfId="0" applyFont="1" applyFill="1" applyBorder="1"/>
    <xf numFmtId="0" fontId="17" fillId="3" borderId="3" xfId="0" applyFont="1" applyFill="1" applyBorder="1"/>
    <xf numFmtId="0" fontId="14" fillId="0" borderId="8" xfId="0" applyFont="1" applyBorder="1"/>
    <xf numFmtId="0" fontId="14" fillId="4" borderId="8" xfId="0" applyFont="1" applyFill="1" applyBorder="1"/>
    <xf numFmtId="0" fontId="16" fillId="4" borderId="8" xfId="0" applyFont="1" applyFill="1" applyBorder="1" applyAlignment="1">
      <alignment horizontal="center"/>
    </xf>
    <xf numFmtId="0" fontId="14" fillId="0" borderId="13" xfId="0" applyFont="1" applyBorder="1"/>
    <xf numFmtId="0" fontId="17" fillId="3" borderId="14" xfId="0" applyFont="1" applyFill="1" applyBorder="1"/>
    <xf numFmtId="0" fontId="17" fillId="3" borderId="15" xfId="0" applyFont="1" applyFill="1" applyBorder="1"/>
    <xf numFmtId="0" fontId="15" fillId="0" borderId="17" xfId="0" applyFont="1" applyBorder="1"/>
    <xf numFmtId="0" fontId="14" fillId="0" borderId="17" xfId="0" applyFont="1" applyBorder="1"/>
    <xf numFmtId="0" fontId="17" fillId="3" borderId="18" xfId="0" applyFont="1" applyFill="1" applyBorder="1"/>
    <xf numFmtId="0" fontId="17" fillId="4" borderId="19" xfId="0" applyFont="1" applyFill="1" applyBorder="1"/>
    <xf numFmtId="0" fontId="18" fillId="4" borderId="1" xfId="0" applyFont="1" applyFill="1" applyBorder="1" applyAlignment="1">
      <alignment horizontal="left"/>
    </xf>
    <xf numFmtId="0" fontId="17" fillId="4" borderId="1" xfId="0" applyFont="1" applyFill="1" applyBorder="1" applyAlignment="1">
      <alignment horizontal="left"/>
    </xf>
    <xf numFmtId="0" fontId="14" fillId="4" borderId="1" xfId="0" applyFont="1" applyFill="1" applyBorder="1" applyAlignment="1">
      <alignment horizontal="left"/>
    </xf>
    <xf numFmtId="0" fontId="17" fillId="4" borderId="29" xfId="0" applyFont="1" applyFill="1" applyBorder="1" applyAlignment="1">
      <alignment horizontal="center"/>
    </xf>
    <xf numFmtId="0" fontId="17" fillId="4" borderId="24" xfId="0" applyFont="1" applyFill="1" applyBorder="1" applyAlignment="1">
      <alignment horizontal="center"/>
    </xf>
    <xf numFmtId="0" fontId="17" fillId="4" borderId="30" xfId="0" applyFont="1" applyFill="1" applyBorder="1" applyAlignment="1">
      <alignment horizontal="center"/>
    </xf>
    <xf numFmtId="0" fontId="17" fillId="4" borderId="19" xfId="0" applyFont="1" applyFill="1" applyBorder="1" applyAlignment="1">
      <alignment horizontal="center"/>
    </xf>
    <xf numFmtId="0" fontId="18" fillId="4" borderId="20" xfId="0" applyFont="1" applyFill="1" applyBorder="1" applyAlignment="1">
      <alignment horizontal="left"/>
    </xf>
    <xf numFmtId="0" fontId="17" fillId="4" borderId="8" xfId="0" applyFont="1" applyFill="1" applyBorder="1" applyAlignment="1">
      <alignment horizontal="center"/>
    </xf>
    <xf numFmtId="0" fontId="16" fillId="4" borderId="19" xfId="0" applyFont="1" applyFill="1" applyBorder="1" applyAlignment="1">
      <alignment horizontal="center" vertical="center" wrapText="1"/>
    </xf>
    <xf numFmtId="0" fontId="17" fillId="3" borderId="8" xfId="0" applyFont="1" applyFill="1" applyBorder="1" applyAlignment="1">
      <alignment horizontal="center"/>
    </xf>
    <xf numFmtId="0" fontId="18" fillId="3" borderId="8" xfId="0" applyFont="1" applyFill="1" applyBorder="1" applyAlignment="1">
      <alignment horizontal="left"/>
    </xf>
    <xf numFmtId="0" fontId="16" fillId="4" borderId="0" xfId="0" applyFont="1" applyFill="1" applyAlignment="1">
      <alignment horizontal="center"/>
    </xf>
    <xf numFmtId="0" fontId="17" fillId="3" borderId="6" xfId="0" applyFont="1" applyFill="1" applyBorder="1" applyAlignment="1">
      <alignment horizontal="center"/>
    </xf>
    <xf numFmtId="0" fontId="18" fillId="3" borderId="6" xfId="0" applyFont="1" applyFill="1" applyBorder="1" applyAlignment="1">
      <alignment horizontal="left"/>
    </xf>
    <xf numFmtId="0" fontId="17" fillId="3" borderId="5" xfId="0" applyFont="1" applyFill="1" applyBorder="1" applyAlignment="1">
      <alignment horizontal="center"/>
    </xf>
    <xf numFmtId="0" fontId="17" fillId="3" borderId="4" xfId="0" applyFont="1" applyFill="1" applyBorder="1" applyAlignment="1">
      <alignment horizontal="center"/>
    </xf>
    <xf numFmtId="0" fontId="18" fillId="3" borderId="34" xfId="0" quotePrefix="1" applyFont="1" applyFill="1" applyBorder="1" applyAlignment="1">
      <alignment horizontal="left"/>
    </xf>
    <xf numFmtId="0" fontId="17" fillId="3" borderId="34" xfId="0" applyFont="1" applyFill="1" applyBorder="1" applyAlignment="1">
      <alignment horizontal="center"/>
    </xf>
    <xf numFmtId="0" fontId="17" fillId="3" borderId="3" xfId="0" applyFont="1" applyFill="1" applyBorder="1" applyAlignment="1">
      <alignment horizontal="center"/>
    </xf>
    <xf numFmtId="0" fontId="18" fillId="3" borderId="3" xfId="0" applyFont="1" applyFill="1" applyBorder="1" applyAlignment="1">
      <alignment horizontal="left"/>
    </xf>
    <xf numFmtId="0" fontId="18" fillId="3" borderId="24" xfId="0" applyFont="1" applyFill="1" applyBorder="1" applyAlignment="1">
      <alignment horizontal="left" vertical="center"/>
    </xf>
    <xf numFmtId="0" fontId="17" fillId="3" borderId="24" xfId="0" applyFont="1" applyFill="1" applyBorder="1" applyAlignment="1">
      <alignment horizontal="center"/>
    </xf>
    <xf numFmtId="0" fontId="18" fillId="3" borderId="8" xfId="0" quotePrefix="1" applyFont="1" applyFill="1" applyBorder="1" applyAlignment="1">
      <alignment horizontal="left"/>
    </xf>
    <xf numFmtId="0" fontId="18" fillId="3" borderId="14" xfId="0" applyFont="1" applyFill="1" applyBorder="1" applyAlignment="1">
      <alignment horizontal="left" vertical="center"/>
    </xf>
    <xf numFmtId="0" fontId="18" fillId="3" borderId="15" xfId="0" applyFont="1" applyFill="1" applyBorder="1" applyAlignment="1">
      <alignment horizontal="left"/>
    </xf>
    <xf numFmtId="0" fontId="17" fillId="3" borderId="15" xfId="0" applyFont="1" applyFill="1" applyBorder="1" applyAlignment="1">
      <alignment horizontal="center"/>
    </xf>
    <xf numFmtId="0" fontId="17" fillId="3" borderId="15" xfId="0" applyFont="1" applyFill="1" applyBorder="1" applyAlignment="1">
      <alignment horizontal="left"/>
    </xf>
    <xf numFmtId="0" fontId="17" fillId="3" borderId="8" xfId="0" applyFont="1" applyFill="1" applyBorder="1" applyAlignment="1">
      <alignment horizontal="center" vertical="center"/>
    </xf>
    <xf numFmtId="0" fontId="14" fillId="0" borderId="24" xfId="0" applyFont="1" applyBorder="1"/>
    <xf numFmtId="0" fontId="17" fillId="3" borderId="20" xfId="0" applyFont="1" applyFill="1" applyBorder="1" applyAlignment="1">
      <alignment horizontal="center" vertical="center"/>
    </xf>
    <xf numFmtId="0" fontId="17" fillId="3" borderId="38" xfId="0" applyFont="1" applyFill="1" applyBorder="1" applyAlignment="1">
      <alignment horizontal="center"/>
    </xf>
    <xf numFmtId="0" fontId="18" fillId="3" borderId="5" xfId="0" quotePrefix="1" applyFont="1" applyFill="1" applyBorder="1" applyAlignment="1">
      <alignment horizontal="left"/>
    </xf>
    <xf numFmtId="0" fontId="17" fillId="3" borderId="22" xfId="0" applyFont="1" applyFill="1" applyBorder="1" applyAlignment="1">
      <alignment horizontal="center"/>
    </xf>
    <xf numFmtId="0" fontId="17" fillId="3" borderId="23" xfId="0" applyFont="1" applyFill="1" applyBorder="1" applyAlignment="1">
      <alignment horizontal="center"/>
    </xf>
    <xf numFmtId="0" fontId="18" fillId="3" borderId="14" xfId="0" quotePrefix="1" applyFont="1" applyFill="1" applyBorder="1" applyAlignment="1">
      <alignment horizontal="left"/>
    </xf>
    <xf numFmtId="0" fontId="17" fillId="4" borderId="4" xfId="0" applyFont="1" applyFill="1" applyBorder="1" applyAlignment="1">
      <alignment horizontal="center"/>
    </xf>
    <xf numFmtId="0" fontId="17" fillId="4" borderId="5" xfId="0" applyFont="1" applyFill="1" applyBorder="1" applyAlignment="1">
      <alignment horizontal="center"/>
    </xf>
    <xf numFmtId="0" fontId="17" fillId="4" borderId="3" xfId="0" applyFont="1" applyFill="1" applyBorder="1" applyAlignment="1">
      <alignment horizontal="center"/>
    </xf>
    <xf numFmtId="0" fontId="17" fillId="4" borderId="38" xfId="0" applyFont="1" applyFill="1" applyBorder="1" applyAlignment="1">
      <alignment horizontal="center"/>
    </xf>
    <xf numFmtId="0" fontId="17" fillId="4" borderId="13" xfId="0" applyFont="1" applyFill="1" applyBorder="1" applyAlignment="1">
      <alignment horizontal="center" vertical="center"/>
    </xf>
    <xf numFmtId="0" fontId="17" fillId="4" borderId="16" xfId="0" applyFont="1" applyFill="1" applyBorder="1" applyAlignment="1">
      <alignment horizontal="center" vertical="center"/>
    </xf>
    <xf numFmtId="0" fontId="17" fillId="4" borderId="24" xfId="0" applyFont="1" applyFill="1" applyBorder="1" applyAlignment="1">
      <alignment horizontal="center" vertical="center"/>
    </xf>
    <xf numFmtId="0" fontId="18" fillId="4" borderId="0" xfId="0" applyFont="1" applyFill="1" applyAlignment="1">
      <alignment horizontal="left"/>
    </xf>
    <xf numFmtId="0" fontId="17" fillId="4" borderId="0" xfId="0" applyFont="1" applyFill="1" applyAlignment="1">
      <alignment horizontal="center"/>
    </xf>
    <xf numFmtId="0" fontId="17" fillId="4" borderId="6" xfId="0" applyFont="1" applyFill="1" applyBorder="1" applyAlignment="1">
      <alignment horizontal="center"/>
    </xf>
    <xf numFmtId="0" fontId="17" fillId="4" borderId="35" xfId="0" applyFont="1" applyFill="1" applyBorder="1" applyAlignment="1">
      <alignment horizontal="center"/>
    </xf>
    <xf numFmtId="0" fontId="17" fillId="4" borderId="46" xfId="0" applyFont="1" applyFill="1" applyBorder="1" applyAlignment="1">
      <alignment horizontal="center"/>
    </xf>
    <xf numFmtId="0" fontId="0" fillId="6" borderId="0" xfId="0" applyFill="1"/>
    <xf numFmtId="0" fontId="13" fillId="0" borderId="1" xfId="0" applyFont="1" applyBorder="1" applyAlignment="1">
      <alignment horizontal="left" vertical="top"/>
    </xf>
    <xf numFmtId="0" fontId="17" fillId="3" borderId="45" xfId="0" applyFont="1" applyFill="1" applyBorder="1" applyAlignment="1">
      <alignment horizontal="left" vertical="center"/>
    </xf>
    <xf numFmtId="0" fontId="0" fillId="8" borderId="0" xfId="0" applyFill="1"/>
    <xf numFmtId="0" fontId="16" fillId="4" borderId="19" xfId="0" applyFont="1" applyFill="1" applyBorder="1" applyAlignment="1">
      <alignment horizontal="center" vertical="center"/>
    </xf>
    <xf numFmtId="2" fontId="14" fillId="4" borderId="8" xfId="0" applyNumberFormat="1" applyFont="1" applyFill="1" applyBorder="1"/>
    <xf numFmtId="0" fontId="16" fillId="2" borderId="25" xfId="0" applyFont="1" applyFill="1" applyBorder="1" applyAlignment="1">
      <alignment horizontal="left" vertical="top"/>
    </xf>
    <xf numFmtId="0" fontId="16" fillId="2" borderId="26" xfId="0" applyFont="1" applyFill="1" applyBorder="1" applyAlignment="1">
      <alignment horizontal="left" vertical="top"/>
    </xf>
    <xf numFmtId="0" fontId="16" fillId="2" borderId="36" xfId="0" applyFont="1" applyFill="1" applyBorder="1" applyAlignment="1">
      <alignment horizontal="left" vertical="top"/>
    </xf>
    <xf numFmtId="0" fontId="16" fillId="2" borderId="37" xfId="0" applyFont="1" applyFill="1" applyBorder="1" applyAlignment="1">
      <alignment horizontal="left" vertical="top"/>
    </xf>
    <xf numFmtId="0" fontId="16" fillId="2" borderId="40" xfId="0" applyFont="1" applyFill="1" applyBorder="1" applyAlignment="1">
      <alignment horizontal="left" vertical="top"/>
    </xf>
    <xf numFmtId="0" fontId="17" fillId="3" borderId="31" xfId="0" applyFont="1" applyFill="1" applyBorder="1" applyAlignment="1">
      <alignment horizontal="right"/>
    </xf>
    <xf numFmtId="0" fontId="16" fillId="2" borderId="39" xfId="0" applyFont="1" applyFill="1" applyBorder="1" applyAlignment="1">
      <alignment horizontal="left" vertical="top"/>
    </xf>
    <xf numFmtId="0" fontId="17" fillId="2" borderId="40" xfId="0" applyFont="1" applyFill="1" applyBorder="1" applyAlignment="1">
      <alignment horizontal="left" vertical="top"/>
    </xf>
    <xf numFmtId="0" fontId="17" fillId="2" borderId="41" xfId="0" applyFont="1" applyFill="1" applyBorder="1" applyAlignment="1">
      <alignment horizontal="left" vertical="top"/>
    </xf>
    <xf numFmtId="0" fontId="16" fillId="2" borderId="9" xfId="0" applyFont="1" applyFill="1" applyBorder="1" applyAlignment="1">
      <alignment horizontal="left" vertical="top"/>
    </xf>
    <xf numFmtId="0" fontId="16" fillId="2" borderId="10" xfId="0" applyFont="1" applyFill="1" applyBorder="1" applyAlignment="1">
      <alignment horizontal="left" vertical="top"/>
    </xf>
    <xf numFmtId="0" fontId="16" fillId="2" borderId="42" xfId="0" applyFont="1" applyFill="1" applyBorder="1" applyAlignment="1">
      <alignment horizontal="left" vertical="top"/>
    </xf>
    <xf numFmtId="14" fontId="0" fillId="8" borderId="50" xfId="0" applyNumberFormat="1" applyFill="1" applyBorder="1"/>
    <xf numFmtId="0" fontId="12" fillId="8" borderId="51" xfId="0" applyFont="1" applyFill="1" applyBorder="1"/>
    <xf numFmtId="0" fontId="17" fillId="2" borderId="39" xfId="0" applyFont="1" applyFill="1" applyBorder="1" applyAlignment="1">
      <alignment horizontal="left" vertical="top"/>
    </xf>
    <xf numFmtId="0" fontId="16" fillId="2" borderId="41" xfId="0" applyFont="1" applyFill="1" applyBorder="1" applyAlignment="1">
      <alignment horizontal="left" vertical="top"/>
    </xf>
    <xf numFmtId="0" fontId="12" fillId="8" borderId="50" xfId="0" applyFont="1" applyFill="1" applyBorder="1" applyAlignment="1">
      <alignment horizontal="right"/>
    </xf>
    <xf numFmtId="0" fontId="0" fillId="8" borderId="48" xfId="0" applyFill="1" applyBorder="1" applyAlignment="1">
      <alignment horizontal="right"/>
    </xf>
    <xf numFmtId="14" fontId="0" fillId="8" borderId="49" xfId="0" applyNumberFormat="1" applyFill="1" applyBorder="1" applyAlignment="1">
      <alignment horizontal="right"/>
    </xf>
    <xf numFmtId="0" fontId="16" fillId="2" borderId="52" xfId="0" applyFont="1" applyFill="1" applyBorder="1" applyAlignment="1">
      <alignment horizontal="left" vertical="top"/>
    </xf>
    <xf numFmtId="0" fontId="17" fillId="9" borderId="53" xfId="0" applyFont="1" applyFill="1" applyBorder="1" applyAlignment="1">
      <alignment vertical="top" wrapText="1"/>
    </xf>
    <xf numFmtId="0" fontId="16" fillId="2" borderId="54" xfId="0" applyFont="1" applyFill="1" applyBorder="1" applyAlignment="1">
      <alignment horizontal="left" vertical="top"/>
    </xf>
    <xf numFmtId="0" fontId="17" fillId="9" borderId="53" xfId="0" applyFont="1" applyFill="1" applyBorder="1" applyAlignment="1">
      <alignment horizontal="left" vertical="top" wrapText="1"/>
    </xf>
    <xf numFmtId="0" fontId="16" fillId="2" borderId="53" xfId="0" applyFont="1" applyFill="1" applyBorder="1" applyAlignment="1">
      <alignment horizontal="left" vertical="top"/>
    </xf>
    <xf numFmtId="0" fontId="17" fillId="4" borderId="21" xfId="0" applyFont="1" applyFill="1" applyBorder="1" applyAlignment="1">
      <alignment horizontal="center" vertical="center"/>
    </xf>
    <xf numFmtId="0" fontId="17" fillId="4" borderId="28" xfId="0" applyFont="1" applyFill="1" applyBorder="1" applyAlignment="1">
      <alignment horizontal="right"/>
    </xf>
    <xf numFmtId="0" fontId="17" fillId="2" borderId="26" xfId="0" applyFont="1" applyFill="1" applyBorder="1" applyAlignment="1">
      <alignment horizontal="left" vertical="top"/>
    </xf>
    <xf numFmtId="0" fontId="17" fillId="2" borderId="27" xfId="0" applyFont="1" applyFill="1" applyBorder="1" applyAlignment="1">
      <alignment horizontal="left" vertical="top"/>
    </xf>
    <xf numFmtId="0" fontId="17" fillId="2" borderId="11" xfId="0" applyFont="1" applyFill="1" applyBorder="1" applyAlignment="1">
      <alignment horizontal="left" vertical="top"/>
    </xf>
    <xf numFmtId="0" fontId="17" fillId="2" borderId="45" xfId="0" applyFont="1" applyFill="1" applyBorder="1" applyAlignment="1">
      <alignment horizontal="left" vertical="top"/>
    </xf>
    <xf numFmtId="0" fontId="12" fillId="2" borderId="45" xfId="0" applyFont="1" applyFill="1" applyBorder="1" applyAlignment="1">
      <alignment horizontal="left" vertical="top"/>
    </xf>
    <xf numFmtId="0" fontId="17" fillId="2" borderId="12" xfId="0" applyFont="1" applyFill="1" applyBorder="1" applyAlignment="1">
      <alignment horizontal="left" vertical="top"/>
    </xf>
    <xf numFmtId="0" fontId="17" fillId="4" borderId="56" xfId="0" applyFont="1" applyFill="1" applyBorder="1" applyAlignment="1">
      <alignment horizontal="right"/>
    </xf>
    <xf numFmtId="0" fontId="17" fillId="4" borderId="58" xfId="0" applyFont="1" applyFill="1" applyBorder="1" applyAlignment="1">
      <alignment horizontal="right"/>
    </xf>
    <xf numFmtId="0" fontId="17" fillId="4" borderId="62" xfId="0" applyFont="1" applyFill="1" applyBorder="1" applyAlignment="1">
      <alignment horizontal="right"/>
    </xf>
    <xf numFmtId="0" fontId="17" fillId="4" borderId="63" xfId="0" applyFont="1" applyFill="1" applyBorder="1" applyAlignment="1">
      <alignment horizontal="right"/>
    </xf>
    <xf numFmtId="0" fontId="17" fillId="2" borderId="65" xfId="0" applyFont="1" applyFill="1" applyBorder="1" applyAlignment="1">
      <alignment horizontal="left" vertical="top"/>
    </xf>
    <xf numFmtId="0" fontId="17" fillId="2" borderId="66" xfId="0" applyFont="1" applyFill="1" applyBorder="1" applyAlignment="1">
      <alignment horizontal="left" vertical="top"/>
    </xf>
    <xf numFmtId="0" fontId="12" fillId="2" borderId="66" xfId="0" applyFont="1" applyFill="1" applyBorder="1" applyAlignment="1">
      <alignment horizontal="left" vertical="top"/>
    </xf>
    <xf numFmtId="0" fontId="17" fillId="2" borderId="67" xfId="0" applyFont="1" applyFill="1" applyBorder="1" applyAlignment="1">
      <alignment horizontal="left" vertical="top"/>
    </xf>
    <xf numFmtId="0" fontId="16" fillId="2" borderId="68" xfId="0" applyFont="1" applyFill="1" applyBorder="1" applyAlignment="1">
      <alignment horizontal="left" vertical="center"/>
    </xf>
    <xf numFmtId="0" fontId="16" fillId="2" borderId="60" xfId="0" applyFont="1" applyFill="1" applyBorder="1" applyAlignment="1">
      <alignment horizontal="left" vertical="center"/>
    </xf>
    <xf numFmtId="0" fontId="17" fillId="3" borderId="61" xfId="0" applyFont="1" applyFill="1" applyBorder="1" applyAlignment="1">
      <alignment horizontal="right"/>
    </xf>
    <xf numFmtId="164" fontId="17" fillId="3" borderId="61" xfId="0" applyNumberFormat="1" applyFont="1" applyFill="1" applyBorder="1" applyAlignment="1">
      <alignment horizontal="right"/>
    </xf>
    <xf numFmtId="0" fontId="16" fillId="2" borderId="60" xfId="0" applyFont="1" applyFill="1" applyBorder="1" applyAlignment="1">
      <alignment horizontal="left" vertical="center" wrapText="1"/>
    </xf>
    <xf numFmtId="0" fontId="17" fillId="3" borderId="61" xfId="0" applyFont="1" applyFill="1" applyBorder="1" applyAlignment="1">
      <alignment horizontal="right" wrapText="1"/>
    </xf>
    <xf numFmtId="0" fontId="16" fillId="2" borderId="70" xfId="0" applyFont="1" applyFill="1" applyBorder="1" applyAlignment="1">
      <alignment horizontal="left" vertical="center" wrapText="1"/>
    </xf>
    <xf numFmtId="0" fontId="17" fillId="3" borderId="72" xfId="0" applyFont="1" applyFill="1" applyBorder="1" applyAlignment="1">
      <alignment horizontal="right"/>
    </xf>
    <xf numFmtId="0" fontId="16" fillId="2" borderId="65" xfId="0" applyFont="1" applyFill="1" applyBorder="1" applyAlignment="1">
      <alignment vertical="top"/>
    </xf>
    <xf numFmtId="0" fontId="16" fillId="2" borderId="66" xfId="0" applyFont="1" applyFill="1" applyBorder="1" applyAlignment="1">
      <alignment vertical="top"/>
    </xf>
    <xf numFmtId="0" fontId="16" fillId="2" borderId="67" xfId="0" applyFont="1" applyFill="1" applyBorder="1" applyAlignment="1">
      <alignment vertical="top"/>
    </xf>
    <xf numFmtId="0" fontId="16" fillId="2" borderId="64" xfId="0" applyFont="1" applyFill="1" applyBorder="1" applyAlignment="1">
      <alignment horizontal="left" vertical="top"/>
    </xf>
    <xf numFmtId="0" fontId="16" fillId="2" borderId="73" xfId="0" applyFont="1" applyFill="1" applyBorder="1" applyAlignment="1">
      <alignment horizontal="left" vertical="top"/>
    </xf>
    <xf numFmtId="0" fontId="17" fillId="0" borderId="74" xfId="0" applyFont="1" applyBorder="1" applyAlignment="1">
      <alignment horizontal="right"/>
    </xf>
    <xf numFmtId="0" fontId="17" fillId="2" borderId="44" xfId="0" applyFont="1" applyFill="1" applyBorder="1" applyAlignment="1">
      <alignment horizontal="left" vertical="top"/>
    </xf>
    <xf numFmtId="0" fontId="14" fillId="2" borderId="2" xfId="0" applyFont="1" applyFill="1" applyBorder="1" applyAlignment="1">
      <alignment vertical="top"/>
    </xf>
    <xf numFmtId="0" fontId="14" fillId="2" borderId="2" xfId="0" applyFont="1" applyFill="1" applyBorder="1" applyAlignment="1" applyProtection="1">
      <alignment vertical="top"/>
      <protection locked="0"/>
    </xf>
    <xf numFmtId="0" fontId="0" fillId="0" borderId="0" xfId="0" applyProtection="1">
      <protection locked="0"/>
    </xf>
    <xf numFmtId="0" fontId="12" fillId="0" borderId="1" xfId="0" applyFont="1" applyBorder="1" applyAlignment="1" applyProtection="1">
      <alignment horizontal="left" vertical="top" wrapText="1"/>
      <protection locked="0"/>
    </xf>
    <xf numFmtId="0" fontId="11" fillId="0" borderId="1" xfId="0" applyFont="1" applyBorder="1" applyAlignment="1" applyProtection="1">
      <alignment horizontal="left" vertical="top" wrapText="1"/>
      <protection locked="0"/>
    </xf>
    <xf numFmtId="0" fontId="12" fillId="6" borderId="0" xfId="0" applyFont="1" applyFill="1" applyAlignment="1">
      <alignment horizontal="left" vertical="center"/>
    </xf>
    <xf numFmtId="0" fontId="10" fillId="6" borderId="0" xfId="0" applyFont="1" applyFill="1" applyAlignment="1">
      <alignment horizontal="left" vertical="center"/>
    </xf>
    <xf numFmtId="0" fontId="17" fillId="4" borderId="75" xfId="0" applyFont="1" applyFill="1" applyBorder="1" applyAlignment="1">
      <alignment horizontal="right"/>
    </xf>
    <xf numFmtId="0" fontId="0" fillId="0" borderId="61" xfId="0" applyBorder="1"/>
    <xf numFmtId="0" fontId="17" fillId="0" borderId="68" xfId="0" applyFont="1" applyBorder="1" applyAlignment="1">
      <alignment horizontal="right"/>
    </xf>
    <xf numFmtId="0" fontId="14" fillId="0" borderId="74" xfId="0" applyFont="1" applyBorder="1" applyAlignment="1">
      <alignment horizontal="right"/>
    </xf>
    <xf numFmtId="0" fontId="17" fillId="0" borderId="69" xfId="0" applyFont="1" applyBorder="1" applyAlignment="1">
      <alignment horizontal="right"/>
    </xf>
    <xf numFmtId="0" fontId="14" fillId="0" borderId="70" xfId="0" applyFont="1" applyBorder="1" applyAlignment="1">
      <alignment horizontal="right"/>
    </xf>
    <xf numFmtId="0" fontId="14" fillId="0" borderId="71" xfId="0" applyFont="1" applyBorder="1" applyAlignment="1">
      <alignment horizontal="right"/>
    </xf>
    <xf numFmtId="0" fontId="17" fillId="0" borderId="71" xfId="0" applyFont="1" applyBorder="1" applyAlignment="1">
      <alignment horizontal="right"/>
    </xf>
    <xf numFmtId="0" fontId="17" fillId="2" borderId="43" xfId="0" applyFont="1" applyFill="1" applyBorder="1" applyAlignment="1">
      <alignment horizontal="left" vertical="top"/>
    </xf>
    <xf numFmtId="0" fontId="17" fillId="4" borderId="55" xfId="0" applyFont="1" applyFill="1" applyBorder="1" applyAlignment="1">
      <alignment horizontal="right"/>
    </xf>
    <xf numFmtId="164" fontId="8" fillId="8" borderId="47" xfId="0" applyNumberFormat="1" applyFont="1" applyFill="1" applyBorder="1"/>
    <xf numFmtId="0" fontId="8" fillId="8" borderId="50" xfId="0" applyFont="1" applyFill="1" applyBorder="1"/>
    <xf numFmtId="0" fontId="16" fillId="2" borderId="68" xfId="0" applyFont="1" applyFill="1" applyBorder="1" applyAlignment="1">
      <alignment horizontal="left" vertical="top"/>
    </xf>
    <xf numFmtId="0" fontId="16" fillId="2" borderId="74" xfId="0" applyFont="1" applyFill="1" applyBorder="1" applyAlignment="1">
      <alignment horizontal="left" vertical="top"/>
    </xf>
    <xf numFmtId="0" fontId="16" fillId="2" borderId="69" xfId="0" applyFont="1" applyFill="1" applyBorder="1" applyAlignment="1">
      <alignment horizontal="left" vertical="top"/>
    </xf>
    <xf numFmtId="0" fontId="0" fillId="0" borderId="45" xfId="0" applyBorder="1"/>
    <xf numFmtId="0" fontId="17" fillId="8" borderId="68" xfId="0" applyFont="1" applyFill="1" applyBorder="1" applyAlignment="1">
      <alignment horizontal="right"/>
    </xf>
    <xf numFmtId="0" fontId="17" fillId="8" borderId="74" xfId="0" applyFont="1" applyFill="1" applyBorder="1" applyAlignment="1">
      <alignment horizontal="right"/>
    </xf>
    <xf numFmtId="2" fontId="17" fillId="8" borderId="74" xfId="0" applyNumberFormat="1" applyFont="1" applyFill="1" applyBorder="1" applyAlignment="1">
      <alignment horizontal="right"/>
    </xf>
    <xf numFmtId="0" fontId="17" fillId="8" borderId="70" xfId="0" applyFont="1" applyFill="1" applyBorder="1" applyAlignment="1">
      <alignment horizontal="right"/>
    </xf>
    <xf numFmtId="0" fontId="17" fillId="8" borderId="71" xfId="0" applyFont="1" applyFill="1" applyBorder="1" applyAlignment="1">
      <alignment horizontal="right"/>
    </xf>
    <xf numFmtId="2" fontId="17" fillId="8" borderId="71" xfId="0" applyNumberFormat="1" applyFont="1" applyFill="1" applyBorder="1" applyAlignment="1">
      <alignment horizontal="right"/>
    </xf>
    <xf numFmtId="0" fontId="14" fillId="8" borderId="71" xfId="0" applyFont="1" applyFill="1" applyBorder="1" applyAlignment="1">
      <alignment horizontal="right"/>
    </xf>
    <xf numFmtId="0" fontId="8" fillId="8" borderId="74" xfId="0" applyFont="1" applyFill="1" applyBorder="1" applyAlignment="1">
      <alignment horizontal="right"/>
    </xf>
    <xf numFmtId="0" fontId="8" fillId="8" borderId="71" xfId="0" applyFont="1" applyFill="1" applyBorder="1" applyAlignment="1">
      <alignment horizontal="right"/>
    </xf>
    <xf numFmtId="0" fontId="8" fillId="0" borderId="72" xfId="0" applyFont="1" applyBorder="1" applyAlignment="1">
      <alignment horizontal="right"/>
    </xf>
    <xf numFmtId="0" fontId="17" fillId="2" borderId="76" xfId="0" applyFont="1" applyFill="1" applyBorder="1" applyAlignment="1">
      <alignment horizontal="left" vertical="top"/>
    </xf>
    <xf numFmtId="0" fontId="17" fillId="2" borderId="77" xfId="0" applyFont="1" applyFill="1" applyBorder="1" applyAlignment="1">
      <alignment horizontal="left" vertical="top"/>
    </xf>
    <xf numFmtId="0" fontId="17" fillId="2" borderId="78" xfId="0" applyFont="1" applyFill="1" applyBorder="1" applyAlignment="1">
      <alignment horizontal="left" vertical="top"/>
    </xf>
    <xf numFmtId="0" fontId="17" fillId="2" borderId="79" xfId="0" applyFont="1" applyFill="1" applyBorder="1" applyAlignment="1">
      <alignment horizontal="left" vertical="top"/>
    </xf>
    <xf numFmtId="0" fontId="17" fillId="3" borderId="45" xfId="0" applyFont="1" applyFill="1" applyBorder="1" applyAlignment="1">
      <alignment horizontal="center"/>
    </xf>
    <xf numFmtId="0" fontId="0" fillId="8" borderId="45" xfId="0" applyFill="1" applyBorder="1"/>
    <xf numFmtId="0" fontId="17" fillId="7" borderId="66" xfId="0" applyFont="1" applyFill="1" applyBorder="1" applyAlignment="1">
      <alignment horizontal="right"/>
    </xf>
    <xf numFmtId="164" fontId="17" fillId="7" borderId="66" xfId="0" applyNumberFormat="1" applyFont="1" applyFill="1" applyBorder="1" applyAlignment="1">
      <alignment horizontal="right"/>
    </xf>
    <xf numFmtId="0" fontId="11" fillId="6" borderId="66" xfId="0" applyFont="1" applyFill="1" applyBorder="1" applyAlignment="1">
      <alignment horizontal="right"/>
    </xf>
    <xf numFmtId="2" fontId="17" fillId="7" borderId="66" xfId="0" applyNumberFormat="1" applyFont="1" applyFill="1" applyBorder="1" applyAlignment="1">
      <alignment horizontal="right"/>
    </xf>
    <xf numFmtId="0" fontId="0" fillId="6" borderId="66" xfId="0" applyFill="1" applyBorder="1" applyAlignment="1">
      <alignment horizontal="right"/>
    </xf>
    <xf numFmtId="0" fontId="0" fillId="6" borderId="0" xfId="0" applyFill="1" applyAlignment="1">
      <alignment horizontal="right"/>
    </xf>
    <xf numFmtId="0" fontId="17" fillId="0" borderId="58" xfId="0" applyFont="1" applyBorder="1" applyAlignment="1">
      <alignment horizontal="right"/>
    </xf>
    <xf numFmtId="0" fontId="7" fillId="0" borderId="72" xfId="0" applyFont="1" applyBorder="1" applyAlignment="1">
      <alignment horizontal="right"/>
    </xf>
    <xf numFmtId="0" fontId="7" fillId="0" borderId="65" xfId="0" applyFont="1" applyBorder="1" applyAlignment="1">
      <alignment horizontal="right"/>
    </xf>
    <xf numFmtId="0" fontId="17" fillId="2" borderId="68" xfId="0" applyFont="1" applyFill="1" applyBorder="1" applyAlignment="1">
      <alignment horizontal="left" vertical="top"/>
    </xf>
    <xf numFmtId="0" fontId="17" fillId="2" borderId="74" xfId="0" applyFont="1" applyFill="1" applyBorder="1" applyAlignment="1">
      <alignment horizontal="left" vertical="top"/>
    </xf>
    <xf numFmtId="0" fontId="12" fillId="2" borderId="74" xfId="0" applyFont="1" applyFill="1" applyBorder="1" applyAlignment="1">
      <alignment horizontal="left" vertical="top"/>
    </xf>
    <xf numFmtId="0" fontId="17" fillId="2" borderId="69" xfId="0" applyFont="1" applyFill="1" applyBorder="1" applyAlignment="1">
      <alignment horizontal="left" vertical="top"/>
    </xf>
    <xf numFmtId="0" fontId="7" fillId="0" borderId="66" xfId="0" applyFont="1" applyBorder="1" applyAlignment="1">
      <alignment horizontal="right"/>
    </xf>
    <xf numFmtId="0" fontId="7" fillId="0" borderId="67" xfId="0" applyFont="1" applyBorder="1" applyAlignment="1">
      <alignment horizontal="right"/>
    </xf>
    <xf numFmtId="0" fontId="17" fillId="7" borderId="65" xfId="0" applyFont="1" applyFill="1" applyBorder="1" applyAlignment="1">
      <alignment horizontal="right" vertical="top"/>
    </xf>
    <xf numFmtId="0" fontId="9" fillId="0" borderId="71" xfId="0" applyFont="1" applyBorder="1" applyAlignment="1">
      <alignment horizontal="right"/>
    </xf>
    <xf numFmtId="0" fontId="17" fillId="0" borderId="56" xfId="0" applyFont="1" applyBorder="1" applyAlignment="1">
      <alignment horizontal="right"/>
    </xf>
    <xf numFmtId="0" fontId="17" fillId="0" borderId="28" xfId="0" applyFont="1" applyBorder="1" applyAlignment="1">
      <alignment horizontal="right"/>
    </xf>
    <xf numFmtId="0" fontId="17" fillId="0" borderId="63" xfId="0" applyFont="1" applyBorder="1" applyAlignment="1">
      <alignment horizontal="right"/>
    </xf>
    <xf numFmtId="0" fontId="17" fillId="0" borderId="4" xfId="0" applyFont="1" applyBorder="1" applyAlignment="1">
      <alignment horizontal="center" vertical="center"/>
    </xf>
    <xf numFmtId="0" fontId="17" fillId="3" borderId="45" xfId="0" applyFont="1" applyFill="1" applyBorder="1" applyAlignment="1">
      <alignment horizontal="center" vertical="center"/>
    </xf>
    <xf numFmtId="0" fontId="17" fillId="4" borderId="61" xfId="0" applyFont="1" applyFill="1" applyBorder="1" applyAlignment="1">
      <alignment horizontal="right"/>
    </xf>
    <xf numFmtId="2" fontId="17" fillId="0" borderId="66" xfId="0" applyNumberFormat="1" applyFont="1" applyBorder="1" applyAlignment="1">
      <alignment horizontal="right"/>
    </xf>
    <xf numFmtId="0" fontId="17" fillId="4" borderId="1" xfId="0" applyFont="1" applyFill="1" applyBorder="1"/>
    <xf numFmtId="0" fontId="14" fillId="4" borderId="1" xfId="0" applyFont="1" applyFill="1" applyBorder="1"/>
    <xf numFmtId="0" fontId="10" fillId="4" borderId="1" xfId="0" applyFont="1" applyFill="1" applyBorder="1"/>
    <xf numFmtId="0" fontId="15" fillId="4" borderId="1" xfId="0" applyFont="1" applyFill="1" applyBorder="1"/>
    <xf numFmtId="0" fontId="13" fillId="4" borderId="17" xfId="0" applyFont="1" applyFill="1" applyBorder="1"/>
    <xf numFmtId="0" fontId="14" fillId="4" borderId="17" xfId="0" applyFont="1" applyFill="1" applyBorder="1"/>
    <xf numFmtId="0" fontId="17" fillId="4" borderId="17" xfId="0" applyFont="1" applyFill="1" applyBorder="1"/>
    <xf numFmtId="0" fontId="13" fillId="4" borderId="1" xfId="0" applyFont="1" applyFill="1" applyBorder="1"/>
    <xf numFmtId="0" fontId="17" fillId="0" borderId="57" xfId="0" applyFont="1" applyBorder="1" applyAlignment="1">
      <alignment horizontal="right"/>
    </xf>
    <xf numFmtId="0" fontId="17" fillId="0" borderId="59" xfId="0" applyFont="1" applyBorder="1" applyAlignment="1">
      <alignment horizontal="right"/>
    </xf>
    <xf numFmtId="0" fontId="17" fillId="4" borderId="80" xfId="0" applyFont="1" applyFill="1" applyBorder="1" applyAlignment="1">
      <alignment horizontal="right"/>
    </xf>
    <xf numFmtId="0" fontId="17" fillId="0" borderId="80" xfId="0" applyFont="1" applyBorder="1" applyAlignment="1">
      <alignment horizontal="right"/>
    </xf>
    <xf numFmtId="0" fontId="17" fillId="4" borderId="81" xfId="0" applyFont="1" applyFill="1" applyBorder="1" applyAlignment="1">
      <alignment horizontal="right"/>
    </xf>
    <xf numFmtId="0" fontId="11" fillId="0" borderId="71" xfId="0" applyFont="1" applyBorder="1" applyAlignment="1">
      <alignment horizontal="right"/>
    </xf>
    <xf numFmtId="0" fontId="17" fillId="0" borderId="67" xfId="0" applyFont="1" applyBorder="1" applyAlignment="1">
      <alignment horizontal="right" vertical="top"/>
    </xf>
    <xf numFmtId="0" fontId="17" fillId="0" borderId="53" xfId="0" applyFont="1" applyBorder="1" applyAlignment="1">
      <alignment horizontal="left" vertical="top" wrapText="1"/>
    </xf>
    <xf numFmtId="0" fontId="6" fillId="0" borderId="66" xfId="0" applyFont="1" applyBorder="1" applyAlignment="1">
      <alignment horizontal="right"/>
    </xf>
    <xf numFmtId="0" fontId="17" fillId="0" borderId="53" xfId="0" applyFont="1" applyBorder="1" applyAlignment="1">
      <alignment vertical="top" wrapText="1"/>
    </xf>
    <xf numFmtId="0" fontId="18" fillId="3" borderId="35" xfId="0" applyFont="1" applyFill="1" applyBorder="1" applyAlignment="1">
      <alignment horizontal="left" vertical="center"/>
    </xf>
    <xf numFmtId="0" fontId="0" fillId="0" borderId="53" xfId="0" applyBorder="1" applyAlignment="1">
      <alignment wrapText="1"/>
    </xf>
    <xf numFmtId="0" fontId="17" fillId="3" borderId="32" xfId="0" applyFont="1" applyFill="1" applyBorder="1" applyAlignment="1">
      <alignment horizontal="right"/>
    </xf>
    <xf numFmtId="0" fontId="17" fillId="3" borderId="33" xfId="0" applyFont="1" applyFill="1" applyBorder="1" applyAlignment="1">
      <alignment horizontal="right"/>
    </xf>
    <xf numFmtId="0" fontId="16" fillId="2" borderId="65" xfId="0" applyFont="1" applyFill="1" applyBorder="1" applyAlignment="1">
      <alignment horizontal="left" vertical="top"/>
    </xf>
    <xf numFmtId="0" fontId="16" fillId="2" borderId="66" xfId="0" applyFont="1" applyFill="1" applyBorder="1" applyAlignment="1">
      <alignment horizontal="left" vertical="top" wrapText="1"/>
    </xf>
    <xf numFmtId="0" fontId="16" fillId="2" borderId="67" xfId="0" applyFont="1" applyFill="1" applyBorder="1" applyAlignment="1">
      <alignment horizontal="left" vertical="top" wrapText="1"/>
    </xf>
    <xf numFmtId="0" fontId="5" fillId="8" borderId="71" xfId="0" applyFont="1" applyFill="1" applyBorder="1" applyAlignment="1">
      <alignment horizontal="right"/>
    </xf>
    <xf numFmtId="0" fontId="5" fillId="0" borderId="45" xfId="0" applyFont="1" applyBorder="1"/>
    <xf numFmtId="0" fontId="17" fillId="4" borderId="45" xfId="0" applyFont="1" applyFill="1" applyBorder="1" applyAlignment="1">
      <alignment horizontal="center"/>
    </xf>
    <xf numFmtId="0" fontId="17" fillId="4" borderId="82" xfId="0" applyFont="1" applyFill="1" applyBorder="1" applyAlignment="1">
      <alignment horizontal="center" vertical="center"/>
    </xf>
    <xf numFmtId="0" fontId="17" fillId="4" borderId="83" xfId="0" applyFont="1" applyFill="1" applyBorder="1" applyAlignment="1">
      <alignment horizontal="center" vertical="center"/>
    </xf>
    <xf numFmtId="0" fontId="17" fillId="4" borderId="84" xfId="0" applyFont="1" applyFill="1" applyBorder="1" applyAlignment="1">
      <alignment horizontal="center" vertical="center"/>
    </xf>
    <xf numFmtId="0" fontId="17" fillId="4" borderId="45" xfId="0" applyFont="1" applyFill="1" applyBorder="1" applyAlignment="1">
      <alignment horizontal="right"/>
    </xf>
    <xf numFmtId="0" fontId="17" fillId="3" borderId="45" xfId="0" applyFont="1" applyFill="1" applyBorder="1" applyAlignment="1">
      <alignment horizontal="right"/>
    </xf>
    <xf numFmtId="0" fontId="0" fillId="0" borderId="0" xfId="0" applyAlignment="1">
      <alignment horizontal="right"/>
    </xf>
    <xf numFmtId="0" fontId="0" fillId="0" borderId="88" xfId="0" applyBorder="1"/>
    <xf numFmtId="0" fontId="5" fillId="0" borderId="65" xfId="0" applyFont="1" applyBorder="1" applyAlignment="1">
      <alignment horizontal="right"/>
    </xf>
    <xf numFmtId="0" fontId="5" fillId="0" borderId="66" xfId="0" applyFont="1" applyBorder="1" applyAlignment="1">
      <alignment horizontal="right"/>
    </xf>
    <xf numFmtId="0" fontId="6" fillId="0" borderId="67" xfId="0" applyFont="1" applyBorder="1" applyAlignment="1">
      <alignment horizontal="right"/>
    </xf>
    <xf numFmtId="0" fontId="19" fillId="10" borderId="89" xfId="0" applyFont="1" applyFill="1" applyBorder="1"/>
    <xf numFmtId="0" fontId="4" fillId="8" borderId="50" xfId="0" applyFont="1" applyFill="1" applyBorder="1" applyAlignment="1">
      <alignment horizontal="right"/>
    </xf>
    <xf numFmtId="0" fontId="3" fillId="0" borderId="66" xfId="0" applyFont="1" applyBorder="1" applyAlignment="1">
      <alignment horizontal="right"/>
    </xf>
    <xf numFmtId="0" fontId="2" fillId="8" borderId="50" xfId="0" applyFont="1" applyFill="1" applyBorder="1" applyAlignment="1">
      <alignment horizontal="right"/>
    </xf>
    <xf numFmtId="0" fontId="2" fillId="0" borderId="0" xfId="0" applyFont="1"/>
    <xf numFmtId="0" fontId="2" fillId="0" borderId="0" xfId="0" applyFont="1" applyAlignment="1">
      <alignment wrapText="1"/>
    </xf>
    <xf numFmtId="0" fontId="2" fillId="0" borderId="0" xfId="0" applyFont="1" applyAlignment="1">
      <alignment vertical="top" wrapText="1"/>
    </xf>
    <xf numFmtId="0" fontId="16" fillId="5" borderId="68" xfId="0" applyFont="1" applyFill="1" applyBorder="1" applyAlignment="1">
      <alignment horizontal="left" vertical="top"/>
    </xf>
    <xf numFmtId="0" fontId="16" fillId="5" borderId="69" xfId="0" applyFont="1" applyFill="1" applyBorder="1" applyAlignment="1">
      <alignment horizontal="left" vertical="top"/>
    </xf>
    <xf numFmtId="0" fontId="17" fillId="0" borderId="65" xfId="0" applyFont="1" applyBorder="1" applyAlignment="1">
      <alignment horizontal="right"/>
    </xf>
    <xf numFmtId="0" fontId="17" fillId="0" borderId="67" xfId="0" applyFont="1" applyBorder="1" applyAlignment="1">
      <alignment horizontal="right"/>
    </xf>
    <xf numFmtId="0" fontId="17" fillId="11" borderId="69" xfId="0" applyFont="1" applyFill="1" applyBorder="1" applyAlignment="1">
      <alignment horizontal="right"/>
    </xf>
    <xf numFmtId="0" fontId="0" fillId="12" borderId="61" xfId="0" applyFill="1" applyBorder="1" applyAlignment="1">
      <alignment horizontal="right"/>
    </xf>
    <xf numFmtId="0" fontId="17" fillId="11" borderId="61" xfId="0" applyFont="1" applyFill="1" applyBorder="1" applyAlignment="1">
      <alignment horizontal="right" wrapText="1"/>
    </xf>
    <xf numFmtId="0" fontId="17" fillId="12" borderId="85" xfId="0" applyFont="1" applyFill="1" applyBorder="1" applyAlignment="1">
      <alignment horizontal="right" vertical="top"/>
    </xf>
    <xf numFmtId="0" fontId="17" fillId="12" borderId="86" xfId="0" applyFont="1" applyFill="1" applyBorder="1" applyAlignment="1">
      <alignment horizontal="right" vertical="top"/>
    </xf>
    <xf numFmtId="0" fontId="17" fillId="12" borderId="74" xfId="0" applyFont="1" applyFill="1" applyBorder="1" applyAlignment="1">
      <alignment horizontal="right" vertical="top"/>
    </xf>
    <xf numFmtId="0" fontId="17" fillId="13" borderId="74" xfId="0" applyFont="1" applyFill="1" applyBorder="1" applyAlignment="1">
      <alignment horizontal="right"/>
    </xf>
    <xf numFmtId="0" fontId="17" fillId="12" borderId="87" xfId="0" applyFont="1" applyFill="1" applyBorder="1" applyAlignment="1">
      <alignment horizontal="right" vertical="top"/>
    </xf>
    <xf numFmtId="0" fontId="17" fillId="12" borderId="69" xfId="0" applyFont="1" applyFill="1" applyBorder="1" applyAlignment="1">
      <alignment horizontal="right" vertical="top"/>
    </xf>
    <xf numFmtId="0" fontId="17" fillId="13" borderId="60" xfId="0" applyFont="1" applyFill="1" applyBorder="1" applyAlignment="1">
      <alignment horizontal="right"/>
    </xf>
    <xf numFmtId="0" fontId="17" fillId="13" borderId="45" xfId="0" applyFont="1" applyFill="1" applyBorder="1" applyAlignment="1">
      <alignment horizontal="right"/>
    </xf>
    <xf numFmtId="0" fontId="17" fillId="13" borderId="45" xfId="0" quotePrefix="1" applyFont="1" applyFill="1" applyBorder="1" applyAlignment="1">
      <alignment horizontal="right"/>
    </xf>
    <xf numFmtId="0" fontId="17" fillId="13" borderId="61" xfId="0" applyFont="1" applyFill="1" applyBorder="1" applyAlignment="1">
      <alignment horizontal="right"/>
    </xf>
    <xf numFmtId="0" fontId="17" fillId="13" borderId="70" xfId="0" applyFont="1" applyFill="1" applyBorder="1" applyAlignment="1">
      <alignment horizontal="right"/>
    </xf>
    <xf numFmtId="0" fontId="17" fillId="13" borderId="71" xfId="0" applyFont="1" applyFill="1" applyBorder="1" applyAlignment="1">
      <alignment horizontal="right"/>
    </xf>
    <xf numFmtId="0" fontId="17" fillId="13" borderId="71" xfId="0" quotePrefix="1" applyFont="1" applyFill="1" applyBorder="1" applyAlignment="1">
      <alignment horizontal="right"/>
    </xf>
    <xf numFmtId="0" fontId="17" fillId="13" borderId="72" xfId="0" applyFont="1" applyFill="1" applyBorder="1" applyAlignment="1">
      <alignment horizontal="right"/>
    </xf>
    <xf numFmtId="0" fontId="17" fillId="13" borderId="56" xfId="0" applyFont="1" applyFill="1" applyBorder="1" applyAlignment="1">
      <alignment horizontal="right"/>
    </xf>
    <xf numFmtId="0" fontId="17" fillId="13" borderId="28" xfId="0" applyFont="1" applyFill="1" applyBorder="1" applyAlignment="1">
      <alignment horizontal="right"/>
    </xf>
    <xf numFmtId="0" fontId="17" fillId="12" borderId="28" xfId="0" applyFont="1" applyFill="1" applyBorder="1" applyAlignment="1">
      <alignment horizontal="right"/>
    </xf>
    <xf numFmtId="0" fontId="5" fillId="12" borderId="0" xfId="0" applyFont="1" applyFill="1"/>
    <xf numFmtId="11" fontId="17" fillId="13" borderId="28" xfId="0" applyNumberFormat="1" applyFont="1" applyFill="1" applyBorder="1" applyAlignment="1">
      <alignment horizontal="right"/>
    </xf>
    <xf numFmtId="11" fontId="17" fillId="13" borderId="63" xfId="0" applyNumberFormat="1" applyFont="1" applyFill="1" applyBorder="1" applyAlignment="1">
      <alignment horizontal="right"/>
    </xf>
    <xf numFmtId="0" fontId="17" fillId="13" borderId="63" xfId="0" applyFont="1" applyFill="1" applyBorder="1" applyAlignment="1">
      <alignment horizontal="right"/>
    </xf>
    <xf numFmtId="0" fontId="17" fillId="11" borderId="61" xfId="0" applyFont="1" applyFill="1" applyBorder="1" applyAlignment="1">
      <alignment horizontal="right"/>
    </xf>
  </cellXfs>
  <cellStyles count="2">
    <cellStyle name="Normal" xfId="0" builtinId="0"/>
    <cellStyle name="Normal 2" xfId="1" xr:uid="{ECFAB3AD-FBD7-4B20-95B1-3134E145E5D7}"/>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10</xdr:col>
      <xdr:colOff>817419</xdr:colOff>
      <xdr:row>25</xdr:row>
      <xdr:rowOff>127951</xdr:rowOff>
    </xdr:from>
    <xdr:to>
      <xdr:col>12</xdr:col>
      <xdr:colOff>1605431</xdr:colOff>
      <xdr:row>44</xdr:row>
      <xdr:rowOff>143674</xdr:rowOff>
    </xdr:to>
    <xdr:pic>
      <xdr:nvPicPr>
        <xdr:cNvPr id="4" name="Picture 3">
          <a:extLst>
            <a:ext uri="{FF2B5EF4-FFF2-40B4-BE49-F238E27FC236}">
              <a16:creationId xmlns:a16="http://schemas.microsoft.com/office/drawing/2014/main" id="{D6052F10-DBB0-2AB2-AFDE-E1D35D4ABF2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676437" y="6293224"/>
          <a:ext cx="6662339" cy="40889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4792980</xdr:colOff>
      <xdr:row>14</xdr:row>
      <xdr:rowOff>91440</xdr:rowOff>
    </xdr:from>
    <xdr:ext cx="4032563" cy="2057399"/>
    <xdr:pic>
      <xdr:nvPicPr>
        <xdr:cNvPr id="2" name="image1.png" title="Image">
          <a:extLst>
            <a:ext uri="{FF2B5EF4-FFF2-40B4-BE49-F238E27FC236}">
              <a16:creationId xmlns:a16="http://schemas.microsoft.com/office/drawing/2014/main" id="{6236A9D5-847B-45F1-AF0F-1597E6BFF0AE}"/>
            </a:ext>
          </a:extLst>
        </xdr:cNvPr>
        <xdr:cNvPicPr preferRelativeResize="0"/>
      </xdr:nvPicPr>
      <xdr:blipFill>
        <a:blip xmlns:r="http://schemas.openxmlformats.org/officeDocument/2006/relationships" r:embed="rId1" cstate="print"/>
        <a:stretch>
          <a:fillRect/>
        </a:stretch>
      </xdr:blipFill>
      <xdr:spPr>
        <a:xfrm>
          <a:off x="4792980" y="4404360"/>
          <a:ext cx="4032563" cy="2057399"/>
        </a:xfrm>
        <a:prstGeom prst="rect">
          <a:avLst/>
        </a:prstGeom>
        <a:noFill/>
      </xdr:spPr>
    </xdr:pic>
    <xdr:clientData fLocksWithSheet="0"/>
  </xdr:one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2:B10"/>
  <sheetViews>
    <sheetView showGridLines="0" zoomScale="70" zoomScaleNormal="70" workbookViewId="0">
      <selection activeCell="B20" sqref="B20"/>
    </sheetView>
  </sheetViews>
  <sheetFormatPr defaultColWidth="14.44140625" defaultRowHeight="15" customHeight="1" x14ac:dyDescent="0.3"/>
  <cols>
    <col min="1" max="1" width="18.109375" bestFit="1" customWidth="1"/>
    <col min="2" max="2" width="255.77734375" style="126" customWidth="1"/>
    <col min="3" max="3" width="29.44140625" customWidth="1"/>
  </cols>
  <sheetData>
    <row r="2" spans="1:2" ht="37.799999999999997" customHeight="1" x14ac:dyDescent="0.3">
      <c r="A2" s="64" t="s">
        <v>0</v>
      </c>
      <c r="B2" s="127" t="s">
        <v>1</v>
      </c>
    </row>
    <row r="3" spans="1:2" ht="15" customHeight="1" x14ac:dyDescent="0.3">
      <c r="A3" s="124"/>
      <c r="B3" s="125"/>
    </row>
    <row r="4" spans="1:2" ht="23.55" customHeight="1" x14ac:dyDescent="0.3">
      <c r="A4" s="64" t="s">
        <v>146</v>
      </c>
      <c r="B4" s="128" t="s">
        <v>147</v>
      </c>
    </row>
    <row r="5" spans="1:2" ht="14.4" x14ac:dyDescent="0.3">
      <c r="A5" s="124"/>
      <c r="B5" s="125"/>
    </row>
    <row r="6" spans="1:2" ht="72.45" customHeight="1" x14ac:dyDescent="0.3">
      <c r="A6" s="64" t="s">
        <v>2</v>
      </c>
      <c r="B6" s="128" t="s">
        <v>148</v>
      </c>
    </row>
    <row r="7" spans="1:2" ht="14.4" x14ac:dyDescent="0.3">
      <c r="A7" s="124"/>
      <c r="B7" s="125"/>
    </row>
    <row r="8" spans="1:2" ht="39.450000000000003" customHeight="1" x14ac:dyDescent="0.3">
      <c r="A8" s="64" t="s">
        <v>3</v>
      </c>
      <c r="B8" s="127" t="s">
        <v>4</v>
      </c>
    </row>
    <row r="9" spans="1:2" ht="14.4" x14ac:dyDescent="0.3">
      <c r="A9" s="124"/>
      <c r="B9" s="125"/>
    </row>
    <row r="10" spans="1:2" ht="55.8" customHeight="1" x14ac:dyDescent="0.3">
      <c r="A10" s="64" t="s">
        <v>5</v>
      </c>
      <c r="B10" s="128" t="s">
        <v>149</v>
      </c>
    </row>
  </sheetData>
  <dataValidations count="2">
    <dataValidation type="list" errorStyle="information" allowBlank="1" showInputMessage="1" showErrorMessage="1" sqref="A2 B2 A3 A7 A4 A10 A5 A8 A6 A9" xr:uid="{7BA91956-4582-4801-8A3D-C3E0C7E07024}">
      <formula1>",aaaa"</formula1>
    </dataValidation>
    <dataValidation type="list" errorStyle="information" allowBlank="1" showInputMessage="1" showErrorMessage="1" sqref="A11:A1048576 B11:B1048576 B7 B3 B4:B6 B8 B10 B9" xr:uid="{D4AFB920-A0EB-4CCE-B113-CB36D31BE241}">
      <formula1>"-,kg,s,m,K,°C,W,bar,kg/h,t/h,kW,kW/m2K,W/m2K,kJ/kgK,kJ/kg,m3/h,%,eur,eur/y,kWel/kWth,year"</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23"/>
  <sheetViews>
    <sheetView showGridLines="0" zoomScale="55" zoomScaleNormal="55" workbookViewId="0">
      <selection activeCell="B18" sqref="B18"/>
    </sheetView>
  </sheetViews>
  <sheetFormatPr defaultColWidth="14.44140625" defaultRowHeight="15" customHeight="1" x14ac:dyDescent="0.3"/>
  <cols>
    <col min="1" max="1" width="59" bestFit="1" customWidth="1"/>
    <col min="2" max="2" width="90.77734375" bestFit="1" customWidth="1"/>
    <col min="3" max="3" width="17.77734375" customWidth="1"/>
    <col min="4" max="4" width="12.6640625" customWidth="1"/>
    <col min="5" max="5" width="4.6640625" customWidth="1"/>
    <col min="6" max="6" width="7" customWidth="1"/>
    <col min="7" max="26" width="10.6640625" customWidth="1"/>
    <col min="27" max="16384" width="14.44140625" style="66"/>
  </cols>
  <sheetData>
    <row r="1" spans="1:4" ht="14.4" x14ac:dyDescent="0.3">
      <c r="A1" s="109" t="s">
        <v>84</v>
      </c>
      <c r="B1" s="236"/>
      <c r="C1" s="2"/>
      <c r="D1" s="11" t="s">
        <v>121</v>
      </c>
    </row>
    <row r="2" spans="1:4" ht="14.4" x14ac:dyDescent="0.3">
      <c r="A2" s="110" t="s">
        <v>85</v>
      </c>
      <c r="B2" s="111" t="s">
        <v>242</v>
      </c>
      <c r="D2" s="129" t="s">
        <v>6</v>
      </c>
    </row>
    <row r="3" spans="1:4" ht="14.4" x14ac:dyDescent="0.3">
      <c r="A3" s="110" t="s">
        <v>86</v>
      </c>
      <c r="B3" s="111" t="s">
        <v>176</v>
      </c>
      <c r="C3" s="66"/>
      <c r="D3" s="130" t="s">
        <v>155</v>
      </c>
    </row>
    <row r="4" spans="1:4" ht="14.4" x14ac:dyDescent="0.3">
      <c r="A4" s="110" t="s">
        <v>98</v>
      </c>
      <c r="B4" s="111" t="s">
        <v>99</v>
      </c>
      <c r="C4" s="66"/>
      <c r="D4" s="130" t="s">
        <v>156</v>
      </c>
    </row>
    <row r="5" spans="1:4" ht="14.4" x14ac:dyDescent="0.3">
      <c r="A5" s="110" t="s">
        <v>89</v>
      </c>
      <c r="B5" s="111" t="s">
        <v>9</v>
      </c>
      <c r="C5" s="66"/>
      <c r="D5" s="129" t="s">
        <v>10</v>
      </c>
    </row>
    <row r="6" spans="1:4" ht="14.4" x14ac:dyDescent="0.3">
      <c r="A6" s="110" t="s">
        <v>93</v>
      </c>
      <c r="B6" s="111" t="s">
        <v>177</v>
      </c>
      <c r="C6" s="66"/>
      <c r="D6" s="129" t="s">
        <v>13</v>
      </c>
    </row>
    <row r="7" spans="1:4" ht="14.4" x14ac:dyDescent="0.3">
      <c r="A7" s="110" t="s">
        <v>101</v>
      </c>
      <c r="B7" s="111" t="s">
        <v>102</v>
      </c>
      <c r="D7" s="130" t="s">
        <v>157</v>
      </c>
    </row>
    <row r="8" spans="1:4" ht="14.4" x14ac:dyDescent="0.3">
      <c r="A8" s="110" t="s">
        <v>87</v>
      </c>
      <c r="B8" s="112" t="s">
        <v>112</v>
      </c>
      <c r="C8" s="66"/>
      <c r="D8" s="130" t="s">
        <v>153</v>
      </c>
    </row>
    <row r="9" spans="1:4" ht="14.4" x14ac:dyDescent="0.3">
      <c r="A9" s="110" t="s">
        <v>88</v>
      </c>
      <c r="B9" s="111" t="s">
        <v>8</v>
      </c>
      <c r="C9" s="66"/>
      <c r="D9" s="130" t="s">
        <v>154</v>
      </c>
    </row>
    <row r="10" spans="1:4" ht="14.4" x14ac:dyDescent="0.3">
      <c r="A10" s="110" t="s">
        <v>122</v>
      </c>
      <c r="B10" s="132">
        <v>1</v>
      </c>
      <c r="D10" s="130" t="s">
        <v>158</v>
      </c>
    </row>
    <row r="11" spans="1:4" ht="14.4" x14ac:dyDescent="0.3">
      <c r="A11" s="110" t="s">
        <v>91</v>
      </c>
      <c r="B11" s="111" t="s">
        <v>262</v>
      </c>
      <c r="C11" s="66"/>
      <c r="D11" s="130" t="s">
        <v>159</v>
      </c>
    </row>
    <row r="12" spans="1:4" ht="28.8" x14ac:dyDescent="0.3">
      <c r="A12" s="113" t="s">
        <v>95</v>
      </c>
      <c r="B12" s="185" t="s">
        <v>263</v>
      </c>
      <c r="C12" s="1"/>
      <c r="D12" s="130" t="s">
        <v>160</v>
      </c>
    </row>
    <row r="13" spans="1:4" ht="21.45" customHeight="1" x14ac:dyDescent="0.3">
      <c r="A13" s="113" t="s">
        <v>60</v>
      </c>
      <c r="B13" s="111">
        <v>9</v>
      </c>
      <c r="C13" s="1"/>
      <c r="D13" s="130" t="s">
        <v>161</v>
      </c>
    </row>
    <row r="14" spans="1:4" ht="14.4" x14ac:dyDescent="0.3">
      <c r="A14" s="110" t="s">
        <v>94</v>
      </c>
      <c r="B14" s="260" t="s">
        <v>264</v>
      </c>
      <c r="C14" s="65"/>
      <c r="D14" s="129" t="s">
        <v>14</v>
      </c>
    </row>
    <row r="15" spans="1:4" ht="14.4" x14ac:dyDescent="0.3">
      <c r="A15" s="113" t="s">
        <v>15</v>
      </c>
      <c r="B15" s="114" t="s">
        <v>178</v>
      </c>
      <c r="C15" s="1"/>
      <c r="D15" s="129" t="s">
        <v>151</v>
      </c>
    </row>
    <row r="16" spans="1:4" ht="14.4" x14ac:dyDescent="0.3">
      <c r="A16" s="113" t="s">
        <v>96</v>
      </c>
      <c r="B16" s="237"/>
      <c r="C16" s="1"/>
      <c r="D16" s="129" t="s">
        <v>150</v>
      </c>
    </row>
    <row r="17" spans="1:4" ht="14.4" x14ac:dyDescent="0.3">
      <c r="A17" s="113" t="s">
        <v>100</v>
      </c>
      <c r="B17" s="237" t="s">
        <v>266</v>
      </c>
      <c r="C17" s="1"/>
      <c r="D17" s="130" t="s">
        <v>162</v>
      </c>
    </row>
    <row r="18" spans="1:4" ht="20.55" customHeight="1" x14ac:dyDescent="0.3">
      <c r="A18" s="110" t="s">
        <v>90</v>
      </c>
      <c r="B18" s="238" t="s">
        <v>324</v>
      </c>
      <c r="D18" s="130" t="s">
        <v>163</v>
      </c>
    </row>
    <row r="19" spans="1:4" ht="14.4" x14ac:dyDescent="0.3">
      <c r="A19" s="110" t="s">
        <v>92</v>
      </c>
      <c r="B19" s="111" t="s">
        <v>265</v>
      </c>
      <c r="C19" s="66"/>
      <c r="D19" s="129" t="s">
        <v>11</v>
      </c>
    </row>
    <row r="20" spans="1:4" ht="14.4" x14ac:dyDescent="0.3">
      <c r="A20" s="110" t="s">
        <v>119</v>
      </c>
      <c r="B20" s="111" t="s">
        <v>265</v>
      </c>
      <c r="C20" s="66"/>
      <c r="D20" s="130" t="s">
        <v>164</v>
      </c>
    </row>
    <row r="21" spans="1:4" ht="15.75" customHeight="1" x14ac:dyDescent="0.3">
      <c r="A21" s="113" t="s">
        <v>97</v>
      </c>
      <c r="B21" s="111" t="s">
        <v>267</v>
      </c>
      <c r="C21" s="183"/>
      <c r="D21" s="130" t="s">
        <v>165</v>
      </c>
    </row>
    <row r="22" spans="1:4" ht="14.4" x14ac:dyDescent="0.3">
      <c r="A22" s="110" t="s">
        <v>12</v>
      </c>
      <c r="B22" s="237"/>
      <c r="C22" s="66"/>
      <c r="D22" s="130" t="s">
        <v>166</v>
      </c>
    </row>
    <row r="23" spans="1:4" ht="15.75" customHeight="1" thickBot="1" x14ac:dyDescent="0.35">
      <c r="A23" s="115" t="s">
        <v>103</v>
      </c>
      <c r="B23" s="116" t="s">
        <v>117</v>
      </c>
      <c r="C23" s="184"/>
      <c r="D23" s="130" t="s">
        <v>152</v>
      </c>
    </row>
  </sheetData>
  <dataValidations count="1">
    <dataValidation type="list" errorStyle="information" allowBlank="1" showInputMessage="1" showErrorMessage="1" sqref="D14:D23" xr:uid="{BC92BB6B-9D47-46BB-9367-4B2F674EAF50}">
      <formula1>"-,kg,s,m,K,°C,W,bar,kg/h,t/h,kW,kW/m2K,W/m2K,kJ/kgK,kJ/kg,m3/h,%,eur,eur/y,kWel/kWth,year"</formula1>
    </dataValidation>
  </dataValidations>
  <pageMargins left="0.7" right="0.7" top="0.75" bottom="0.75" header="0" footer="0"/>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L11"/>
  <sheetViews>
    <sheetView showGridLines="0" topLeftCell="B1" zoomScale="84" zoomScaleNormal="70" workbookViewId="0">
      <selection activeCell="A15" sqref="A15"/>
    </sheetView>
  </sheetViews>
  <sheetFormatPr defaultColWidth="14.44140625" defaultRowHeight="15" customHeight="1" x14ac:dyDescent="0.3"/>
  <cols>
    <col min="1" max="1" width="42.6640625" style="63" customWidth="1"/>
    <col min="2" max="2" width="19.44140625" style="63" bestFit="1" customWidth="1"/>
    <col min="3" max="3" width="17.33203125" style="63" customWidth="1"/>
    <col min="4" max="4" width="20.109375" style="63" bestFit="1" customWidth="1"/>
    <col min="5" max="5" width="19.44140625" style="63" bestFit="1" customWidth="1"/>
    <col min="6" max="6" width="23.44140625" style="63" customWidth="1"/>
    <col min="7" max="7" width="27" style="63" customWidth="1"/>
    <col min="8" max="8" width="23.44140625" style="63" customWidth="1"/>
    <col min="9" max="9" width="33.109375" style="63" bestFit="1" customWidth="1"/>
    <col min="10" max="10" width="27" style="63" customWidth="1"/>
    <col min="11" max="11" width="54.77734375" bestFit="1" customWidth="1"/>
    <col min="12" max="12" width="61.33203125" customWidth="1"/>
    <col min="13" max="13" width="16" customWidth="1"/>
    <col min="14" max="14" width="18.44140625" customWidth="1"/>
    <col min="15" max="15" width="14.33203125" customWidth="1"/>
    <col min="16" max="16" width="5.109375" customWidth="1"/>
  </cols>
  <sheetData>
    <row r="2" spans="1:12" thickBot="1" x14ac:dyDescent="0.35">
      <c r="A2" s="11" t="s">
        <v>83</v>
      </c>
      <c r="B2" s="4"/>
      <c r="C2" s="4"/>
      <c r="D2" s="4"/>
      <c r="E2" s="4"/>
      <c r="F2" s="4"/>
      <c r="G2" s="4"/>
      <c r="H2" s="4"/>
      <c r="I2" s="4"/>
      <c r="J2" s="4"/>
      <c r="K2" s="3"/>
      <c r="L2" s="5"/>
    </row>
    <row r="3" spans="1:12" thickBot="1" x14ac:dyDescent="0.35">
      <c r="A3" s="78" t="s">
        <v>16</v>
      </c>
      <c r="B3" s="79"/>
      <c r="C3" s="79"/>
      <c r="D3" s="79"/>
      <c r="E3" s="79"/>
      <c r="F3" s="79"/>
      <c r="G3" s="79"/>
      <c r="H3" s="79"/>
      <c r="I3" s="79"/>
      <c r="J3" s="79"/>
      <c r="K3" s="120"/>
      <c r="L3" s="121"/>
    </row>
    <row r="4" spans="1:12" thickBot="1" x14ac:dyDescent="0.35">
      <c r="A4" s="105" t="s">
        <v>120</v>
      </c>
      <c r="B4" s="106" t="s">
        <v>17</v>
      </c>
      <c r="C4" s="106" t="s">
        <v>18</v>
      </c>
      <c r="D4" s="106" t="s">
        <v>171</v>
      </c>
      <c r="E4" s="106" t="s">
        <v>20</v>
      </c>
      <c r="F4" s="107" t="s">
        <v>21</v>
      </c>
      <c r="G4" s="106" t="s">
        <v>22</v>
      </c>
      <c r="H4" s="106" t="s">
        <v>23</v>
      </c>
      <c r="I4" s="106" t="s">
        <v>24</v>
      </c>
      <c r="J4" s="106" t="s">
        <v>25</v>
      </c>
      <c r="K4" s="106" t="s">
        <v>26</v>
      </c>
      <c r="L4" s="108" t="s">
        <v>15</v>
      </c>
    </row>
    <row r="5" spans="1:12" thickBot="1" x14ac:dyDescent="0.35">
      <c r="A5" s="133" t="s">
        <v>33</v>
      </c>
      <c r="B5" s="122" t="s">
        <v>179</v>
      </c>
      <c r="C5" s="122" t="s">
        <v>33</v>
      </c>
      <c r="D5" s="122" t="s">
        <v>34</v>
      </c>
      <c r="E5" s="122" t="s">
        <v>35</v>
      </c>
      <c r="F5" s="134" t="s">
        <v>35</v>
      </c>
      <c r="G5" s="122" t="s">
        <v>35</v>
      </c>
      <c r="H5" s="122" t="s">
        <v>35</v>
      </c>
      <c r="I5" s="122" t="s">
        <v>35</v>
      </c>
      <c r="J5" s="122" t="s">
        <v>35</v>
      </c>
      <c r="K5" s="122" t="s">
        <v>35</v>
      </c>
      <c r="L5" s="135" t="s">
        <v>244</v>
      </c>
    </row>
    <row r="6" spans="1:12" thickBot="1" x14ac:dyDescent="0.35">
      <c r="A6" s="136" t="s">
        <v>31</v>
      </c>
      <c r="B6" s="137" t="s">
        <v>180</v>
      </c>
      <c r="C6" s="138" t="s">
        <v>27</v>
      </c>
      <c r="D6" s="138" t="s">
        <v>28</v>
      </c>
      <c r="E6" s="138">
        <v>25</v>
      </c>
      <c r="F6" s="137" t="s">
        <v>288</v>
      </c>
      <c r="G6" s="137">
        <v>1</v>
      </c>
      <c r="H6" s="138" t="s">
        <v>29</v>
      </c>
      <c r="I6" s="137">
        <v>-1</v>
      </c>
      <c r="J6" s="137" t="s">
        <v>30</v>
      </c>
      <c r="K6" s="179" t="s">
        <v>32</v>
      </c>
      <c r="L6" s="170" t="s">
        <v>261</v>
      </c>
    </row>
    <row r="7" spans="1:12" thickBot="1" x14ac:dyDescent="0.35">
      <c r="A7" s="8"/>
      <c r="B7" s="8"/>
      <c r="C7" s="8"/>
      <c r="D7" s="8"/>
      <c r="E7" s="8"/>
      <c r="F7" s="8"/>
      <c r="G7" s="8"/>
      <c r="H7" s="8"/>
      <c r="I7" s="9"/>
      <c r="J7" s="10"/>
      <c r="K7" s="10"/>
      <c r="L7" s="10"/>
    </row>
    <row r="8" spans="1:12" thickBot="1" x14ac:dyDescent="0.35">
      <c r="A8" s="11" t="s">
        <v>82</v>
      </c>
      <c r="B8" s="12"/>
      <c r="C8" s="12"/>
      <c r="D8" s="12"/>
      <c r="E8" s="12"/>
      <c r="F8" s="12"/>
      <c r="G8" s="12"/>
      <c r="H8" s="12"/>
      <c r="I8" s="13"/>
      <c r="J8" s="14"/>
      <c r="K8" s="14"/>
      <c r="L8" s="14"/>
    </row>
    <row r="9" spans="1:12" thickBot="1" x14ac:dyDescent="0.35">
      <c r="A9" s="78" t="s">
        <v>36</v>
      </c>
      <c r="B9" s="79"/>
      <c r="C9" s="79"/>
      <c r="D9" s="79"/>
      <c r="E9" s="79"/>
      <c r="F9" s="79"/>
      <c r="G9" s="79"/>
      <c r="H9" s="79"/>
      <c r="I9" s="79"/>
      <c r="J9" s="79"/>
      <c r="K9" s="120"/>
      <c r="L9" s="121"/>
    </row>
    <row r="10" spans="1:12" thickBot="1" x14ac:dyDescent="0.35">
      <c r="A10" s="172" t="s">
        <v>120</v>
      </c>
      <c r="B10" s="173" t="s">
        <v>17</v>
      </c>
      <c r="C10" s="173" t="s">
        <v>18</v>
      </c>
      <c r="D10" s="173" t="s">
        <v>171</v>
      </c>
      <c r="E10" s="173" t="s">
        <v>20</v>
      </c>
      <c r="F10" s="174" t="s">
        <v>21</v>
      </c>
      <c r="G10" s="173" t="s">
        <v>22</v>
      </c>
      <c r="H10" s="173" t="s">
        <v>23</v>
      </c>
      <c r="I10" s="173" t="s">
        <v>24</v>
      </c>
      <c r="J10" s="173" t="s">
        <v>25</v>
      </c>
      <c r="K10" s="173" t="s">
        <v>26</v>
      </c>
      <c r="L10" s="175" t="s">
        <v>15</v>
      </c>
    </row>
    <row r="11" spans="1:12" thickBot="1" x14ac:dyDescent="0.35">
      <c r="A11" s="171" t="s">
        <v>35</v>
      </c>
      <c r="B11" s="176" t="s">
        <v>35</v>
      </c>
      <c r="C11" s="176" t="s">
        <v>35</v>
      </c>
      <c r="D11" s="227" t="s">
        <v>35</v>
      </c>
      <c r="E11" s="176" t="s">
        <v>35</v>
      </c>
      <c r="F11" s="176" t="s">
        <v>35</v>
      </c>
      <c r="G11" s="176" t="s">
        <v>35</v>
      </c>
      <c r="H11" s="176" t="s">
        <v>35</v>
      </c>
      <c r="I11" s="176" t="s">
        <v>35</v>
      </c>
      <c r="J11" s="176" t="s">
        <v>35</v>
      </c>
      <c r="K11" s="176" t="s">
        <v>35</v>
      </c>
      <c r="L11" s="177" t="s">
        <v>35</v>
      </c>
    </row>
  </sheetData>
  <dataValidations count="2">
    <dataValidation type="list" errorStyle="information" allowBlank="1" showInputMessage="1" showErrorMessage="1" sqref="C5 C6" xr:uid="{4195A88D-DA8E-4AD7-AD96-9E0ED69E897C}">
      <formula1>"ELECTRICITY,EMISSIONS,MASS"</formula1>
    </dataValidation>
    <dataValidation type="list" errorStyle="information" allowBlank="1" showInputMessage="1" showErrorMessage="1" sqref="H5:H6 F11 D11 H11 D5:D6 F5:F6 A3" xr:uid="{A3B29118-A356-44EC-9F36-B76439C38B86}">
      <formula1>"-,kg,s,m,K,°C,W,bar,kg/h,t/h,kW,kW/m2K,W/m2K,kJ/kgK,kJ/kg,m3/h,%,eur,eur/y,kWel/kWth,year"</formula1>
    </dataValidation>
  </dataValidation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39"/>
  <sheetViews>
    <sheetView showGridLines="0" topLeftCell="C7" zoomScale="80" zoomScaleNormal="55" workbookViewId="0">
      <selection activeCell="K23" sqref="K23"/>
    </sheetView>
  </sheetViews>
  <sheetFormatPr defaultColWidth="14.44140625" defaultRowHeight="15" customHeight="1" x14ac:dyDescent="0.3"/>
  <cols>
    <col min="1" max="1" width="176.33203125" style="63" bestFit="1" customWidth="1"/>
    <col min="2" max="2" width="12.88671875" style="63" customWidth="1"/>
    <col min="3" max="3" width="33.5546875" style="63" bestFit="1" customWidth="1"/>
    <col min="4" max="4" width="14.21875" style="63" customWidth="1"/>
    <col min="5" max="5" width="14.5546875" style="63" bestFit="1" customWidth="1"/>
    <col min="6" max="6" width="13.109375" style="63" bestFit="1" customWidth="1"/>
    <col min="7" max="7" width="97.44140625" style="63" bestFit="1" customWidth="1"/>
    <col min="8" max="9" width="12" style="63" bestFit="1" customWidth="1"/>
    <col min="10" max="10" width="24.33203125" style="63" bestFit="1" customWidth="1"/>
    <col min="11" max="11" width="19" style="63" customWidth="1"/>
    <col min="12" max="12" width="96" style="63" bestFit="1" customWidth="1"/>
    <col min="13" max="13" width="29.77734375" style="63" customWidth="1"/>
    <col min="14" max="39" width="10.6640625" style="63" customWidth="1"/>
    <col min="40" max="16384" width="14.44140625" style="63"/>
  </cols>
  <sheetData>
    <row r="1" spans="1:12" customFormat="1" ht="14.4" x14ac:dyDescent="0.3">
      <c r="A1" s="15" t="s">
        <v>37</v>
      </c>
      <c r="B1" s="187"/>
      <c r="C1" s="187"/>
      <c r="D1" s="187"/>
      <c r="E1" s="187"/>
      <c r="F1" s="187"/>
      <c r="G1" s="187"/>
      <c r="H1" s="187"/>
      <c r="I1" s="187"/>
      <c r="J1" s="187"/>
      <c r="K1" s="187"/>
      <c r="L1" s="187"/>
    </row>
    <row r="2" spans="1:12" ht="14.4" x14ac:dyDescent="0.3">
      <c r="A2" s="16" t="s">
        <v>38</v>
      </c>
      <c r="B2" s="187"/>
      <c r="C2" s="187"/>
      <c r="D2" s="187"/>
      <c r="E2" s="187"/>
      <c r="F2" s="187"/>
      <c r="G2" s="187"/>
      <c r="H2" s="187"/>
      <c r="I2" s="187"/>
      <c r="J2" s="187"/>
      <c r="K2" s="187"/>
      <c r="L2" s="187"/>
    </row>
    <row r="3" spans="1:12" ht="14.4" x14ac:dyDescent="0.3">
      <c r="A3" s="17" t="s">
        <v>39</v>
      </c>
      <c r="B3" s="188"/>
      <c r="C3" s="188"/>
      <c r="D3" s="188"/>
      <c r="E3" s="188"/>
      <c r="F3" s="188"/>
      <c r="G3" s="188"/>
      <c r="H3" s="188"/>
      <c r="I3" s="188"/>
      <c r="J3" s="188"/>
      <c r="K3" s="187"/>
      <c r="L3" s="187"/>
    </row>
    <row r="4" spans="1:12" ht="14.4" x14ac:dyDescent="0.3">
      <c r="A4" s="17" t="s">
        <v>40</v>
      </c>
      <c r="B4" s="188"/>
      <c r="C4" s="188"/>
      <c r="D4" s="188"/>
      <c r="E4" s="188"/>
      <c r="F4" s="188"/>
      <c r="G4" s="188"/>
      <c r="H4" s="188"/>
      <c r="I4" s="188"/>
      <c r="J4" s="188"/>
      <c r="K4" s="187"/>
      <c r="L4" s="187"/>
    </row>
    <row r="5" spans="1:12" ht="14.4" x14ac:dyDescent="0.3">
      <c r="A5" s="17" t="s">
        <v>41</v>
      </c>
      <c r="B5" s="188"/>
      <c r="C5" s="188"/>
      <c r="D5" s="188"/>
      <c r="E5" s="188"/>
      <c r="F5" s="188"/>
      <c r="G5" s="188"/>
      <c r="H5" s="188"/>
      <c r="I5" s="188"/>
      <c r="J5" s="188"/>
      <c r="K5" s="187"/>
      <c r="L5" s="187"/>
    </row>
    <row r="6" spans="1:12" ht="14.4" x14ac:dyDescent="0.3">
      <c r="A6" s="189" t="s">
        <v>167</v>
      </c>
      <c r="B6" s="188"/>
      <c r="C6" s="188"/>
      <c r="D6" s="188"/>
      <c r="E6" s="188"/>
      <c r="F6" s="188"/>
      <c r="G6" s="188"/>
      <c r="H6" s="188"/>
      <c r="I6" s="188"/>
      <c r="J6" s="188"/>
      <c r="K6" s="187"/>
      <c r="L6" s="187"/>
    </row>
    <row r="7" spans="1:12" ht="14.4" x14ac:dyDescent="0.3">
      <c r="A7" s="190" t="s">
        <v>42</v>
      </c>
      <c r="B7" s="188"/>
      <c r="C7" s="188"/>
      <c r="D7" s="188"/>
      <c r="E7" s="188"/>
      <c r="F7" s="188"/>
      <c r="G7" s="188"/>
      <c r="H7" s="188"/>
      <c r="I7" s="188"/>
      <c r="J7" s="188"/>
      <c r="K7" s="187"/>
      <c r="L7" s="187"/>
    </row>
    <row r="8" spans="1:12" ht="14.4" x14ac:dyDescent="0.3">
      <c r="A8" s="188" t="s">
        <v>43</v>
      </c>
      <c r="B8" s="188"/>
      <c r="C8" s="188"/>
      <c r="D8" s="188"/>
      <c r="E8" s="188"/>
      <c r="F8" s="188"/>
      <c r="G8" s="188"/>
      <c r="H8" s="188"/>
      <c r="I8" s="188"/>
      <c r="J8" s="188"/>
      <c r="K8" s="187"/>
      <c r="L8" s="187"/>
    </row>
    <row r="9" spans="1:12" ht="14.4" x14ac:dyDescent="0.3">
      <c r="A9" s="191" t="s">
        <v>44</v>
      </c>
      <c r="B9" s="192"/>
      <c r="C9" s="192"/>
      <c r="D9" s="192"/>
      <c r="E9" s="192"/>
      <c r="F9" s="192"/>
      <c r="G9" s="192"/>
      <c r="H9" s="192"/>
      <c r="I9" s="192"/>
      <c r="J9" s="192"/>
      <c r="K9" s="193"/>
      <c r="L9" s="193"/>
    </row>
    <row r="10" spans="1:12" ht="14.4" x14ac:dyDescent="0.3">
      <c r="A10" s="194" t="s">
        <v>45</v>
      </c>
      <c r="B10" s="192"/>
      <c r="C10" s="192"/>
      <c r="D10" s="192"/>
      <c r="E10" s="192"/>
      <c r="F10" s="192"/>
      <c r="G10" s="192"/>
      <c r="H10" s="192"/>
      <c r="I10" s="192"/>
      <c r="J10" s="192"/>
      <c r="K10" s="193"/>
      <c r="L10" s="193"/>
    </row>
    <row r="11" spans="1:12" ht="14.4" x14ac:dyDescent="0.3">
      <c r="A11" s="188"/>
      <c r="B11" s="192"/>
      <c r="C11" s="192"/>
      <c r="D11" s="192"/>
      <c r="E11" s="192"/>
      <c r="F11" s="192"/>
      <c r="G11" s="192"/>
      <c r="H11" s="192"/>
      <c r="I11" s="192"/>
      <c r="J11" s="192"/>
      <c r="K11" s="193"/>
      <c r="L11" s="193"/>
    </row>
    <row r="12" spans="1:12" ht="17.25" customHeight="1" thickBot="1" x14ac:dyDescent="0.35">
      <c r="A12" s="18"/>
      <c r="B12" s="19"/>
      <c r="C12" s="19"/>
      <c r="D12" s="19"/>
      <c r="E12" s="19"/>
      <c r="F12" s="19"/>
      <c r="G12" s="61"/>
      <c r="H12" s="19"/>
      <c r="I12" s="19"/>
      <c r="J12" s="19"/>
      <c r="K12" s="19"/>
      <c r="L12" s="19"/>
    </row>
    <row r="13" spans="1:12" ht="14.4" x14ac:dyDescent="0.3">
      <c r="A13" s="20"/>
      <c r="B13" s="21"/>
      <c r="C13" s="21"/>
      <c r="D13" s="21"/>
      <c r="E13" s="21"/>
      <c r="F13" s="21"/>
      <c r="G13" s="62"/>
      <c r="H13" s="21"/>
      <c r="I13" s="21"/>
      <c r="J13" s="21"/>
      <c r="K13" s="21"/>
      <c r="L13" s="21"/>
    </row>
    <row r="14" spans="1:12" thickBot="1" x14ac:dyDescent="0.35">
      <c r="A14" s="69" t="s">
        <v>3</v>
      </c>
      <c r="B14" s="95"/>
      <c r="C14" s="95"/>
      <c r="D14" s="95"/>
      <c r="E14" s="95"/>
      <c r="F14" s="95"/>
      <c r="G14" s="76"/>
      <c r="H14" s="95"/>
      <c r="I14" s="95"/>
      <c r="J14" s="95"/>
      <c r="K14" s="95"/>
      <c r="L14" s="96"/>
    </row>
    <row r="15" spans="1:12" thickBot="1" x14ac:dyDescent="0.35">
      <c r="A15" s="97" t="s">
        <v>118</v>
      </c>
      <c r="B15" s="98" t="s">
        <v>18</v>
      </c>
      <c r="C15" s="98" t="s">
        <v>77</v>
      </c>
      <c r="D15" s="98" t="s">
        <v>42</v>
      </c>
      <c r="E15" s="98" t="s">
        <v>175</v>
      </c>
      <c r="F15" s="98" t="s">
        <v>19</v>
      </c>
      <c r="G15" s="98" t="s">
        <v>174</v>
      </c>
      <c r="H15" s="99" t="s">
        <v>78</v>
      </c>
      <c r="I15" s="98" t="s">
        <v>79</v>
      </c>
      <c r="J15" s="98" t="s">
        <v>80</v>
      </c>
      <c r="K15" s="139" t="s">
        <v>124</v>
      </c>
      <c r="L15" s="100" t="s">
        <v>15</v>
      </c>
    </row>
    <row r="16" spans="1:12" ht="14.4" x14ac:dyDescent="0.3">
      <c r="A16" s="140" t="s">
        <v>181</v>
      </c>
      <c r="B16" s="101" t="s">
        <v>268</v>
      </c>
      <c r="C16" s="180" t="s">
        <v>321</v>
      </c>
      <c r="D16" s="131" t="s">
        <v>48</v>
      </c>
      <c r="E16" s="180">
        <v>13</v>
      </c>
      <c r="F16" s="101" t="s">
        <v>288</v>
      </c>
      <c r="G16" s="101" t="s">
        <v>35</v>
      </c>
      <c r="H16" s="253">
        <v>5</v>
      </c>
      <c r="I16" s="253">
        <v>20</v>
      </c>
      <c r="J16" s="101" t="s">
        <v>182</v>
      </c>
      <c r="K16" s="253" t="s">
        <v>327</v>
      </c>
      <c r="L16" s="195" t="s">
        <v>271</v>
      </c>
    </row>
    <row r="17" spans="1:12" ht="14.4" x14ac:dyDescent="0.3">
      <c r="A17" s="102" t="s">
        <v>183</v>
      </c>
      <c r="B17" s="94" t="s">
        <v>46</v>
      </c>
      <c r="C17" s="181" t="s">
        <v>322</v>
      </c>
      <c r="D17" s="94" t="s">
        <v>48</v>
      </c>
      <c r="E17" s="181">
        <v>30</v>
      </c>
      <c r="F17" s="94" t="s">
        <v>288</v>
      </c>
      <c r="G17" s="94" t="s">
        <v>35</v>
      </c>
      <c r="H17" s="254">
        <v>25</v>
      </c>
      <c r="I17" s="254">
        <v>40</v>
      </c>
      <c r="J17" s="94" t="s">
        <v>184</v>
      </c>
      <c r="K17" s="254" t="s">
        <v>327</v>
      </c>
      <c r="L17" s="196" t="s">
        <v>270</v>
      </c>
    </row>
    <row r="18" spans="1:12" ht="14.4" x14ac:dyDescent="0.3">
      <c r="A18" s="102" t="s">
        <v>269</v>
      </c>
      <c r="B18" s="94" t="s">
        <v>47</v>
      </c>
      <c r="C18" s="181" t="s">
        <v>284</v>
      </c>
      <c r="D18" s="94" t="s">
        <v>48</v>
      </c>
      <c r="E18" s="181">
        <v>4.2</v>
      </c>
      <c r="F18" s="94" t="s">
        <v>81</v>
      </c>
      <c r="G18" s="94" t="s">
        <v>35</v>
      </c>
      <c r="H18" s="255">
        <v>4</v>
      </c>
      <c r="I18" s="255">
        <v>4.3</v>
      </c>
      <c r="J18" s="94" t="s">
        <v>272</v>
      </c>
      <c r="K18" s="254" t="s">
        <v>326</v>
      </c>
      <c r="L18" s="196" t="s">
        <v>273</v>
      </c>
    </row>
    <row r="19" spans="1:12" ht="14.4" x14ac:dyDescent="0.3">
      <c r="A19" s="102" t="s">
        <v>185</v>
      </c>
      <c r="B19" s="94" t="s">
        <v>47</v>
      </c>
      <c r="C19" s="94" t="s">
        <v>239</v>
      </c>
      <c r="D19" s="94" t="s">
        <v>50</v>
      </c>
      <c r="E19" s="94">
        <v>100000</v>
      </c>
      <c r="F19" s="94" t="s">
        <v>34</v>
      </c>
      <c r="G19" s="94" t="s">
        <v>35</v>
      </c>
      <c r="H19" s="255">
        <v>10000</v>
      </c>
      <c r="I19" s="255">
        <v>500000</v>
      </c>
      <c r="J19" s="94" t="s">
        <v>186</v>
      </c>
      <c r="K19" s="254" t="s">
        <v>326</v>
      </c>
      <c r="L19" s="197" t="s">
        <v>239</v>
      </c>
    </row>
    <row r="20" spans="1:12" ht="14.4" x14ac:dyDescent="0.3">
      <c r="A20" s="102" t="s">
        <v>187</v>
      </c>
      <c r="B20" s="94" t="s">
        <v>46</v>
      </c>
      <c r="C20" s="181" t="s">
        <v>240</v>
      </c>
      <c r="D20" s="94" t="s">
        <v>48</v>
      </c>
      <c r="E20" s="181">
        <v>20</v>
      </c>
      <c r="F20" s="94" t="s">
        <v>288</v>
      </c>
      <c r="G20" s="94" t="s">
        <v>35</v>
      </c>
      <c r="H20" s="256">
        <v>-10</v>
      </c>
      <c r="I20" s="255">
        <v>45</v>
      </c>
      <c r="J20" s="94" t="s">
        <v>188</v>
      </c>
      <c r="K20" s="254" t="s">
        <v>326</v>
      </c>
      <c r="L20" s="196" t="s">
        <v>296</v>
      </c>
    </row>
    <row r="21" spans="1:12" ht="14.4" x14ac:dyDescent="0.3">
      <c r="A21" s="102" t="s">
        <v>189</v>
      </c>
      <c r="B21" s="94" t="s">
        <v>46</v>
      </c>
      <c r="C21" s="94" t="s">
        <v>190</v>
      </c>
      <c r="D21" s="94" t="s">
        <v>48</v>
      </c>
      <c r="E21" s="94">
        <v>40</v>
      </c>
      <c r="F21" s="94" t="s">
        <v>191</v>
      </c>
      <c r="G21" s="94" t="s">
        <v>35</v>
      </c>
      <c r="H21" s="255">
        <v>10</v>
      </c>
      <c r="I21" s="255">
        <v>100</v>
      </c>
      <c r="J21" s="94" t="s">
        <v>192</v>
      </c>
      <c r="K21" s="254" t="s">
        <v>326</v>
      </c>
      <c r="L21" s="196" t="s">
        <v>297</v>
      </c>
    </row>
    <row r="22" spans="1:12" ht="14.4" x14ac:dyDescent="0.3">
      <c r="A22" s="102" t="s">
        <v>193</v>
      </c>
      <c r="B22" s="94" t="s">
        <v>46</v>
      </c>
      <c r="C22" s="181" t="s">
        <v>241</v>
      </c>
      <c r="D22" s="94" t="s">
        <v>48</v>
      </c>
      <c r="E22" s="181">
        <f>ROUND(Tdrybulb * ATAN(0.151977 * SQRT(RelatHum+8.313659)) + ATAN(Tdrybulb+RelatHum) - ATAN(RelatHum-1.676331) + 0.00391838 * RelatHum^1.5 * ATAN(0.023101*RelatHum) - 4.686035,2)</f>
        <v>12.32</v>
      </c>
      <c r="F22" s="94" t="s">
        <v>288</v>
      </c>
      <c r="G22" s="94" t="s">
        <v>316</v>
      </c>
      <c r="H22" s="255">
        <v>-15</v>
      </c>
      <c r="I22" s="255">
        <v>30</v>
      </c>
      <c r="J22" s="94" t="s">
        <v>194</v>
      </c>
      <c r="K22" s="254" t="s">
        <v>326</v>
      </c>
      <c r="L22" s="196" t="s">
        <v>195</v>
      </c>
    </row>
    <row r="23" spans="1:12" ht="14.4" x14ac:dyDescent="0.3">
      <c r="A23" s="102" t="s">
        <v>196</v>
      </c>
      <c r="B23" s="94" t="s">
        <v>47</v>
      </c>
      <c r="C23" s="94" t="s">
        <v>254</v>
      </c>
      <c r="D23" s="94" t="s">
        <v>50</v>
      </c>
      <c r="E23" s="94">
        <v>2.1000000000000001E-2</v>
      </c>
      <c r="F23" s="94" t="s">
        <v>197</v>
      </c>
      <c r="G23" s="94" t="s">
        <v>35</v>
      </c>
      <c r="H23" s="255">
        <v>5.0000000000000001E-3</v>
      </c>
      <c r="I23" s="255">
        <v>0.05</v>
      </c>
      <c r="J23" s="94" t="s">
        <v>198</v>
      </c>
      <c r="K23" s="254" t="s">
        <v>248</v>
      </c>
      <c r="L23" s="196" t="s">
        <v>255</v>
      </c>
    </row>
    <row r="24" spans="1:12" ht="14.4" x14ac:dyDescent="0.3">
      <c r="A24" s="102" t="s">
        <v>199</v>
      </c>
      <c r="B24" s="94" t="s">
        <v>46</v>
      </c>
      <c r="C24" s="168" t="s">
        <v>256</v>
      </c>
      <c r="D24" s="94" t="s">
        <v>48</v>
      </c>
      <c r="E24" s="94">
        <v>8</v>
      </c>
      <c r="F24" s="94" t="s">
        <v>288</v>
      </c>
      <c r="G24" s="94" t="s">
        <v>35</v>
      </c>
      <c r="H24" s="255">
        <v>5</v>
      </c>
      <c r="I24" s="255">
        <v>30</v>
      </c>
      <c r="J24" s="94" t="s">
        <v>200</v>
      </c>
      <c r="K24" s="254" t="s">
        <v>326</v>
      </c>
      <c r="L24" s="196" t="s">
        <v>274</v>
      </c>
    </row>
    <row r="25" spans="1:12" ht="14.4" x14ac:dyDescent="0.3">
      <c r="A25" s="102" t="s">
        <v>201</v>
      </c>
      <c r="B25" s="94" t="s">
        <v>46</v>
      </c>
      <c r="C25" s="94" t="s">
        <v>257</v>
      </c>
      <c r="D25" s="94" t="s">
        <v>48</v>
      </c>
      <c r="E25" s="94">
        <v>5</v>
      </c>
      <c r="F25" s="94" t="s">
        <v>288</v>
      </c>
      <c r="G25" s="94" t="s">
        <v>35</v>
      </c>
      <c r="H25" s="255">
        <v>2</v>
      </c>
      <c r="I25" s="255">
        <v>15</v>
      </c>
      <c r="J25" s="94" t="s">
        <v>202</v>
      </c>
      <c r="K25" s="254" t="s">
        <v>326</v>
      </c>
      <c r="L25" s="196" t="s">
        <v>275</v>
      </c>
    </row>
    <row r="26" spans="1:12" ht="14.4" x14ac:dyDescent="0.3">
      <c r="A26" s="102" t="s">
        <v>203</v>
      </c>
      <c r="B26" s="94" t="s">
        <v>46</v>
      </c>
      <c r="C26" s="94" t="s">
        <v>258</v>
      </c>
      <c r="D26" s="94" t="s">
        <v>48</v>
      </c>
      <c r="E26" s="94">
        <v>2</v>
      </c>
      <c r="F26" s="94" t="s">
        <v>288</v>
      </c>
      <c r="G26" s="94" t="s">
        <v>35</v>
      </c>
      <c r="H26" s="255">
        <v>1</v>
      </c>
      <c r="I26" s="255">
        <v>10</v>
      </c>
      <c r="J26" s="94" t="s">
        <v>204</v>
      </c>
      <c r="K26" s="254" t="s">
        <v>326</v>
      </c>
      <c r="L26" s="196" t="s">
        <v>276</v>
      </c>
    </row>
    <row r="27" spans="1:12" ht="14.4" x14ac:dyDescent="0.3">
      <c r="A27" s="102" t="s">
        <v>205</v>
      </c>
      <c r="B27" s="94" t="s">
        <v>46</v>
      </c>
      <c r="C27" s="94" t="s">
        <v>57</v>
      </c>
      <c r="D27" s="94" t="s">
        <v>48</v>
      </c>
      <c r="E27" s="94">
        <v>40</v>
      </c>
      <c r="F27" s="94" t="s">
        <v>58</v>
      </c>
      <c r="G27" s="94" t="s">
        <v>35</v>
      </c>
      <c r="H27" s="254">
        <v>10</v>
      </c>
      <c r="I27" s="254">
        <v>60</v>
      </c>
      <c r="J27" s="94" t="s">
        <v>206</v>
      </c>
      <c r="K27" s="254" t="s">
        <v>326</v>
      </c>
      <c r="L27" s="196" t="s">
        <v>277</v>
      </c>
    </row>
    <row r="28" spans="1:12" ht="14.4" x14ac:dyDescent="0.3">
      <c r="A28" s="102" t="s">
        <v>207</v>
      </c>
      <c r="B28" s="94" t="s">
        <v>46</v>
      </c>
      <c r="C28" s="94" t="s">
        <v>208</v>
      </c>
      <c r="D28" s="94" t="s">
        <v>48</v>
      </c>
      <c r="E28" s="94">
        <v>0.06</v>
      </c>
      <c r="F28" s="94" t="s">
        <v>35</v>
      </c>
      <c r="G28" s="94" t="s">
        <v>35</v>
      </c>
      <c r="H28" s="254">
        <v>0.01</v>
      </c>
      <c r="I28" s="254">
        <v>0.15</v>
      </c>
      <c r="J28" s="94" t="s">
        <v>209</v>
      </c>
      <c r="K28" s="254" t="s">
        <v>326</v>
      </c>
      <c r="L28" s="196" t="s">
        <v>299</v>
      </c>
    </row>
    <row r="29" spans="1:12" ht="14.4" x14ac:dyDescent="0.3">
      <c r="A29" s="102" t="s">
        <v>210</v>
      </c>
      <c r="B29" s="94" t="s">
        <v>46</v>
      </c>
      <c r="C29" s="94" t="s">
        <v>211</v>
      </c>
      <c r="D29" s="94" t="s">
        <v>48</v>
      </c>
      <c r="E29" s="94">
        <v>596.20000000000005</v>
      </c>
      <c r="F29" s="94" t="s">
        <v>35</v>
      </c>
      <c r="G29" s="94" t="s">
        <v>35</v>
      </c>
      <c r="H29" s="254" t="s">
        <v>35</v>
      </c>
      <c r="I29" s="254" t="s">
        <v>35</v>
      </c>
      <c r="J29" s="94" t="s">
        <v>212</v>
      </c>
      <c r="K29" s="254" t="s">
        <v>326</v>
      </c>
      <c r="L29" s="196" t="s">
        <v>298</v>
      </c>
    </row>
    <row r="30" spans="1:12" ht="14.4" x14ac:dyDescent="0.3">
      <c r="A30" s="102" t="s">
        <v>213</v>
      </c>
      <c r="B30" s="94" t="s">
        <v>46</v>
      </c>
      <c r="C30" s="94" t="s">
        <v>214</v>
      </c>
      <c r="D30" s="94" t="s">
        <v>48</v>
      </c>
      <c r="E30" s="94">
        <v>575.4</v>
      </c>
      <c r="F30" s="94" t="s">
        <v>35</v>
      </c>
      <c r="G30" s="94" t="s">
        <v>35</v>
      </c>
      <c r="H30" s="254" t="s">
        <v>35</v>
      </c>
      <c r="I30" s="254" t="s">
        <v>35</v>
      </c>
      <c r="J30" s="94" t="s">
        <v>215</v>
      </c>
      <c r="K30" s="254" t="s">
        <v>326</v>
      </c>
      <c r="L30" s="196" t="s">
        <v>278</v>
      </c>
    </row>
    <row r="31" spans="1:12" ht="14.4" x14ac:dyDescent="0.3">
      <c r="A31" s="102" t="s">
        <v>216</v>
      </c>
      <c r="B31" s="94" t="s">
        <v>46</v>
      </c>
      <c r="C31" s="94" t="s">
        <v>249</v>
      </c>
      <c r="D31" s="94" t="s">
        <v>48</v>
      </c>
      <c r="E31" s="94">
        <f>Cool_Elec*Cool_Qmax</f>
        <v>2100</v>
      </c>
      <c r="F31" s="94" t="s">
        <v>34</v>
      </c>
      <c r="G31" s="94" t="s">
        <v>301</v>
      </c>
      <c r="H31" s="255">
        <f>H23*H19</f>
        <v>50</v>
      </c>
      <c r="I31" s="255">
        <f>I23*I19</f>
        <v>25000</v>
      </c>
      <c r="J31" s="94" t="s">
        <v>217</v>
      </c>
      <c r="K31" s="254" t="s">
        <v>326</v>
      </c>
      <c r="L31" s="196" t="s">
        <v>279</v>
      </c>
    </row>
    <row r="32" spans="1:12" ht="14.4" x14ac:dyDescent="0.3">
      <c r="A32" s="169" t="s">
        <v>253</v>
      </c>
      <c r="B32" s="94" t="s">
        <v>46</v>
      </c>
      <c r="C32" s="94" t="s">
        <v>250</v>
      </c>
      <c r="D32" s="94" t="s">
        <v>48</v>
      </c>
      <c r="E32" s="94">
        <f>Cool_Tout-Cool_Tin</f>
        <v>17</v>
      </c>
      <c r="F32" s="94" t="s">
        <v>137</v>
      </c>
      <c r="G32" s="94" t="s">
        <v>302</v>
      </c>
      <c r="H32" s="254">
        <f>H17-I16</f>
        <v>5</v>
      </c>
      <c r="I32" s="255">
        <f>I17-H16</f>
        <v>35</v>
      </c>
      <c r="J32" s="94" t="s">
        <v>310</v>
      </c>
      <c r="K32" s="254" t="s">
        <v>326</v>
      </c>
      <c r="L32" s="196" t="s">
        <v>251</v>
      </c>
    </row>
    <row r="33" spans="1:12" ht="14.4" x14ac:dyDescent="0.3">
      <c r="A33" s="102" t="s">
        <v>218</v>
      </c>
      <c r="B33" s="94" t="s">
        <v>46</v>
      </c>
      <c r="C33" s="168" t="s">
        <v>252</v>
      </c>
      <c r="D33" s="94" t="s">
        <v>48</v>
      </c>
      <c r="E33" s="181">
        <f>Cool_Tin-Twetbulb</f>
        <v>0.67999999999999972</v>
      </c>
      <c r="F33" s="94" t="s">
        <v>137</v>
      </c>
      <c r="G33" s="94" t="s">
        <v>303</v>
      </c>
      <c r="H33" s="255">
        <f>H16-I22</f>
        <v>-25</v>
      </c>
      <c r="I33" s="255">
        <f>I16-H22</f>
        <v>35</v>
      </c>
      <c r="J33" s="94" t="s">
        <v>219</v>
      </c>
      <c r="K33" s="254" t="s">
        <v>326</v>
      </c>
      <c r="L33" s="196" t="s">
        <v>300</v>
      </c>
    </row>
    <row r="34" spans="1:12" ht="14.4" x14ac:dyDescent="0.3">
      <c r="A34" s="169" t="s">
        <v>220</v>
      </c>
      <c r="B34" s="94" t="s">
        <v>46</v>
      </c>
      <c r="C34" s="94" t="s">
        <v>221</v>
      </c>
      <c r="D34" s="94" t="s">
        <v>48</v>
      </c>
      <c r="E34" s="94">
        <f>Cool_Qmax/cp_water/range*3600/1000</f>
        <v>5042.0168067226887</v>
      </c>
      <c r="F34" s="94" t="s">
        <v>222</v>
      </c>
      <c r="G34" s="94" t="s">
        <v>304</v>
      </c>
      <c r="H34" s="255">
        <v>100</v>
      </c>
      <c r="I34" s="255">
        <v>20000</v>
      </c>
      <c r="J34" s="94" t="s">
        <v>223</v>
      </c>
      <c r="K34" s="254" t="s">
        <v>326</v>
      </c>
      <c r="L34" s="196" t="s">
        <v>280</v>
      </c>
    </row>
    <row r="35" spans="1:12" ht="14.4" x14ac:dyDescent="0.3">
      <c r="A35" s="102" t="s">
        <v>224</v>
      </c>
      <c r="B35" s="94" t="s">
        <v>46</v>
      </c>
      <c r="C35" s="94" t="s">
        <v>225</v>
      </c>
      <c r="D35" s="94" t="s">
        <v>48</v>
      </c>
      <c r="E35" s="94">
        <f>water_flow*1</f>
        <v>5042.0168067226887</v>
      </c>
      <c r="F35" s="94" t="s">
        <v>229</v>
      </c>
      <c r="G35" s="94" t="s">
        <v>305</v>
      </c>
      <c r="H35" s="255">
        <f>H34</f>
        <v>100</v>
      </c>
      <c r="I35" s="255">
        <f>I34</f>
        <v>20000</v>
      </c>
      <c r="J35" s="94" t="s">
        <v>226</v>
      </c>
      <c r="K35" s="254" t="s">
        <v>326</v>
      </c>
      <c r="L35" s="198" t="s">
        <v>281</v>
      </c>
    </row>
    <row r="36" spans="1:12" ht="14.4" x14ac:dyDescent="0.3">
      <c r="A36" s="102" t="s">
        <v>227</v>
      </c>
      <c r="B36" s="94" t="s">
        <v>46</v>
      </c>
      <c r="C36" s="94" t="s">
        <v>228</v>
      </c>
      <c r="D36" s="94" t="s">
        <v>48</v>
      </c>
      <c r="E36" s="94">
        <f>0.00085*1.8*water_vflow*(Cool_Tout-Cool_Tin)</f>
        <v>131.14285714285714</v>
      </c>
      <c r="F36" s="94" t="s">
        <v>229</v>
      </c>
      <c r="G36" s="94" t="s">
        <v>306</v>
      </c>
      <c r="H36" s="255">
        <v>1</v>
      </c>
      <c r="I36" s="255">
        <v>500</v>
      </c>
      <c r="J36" s="94" t="s">
        <v>230</v>
      </c>
      <c r="K36" s="254" t="s">
        <v>326</v>
      </c>
      <c r="L36" s="198" t="s">
        <v>282</v>
      </c>
    </row>
    <row r="37" spans="1:12" ht="14.4" x14ac:dyDescent="0.3">
      <c r="A37" s="102" t="s">
        <v>231</v>
      </c>
      <c r="B37" s="94" t="s">
        <v>46</v>
      </c>
      <c r="C37" s="94" t="s">
        <v>231</v>
      </c>
      <c r="D37" s="94" t="s">
        <v>48</v>
      </c>
      <c r="E37" s="94">
        <f>(i*(i+1)^n)/((i+1)^n-1)</f>
        <v>6.6461535920675496E-2</v>
      </c>
      <c r="F37" s="94" t="s">
        <v>35</v>
      </c>
      <c r="G37" s="94" t="s">
        <v>307</v>
      </c>
      <c r="H37" s="254">
        <v>0.01</v>
      </c>
      <c r="I37" s="254">
        <v>0.2</v>
      </c>
      <c r="J37" s="94" t="s">
        <v>232</v>
      </c>
      <c r="K37" s="254" t="s">
        <v>326</v>
      </c>
      <c r="L37" s="198" t="s">
        <v>283</v>
      </c>
    </row>
    <row r="38" spans="1:12" ht="14.4" x14ac:dyDescent="0.3">
      <c r="A38" s="102" t="s">
        <v>233</v>
      </c>
      <c r="B38" s="94" t="s">
        <v>46</v>
      </c>
      <c r="C38" s="94" t="s">
        <v>259</v>
      </c>
      <c r="D38" s="94" t="s">
        <v>48</v>
      </c>
      <c r="E38" s="181">
        <f>746.49/0.066*(water_flow^0.79)*(range^0.57)*((approach)^(-0.9924))*(0.022*Twetbulb+0.39)^2.447</f>
        <v>25480548.144250941</v>
      </c>
      <c r="F38" s="94" t="s">
        <v>234</v>
      </c>
      <c r="G38" s="94" t="s">
        <v>308</v>
      </c>
      <c r="H38" s="257">
        <v>1000000</v>
      </c>
      <c r="I38" s="257">
        <v>100000000</v>
      </c>
      <c r="J38" s="94" t="s">
        <v>235</v>
      </c>
      <c r="K38" s="254" t="s">
        <v>326</v>
      </c>
      <c r="L38" s="197" t="s">
        <v>259</v>
      </c>
    </row>
    <row r="39" spans="1:12" thickBot="1" x14ac:dyDescent="0.35">
      <c r="A39" s="103" t="s">
        <v>236</v>
      </c>
      <c r="B39" s="104" t="s">
        <v>46</v>
      </c>
      <c r="C39" s="104" t="s">
        <v>260</v>
      </c>
      <c r="D39" s="104" t="s">
        <v>48</v>
      </c>
      <c r="E39" s="182">
        <f>CTCost*(CEPCI_2020/CEPCI_2008)*Annuity</f>
        <v>1754693.4467686205</v>
      </c>
      <c r="F39" s="104" t="s">
        <v>237</v>
      </c>
      <c r="G39" s="104" t="s">
        <v>309</v>
      </c>
      <c r="H39" s="258">
        <v>100000</v>
      </c>
      <c r="I39" s="258">
        <v>10000000</v>
      </c>
      <c r="J39" s="104" t="s">
        <v>238</v>
      </c>
      <c r="K39" s="259" t="s">
        <v>326</v>
      </c>
      <c r="L39" s="199" t="s">
        <v>260</v>
      </c>
    </row>
  </sheetData>
  <conditionalFormatting sqref="L16:L18 L20:L37">
    <cfRule type="containsBlanks" dxfId="0" priority="1">
      <formula>LEN(TRIM(L16))=0</formula>
    </cfRule>
  </conditionalFormatting>
  <dataValidations count="2">
    <dataValidation type="list" errorStyle="information" allowBlank="1" showInputMessage="1" showErrorMessage="1" sqref="B16 B28 B17 B34 B18 B29 B19 B37 B20 B30 B21 B35 B22 B31 B23 B39 B24 B32 B25 B36 B26 B33 B27 B38" xr:uid="{688BEC05-8FB0-40DB-82D4-75AAB99FBB88}">
      <formula1>"CONTEXT,LITERATURE,MEASURED,DECISION"</formula1>
    </dataValidation>
    <dataValidation type="list" errorStyle="information" allowBlank="1" showInputMessage="1" showErrorMessage="1" sqref="F17:F39 F16" xr:uid="{79C86C54-E3A5-4F5E-AAAC-C670C8B91FAB}">
      <formula1>"-,kg,s,m,K,°C,W,bar,kg/h,t/h,kW,kW/m2K,W/m2K,kJ/kgK,kJ/kg,m3/h,%,eur,eur/y,kWel/kWth,year"</formula1>
    </dataValidation>
  </dataValidations>
  <pageMargins left="0.7" right="0.7" top="0.75" bottom="0.75" header="0" footer="0"/>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U40"/>
  <sheetViews>
    <sheetView showGridLines="0" topLeftCell="A27" zoomScale="55" zoomScaleNormal="55" workbookViewId="0">
      <selection activeCell="H45" sqref="H45"/>
    </sheetView>
  </sheetViews>
  <sheetFormatPr defaultColWidth="14.44140625" defaultRowHeight="15" customHeight="1" x14ac:dyDescent="0.3"/>
  <cols>
    <col min="1" max="1" width="59.109375" customWidth="1"/>
    <col min="2" max="2" width="43.77734375" customWidth="1"/>
    <col min="3" max="3" width="59.33203125" customWidth="1"/>
    <col min="4" max="4" width="45.33203125" customWidth="1"/>
    <col min="5" max="5" width="37.6640625" customWidth="1"/>
    <col min="6" max="6" width="42.109375" customWidth="1"/>
    <col min="7" max="7" width="34.33203125" customWidth="1"/>
    <col min="8" max="8" width="34.6640625" customWidth="1"/>
    <col min="9" max="9" width="29.109375" customWidth="1"/>
    <col min="10" max="10" width="35.33203125" customWidth="1"/>
    <col min="11" max="11" width="42.6640625" customWidth="1"/>
    <col min="12" max="12" width="43" customWidth="1"/>
    <col min="13" max="13" width="43.44140625" bestFit="1" customWidth="1"/>
    <col min="14" max="14" width="60.77734375" customWidth="1"/>
    <col min="15" max="15" width="22.33203125" bestFit="1" customWidth="1"/>
    <col min="16" max="16" width="19.77734375" customWidth="1"/>
    <col min="17" max="17" width="31.44140625" bestFit="1" customWidth="1"/>
    <col min="18" max="18" width="29" bestFit="1" customWidth="1"/>
    <col min="19" max="19" width="16.77734375" bestFit="1" customWidth="1"/>
    <col min="20" max="20" width="30.109375" customWidth="1"/>
    <col min="21" max="21" width="53.77734375" bestFit="1" customWidth="1"/>
    <col min="22" max="28" width="10.6640625" customWidth="1"/>
  </cols>
  <sheetData>
    <row r="1" spans="1:14" ht="14.25" customHeight="1" thickBot="1" x14ac:dyDescent="0.35">
      <c r="A1" s="80" t="s">
        <v>63</v>
      </c>
      <c r="B1" s="66"/>
      <c r="C1" s="66"/>
      <c r="D1" s="22"/>
      <c r="E1" s="23"/>
      <c r="F1" s="23"/>
      <c r="G1" s="23"/>
      <c r="H1" s="23"/>
      <c r="I1" s="6"/>
      <c r="J1" s="6"/>
      <c r="K1" s="7"/>
      <c r="L1" s="7"/>
      <c r="M1" s="7"/>
      <c r="N1" s="7"/>
    </row>
    <row r="2" spans="1:14" ht="33.6" customHeight="1" thickBot="1" x14ac:dyDescent="0.35">
      <c r="A2" s="204" t="s">
        <v>286</v>
      </c>
      <c r="B2" s="66"/>
      <c r="C2" s="66"/>
      <c r="D2" s="22"/>
      <c r="E2" s="23"/>
      <c r="F2" s="23"/>
      <c r="G2" s="23"/>
      <c r="H2" s="23"/>
      <c r="I2" s="6"/>
      <c r="J2" s="6"/>
      <c r="K2" s="7"/>
      <c r="L2" s="7"/>
      <c r="M2" s="7"/>
      <c r="N2" s="7"/>
    </row>
    <row r="3" spans="1:14" ht="14.25" customHeight="1" thickBot="1" x14ac:dyDescent="0.35">
      <c r="D3" s="22"/>
      <c r="E3" s="23"/>
      <c r="F3" s="23"/>
      <c r="G3" s="23"/>
      <c r="H3" s="23"/>
      <c r="I3" s="6"/>
      <c r="J3" s="6"/>
      <c r="K3" s="7"/>
      <c r="L3" s="7"/>
      <c r="M3" s="7"/>
      <c r="N3" s="7"/>
    </row>
    <row r="4" spans="1:14" thickBot="1" x14ac:dyDescent="0.35">
      <c r="A4" s="67"/>
      <c r="B4" s="24"/>
      <c r="C4" s="24"/>
      <c r="D4" s="6"/>
      <c r="E4" s="25"/>
      <c r="F4" s="25"/>
      <c r="G4" s="25"/>
      <c r="H4" s="26"/>
      <c r="I4" s="27"/>
      <c r="J4" s="27"/>
      <c r="K4" s="27"/>
      <c r="L4" s="27"/>
      <c r="M4" s="27"/>
      <c r="N4" s="27"/>
    </row>
    <row r="5" spans="1:14" thickBot="1" x14ac:dyDescent="0.35">
      <c r="A5" s="209" t="s">
        <v>65</v>
      </c>
      <c r="B5" s="210" t="s">
        <v>67</v>
      </c>
      <c r="C5" s="211" t="s">
        <v>66</v>
      </c>
      <c r="D5" s="47" t="s">
        <v>173</v>
      </c>
      <c r="E5" s="31"/>
      <c r="F5" s="31"/>
      <c r="G5" s="31"/>
      <c r="H5" s="29"/>
      <c r="I5" s="7"/>
      <c r="J5" s="7"/>
      <c r="K5" s="7"/>
      <c r="L5" s="7"/>
      <c r="M5" s="7"/>
      <c r="N5" s="7"/>
    </row>
    <row r="6" spans="1:14" thickBot="1" x14ac:dyDescent="0.35">
      <c r="A6" s="74" t="s">
        <v>242</v>
      </c>
      <c r="B6" s="207">
        <v>0</v>
      </c>
      <c r="C6" s="208">
        <v>100</v>
      </c>
      <c r="D6" s="32"/>
      <c r="E6" s="33"/>
      <c r="F6" s="34"/>
      <c r="G6" s="34"/>
      <c r="H6" s="35"/>
      <c r="I6" s="23"/>
      <c r="J6" s="23"/>
      <c r="K6" s="23"/>
      <c r="L6" s="23"/>
      <c r="M6" s="23"/>
      <c r="N6" s="23"/>
    </row>
    <row r="7" spans="1:14" thickBot="1" x14ac:dyDescent="0.35">
      <c r="A7" s="36"/>
      <c r="B7" s="37"/>
      <c r="C7" s="37"/>
      <c r="D7" s="38"/>
      <c r="E7" s="5"/>
      <c r="F7" s="25"/>
      <c r="G7" s="25"/>
      <c r="H7" s="26"/>
      <c r="I7" s="25"/>
      <c r="J7" s="25"/>
      <c r="K7" s="25"/>
      <c r="L7" s="25"/>
      <c r="M7" s="25"/>
      <c r="N7" s="25"/>
    </row>
    <row r="8" spans="1:14" ht="17.25" customHeight="1" thickBot="1" x14ac:dyDescent="0.35">
      <c r="A8" s="88" t="s">
        <v>64</v>
      </c>
      <c r="B8" s="66"/>
      <c r="C8" s="66"/>
      <c r="D8" s="26"/>
      <c r="E8" s="5"/>
      <c r="F8" s="25"/>
      <c r="G8" s="25"/>
      <c r="H8" s="26"/>
      <c r="I8" s="25"/>
      <c r="J8" s="25"/>
      <c r="K8" s="25"/>
      <c r="L8" s="25"/>
      <c r="M8" s="25"/>
      <c r="N8" s="25"/>
    </row>
    <row r="9" spans="1:14" ht="61.2" customHeight="1" thickBot="1" x14ac:dyDescent="0.35">
      <c r="A9" s="206" t="s">
        <v>287</v>
      </c>
      <c r="B9" s="66"/>
      <c r="C9" s="66"/>
      <c r="D9" s="5"/>
      <c r="E9" s="5"/>
      <c r="F9" s="25"/>
      <c r="G9" s="25"/>
      <c r="H9" s="26"/>
      <c r="I9" s="25"/>
      <c r="J9" s="25"/>
      <c r="K9" s="25"/>
      <c r="L9" s="25"/>
      <c r="M9" s="25"/>
      <c r="N9" s="25"/>
    </row>
    <row r="10" spans="1:14" thickBot="1" x14ac:dyDescent="0.35">
      <c r="A10" s="205"/>
      <c r="B10" s="25"/>
      <c r="C10" s="25"/>
      <c r="D10" s="5"/>
      <c r="E10" s="5"/>
      <c r="F10" s="25"/>
      <c r="G10" s="25"/>
      <c r="H10" s="26"/>
      <c r="I10" s="25"/>
      <c r="J10" s="25"/>
      <c r="K10" s="25"/>
      <c r="L10" s="25"/>
      <c r="M10" s="25"/>
      <c r="N10" s="25"/>
    </row>
    <row r="11" spans="1:14" thickBot="1" x14ac:dyDescent="0.35">
      <c r="A11" s="39" t="s">
        <v>76</v>
      </c>
      <c r="B11" s="25"/>
      <c r="C11" s="25"/>
      <c r="D11" s="5"/>
      <c r="E11" s="5"/>
      <c r="F11" s="25"/>
      <c r="G11" s="25"/>
      <c r="H11" s="26"/>
      <c r="I11" s="25"/>
      <c r="J11" s="25"/>
      <c r="K11" s="25"/>
      <c r="L11" s="25"/>
      <c r="M11" s="25"/>
      <c r="N11" s="25"/>
    </row>
    <row r="12" spans="1:14" thickBot="1" x14ac:dyDescent="0.35">
      <c r="A12" s="40" t="s">
        <v>75</v>
      </c>
      <c r="B12" s="41"/>
      <c r="D12" s="41"/>
      <c r="E12" s="41"/>
      <c r="F12" s="41"/>
      <c r="G12" s="41"/>
      <c r="H12" s="41"/>
      <c r="I12" s="42"/>
      <c r="J12" s="41"/>
      <c r="K12" s="41"/>
      <c r="L12" s="41"/>
      <c r="M12" s="28"/>
      <c r="N12" s="28"/>
    </row>
    <row r="13" spans="1:14" ht="19.5" customHeight="1" thickBot="1" x14ac:dyDescent="0.35">
      <c r="A13" s="69" t="s">
        <v>2</v>
      </c>
      <c r="B13" s="70"/>
      <c r="C13" s="70"/>
      <c r="D13" s="70"/>
      <c r="E13" s="70"/>
      <c r="F13" s="70"/>
      <c r="G13" s="70"/>
      <c r="H13" s="70"/>
      <c r="I13" s="70"/>
      <c r="J13" s="70"/>
      <c r="K13" s="70"/>
      <c r="L13" s="73"/>
      <c r="M13" s="73"/>
      <c r="N13" s="84"/>
    </row>
    <row r="14" spans="1:14" thickBot="1" x14ac:dyDescent="0.35">
      <c r="A14" s="97" t="s">
        <v>17</v>
      </c>
      <c r="B14" s="98" t="s">
        <v>18</v>
      </c>
      <c r="C14" s="98" t="s">
        <v>51</v>
      </c>
      <c r="D14" s="98" t="s">
        <v>170</v>
      </c>
      <c r="E14" s="98" t="s">
        <v>171</v>
      </c>
      <c r="F14" s="98" t="s">
        <v>168</v>
      </c>
      <c r="G14" s="99" t="s">
        <v>21</v>
      </c>
      <c r="H14" s="98" t="s">
        <v>169</v>
      </c>
      <c r="I14" s="98" t="s">
        <v>23</v>
      </c>
      <c r="J14" s="98" t="s">
        <v>24</v>
      </c>
      <c r="K14" s="98" t="s">
        <v>25</v>
      </c>
      <c r="L14" s="139" t="s">
        <v>26</v>
      </c>
      <c r="M14" s="139" t="s">
        <v>142</v>
      </c>
      <c r="N14" s="123" t="s">
        <v>15</v>
      </c>
    </row>
    <row r="15" spans="1:14" ht="14.4" x14ac:dyDescent="0.3">
      <c r="A15" s="147" t="s">
        <v>33</v>
      </c>
      <c r="B15" s="148" t="s">
        <v>33</v>
      </c>
      <c r="C15" s="148" t="s">
        <v>53</v>
      </c>
      <c r="D15" s="149">
        <f>VARIABLES!E31</f>
        <v>2100</v>
      </c>
      <c r="E15" s="148" t="str">
        <f>VARIABLES!$F$31</f>
        <v>kW</v>
      </c>
      <c r="F15" s="148" t="s">
        <v>35</v>
      </c>
      <c r="G15" s="154" t="s">
        <v>35</v>
      </c>
      <c r="H15" s="148" t="s">
        <v>35</v>
      </c>
      <c r="I15" s="154" t="s">
        <v>35</v>
      </c>
      <c r="J15" s="148" t="s">
        <v>35</v>
      </c>
      <c r="K15" s="148" t="s">
        <v>35</v>
      </c>
      <c r="L15" s="148" t="s">
        <v>35</v>
      </c>
      <c r="M15" s="122" t="s">
        <v>144</v>
      </c>
      <c r="N15" s="135" t="s">
        <v>244</v>
      </c>
    </row>
    <row r="16" spans="1:14" thickBot="1" x14ac:dyDescent="0.35">
      <c r="A16" s="150" t="s">
        <v>31</v>
      </c>
      <c r="B16" s="151" t="s">
        <v>27</v>
      </c>
      <c r="C16" s="151" t="s">
        <v>53</v>
      </c>
      <c r="D16" s="152">
        <f>VARIABLES!E36</f>
        <v>131.14285714285714</v>
      </c>
      <c r="E16" s="151" t="str">
        <f>VARIABLES!$F$36</f>
        <v>m3/h</v>
      </c>
      <c r="F16" s="138">
        <f>CONNECTORS!E6</f>
        <v>25</v>
      </c>
      <c r="G16" s="212" t="s">
        <v>288</v>
      </c>
      <c r="H16" s="151">
        <v>1</v>
      </c>
      <c r="I16" s="153" t="s">
        <v>29</v>
      </c>
      <c r="J16" s="153">
        <v>-1</v>
      </c>
      <c r="K16" s="155" t="s">
        <v>30</v>
      </c>
      <c r="L16" s="155" t="s">
        <v>243</v>
      </c>
      <c r="M16" s="200" t="s">
        <v>144</v>
      </c>
      <c r="N16" s="156" t="s">
        <v>245</v>
      </c>
    </row>
    <row r="18" spans="1:21" thickBot="1" x14ac:dyDescent="0.35">
      <c r="A18" s="90" t="s">
        <v>73</v>
      </c>
      <c r="C18" s="66"/>
      <c r="D18" s="22"/>
      <c r="E18" s="23"/>
      <c r="F18" s="23"/>
      <c r="G18" s="23"/>
      <c r="H18" s="23"/>
      <c r="I18" s="6"/>
      <c r="J18" s="6"/>
      <c r="K18" s="7"/>
      <c r="L18" s="7"/>
      <c r="M18" s="7"/>
      <c r="N18" s="7"/>
      <c r="O18" s="1"/>
      <c r="P18" s="1"/>
      <c r="Q18" s="1"/>
      <c r="R18" s="1"/>
      <c r="S18" s="1"/>
      <c r="T18" s="1"/>
      <c r="U18" s="1"/>
    </row>
    <row r="19" spans="1:21" ht="29.4" thickBot="1" x14ac:dyDescent="0.35">
      <c r="A19" s="89" t="s">
        <v>246</v>
      </c>
      <c r="C19" s="66"/>
      <c r="D19" s="22"/>
      <c r="E19" s="23"/>
      <c r="F19" s="23"/>
      <c r="G19" s="23"/>
      <c r="H19" s="23"/>
      <c r="I19" s="6"/>
      <c r="J19" s="6"/>
      <c r="K19" s="7"/>
      <c r="L19" s="7"/>
      <c r="M19" s="7"/>
      <c r="N19" s="7"/>
      <c r="O19" s="1"/>
      <c r="P19" s="1"/>
      <c r="Q19" s="1"/>
      <c r="R19" s="1"/>
      <c r="S19" s="1"/>
      <c r="T19" s="1"/>
      <c r="U19" s="1"/>
    </row>
    <row r="20" spans="1:21" thickBot="1" x14ac:dyDescent="0.35">
      <c r="A20" s="45"/>
      <c r="B20" s="25"/>
      <c r="C20" s="25"/>
      <c r="D20" s="25"/>
      <c r="E20" s="5"/>
      <c r="F20" s="43"/>
      <c r="G20" s="43"/>
      <c r="H20" s="43"/>
      <c r="I20" s="43"/>
      <c r="J20" s="5"/>
      <c r="K20" s="26"/>
      <c r="L20" s="25"/>
      <c r="M20" s="25"/>
      <c r="N20" s="25"/>
      <c r="O20" s="1"/>
      <c r="P20" s="1"/>
      <c r="Q20" s="1"/>
      <c r="R20" s="1"/>
      <c r="S20" s="1"/>
      <c r="T20" s="1"/>
      <c r="U20" s="1"/>
    </row>
    <row r="21" spans="1:21" thickBot="1" x14ac:dyDescent="0.35">
      <c r="A21" s="71" t="s">
        <v>54</v>
      </c>
      <c r="B21" s="72"/>
      <c r="C21" s="72"/>
      <c r="D21" s="72"/>
      <c r="E21" s="72"/>
      <c r="F21" s="72"/>
      <c r="G21" s="72"/>
      <c r="H21" s="72"/>
      <c r="I21" s="72"/>
      <c r="J21" s="72"/>
      <c r="K21" s="72"/>
      <c r="L21" s="72"/>
      <c r="M21" s="72"/>
      <c r="N21" s="72"/>
      <c r="O21" s="72"/>
      <c r="P21" s="72"/>
      <c r="Q21" s="72"/>
      <c r="R21" s="72"/>
      <c r="S21" s="72"/>
      <c r="T21" s="72"/>
      <c r="U21" s="84"/>
    </row>
    <row r="22" spans="1:21" thickBot="1" x14ac:dyDescent="0.35">
      <c r="A22" s="157" t="s">
        <v>69</v>
      </c>
      <c r="B22" s="158" t="s">
        <v>18</v>
      </c>
      <c r="C22" s="158" t="s">
        <v>129</v>
      </c>
      <c r="D22" s="159" t="s">
        <v>125</v>
      </c>
      <c r="E22" s="158" t="s">
        <v>130</v>
      </c>
      <c r="F22" s="158" t="s">
        <v>126</v>
      </c>
      <c r="G22" s="158" t="s">
        <v>131</v>
      </c>
      <c r="H22" s="158" t="s">
        <v>132</v>
      </c>
      <c r="I22" s="158" t="s">
        <v>133</v>
      </c>
      <c r="J22" s="158" t="s">
        <v>127</v>
      </c>
      <c r="K22" s="158" t="s">
        <v>134</v>
      </c>
      <c r="L22" s="158" t="s">
        <v>128</v>
      </c>
      <c r="M22" s="158" t="s">
        <v>135</v>
      </c>
      <c r="N22" s="158" t="s">
        <v>136</v>
      </c>
      <c r="O22" s="158" t="s">
        <v>138</v>
      </c>
      <c r="P22" s="158" t="s">
        <v>139</v>
      </c>
      <c r="Q22" s="158" t="s">
        <v>140</v>
      </c>
      <c r="R22" s="158" t="s">
        <v>141</v>
      </c>
      <c r="S22" s="160" t="s">
        <v>68</v>
      </c>
      <c r="T22" s="160" t="s">
        <v>142</v>
      </c>
      <c r="U22" s="123" t="s">
        <v>15</v>
      </c>
    </row>
    <row r="23" spans="1:21" ht="14.25" customHeight="1" thickBot="1" x14ac:dyDescent="0.35">
      <c r="A23" s="178" t="s">
        <v>247</v>
      </c>
      <c r="B23" s="163" t="s">
        <v>55</v>
      </c>
      <c r="C23" s="164">
        <f>VARIABLES!E16</f>
        <v>13</v>
      </c>
      <c r="D23" s="165" t="str">
        <f>VARIABLES!$F$16</f>
        <v>°C</v>
      </c>
      <c r="E23" s="164">
        <f>VARIABLES!E17</f>
        <v>30</v>
      </c>
      <c r="F23" s="165" t="str">
        <f>VARIABLES!$F$17</f>
        <v>°C</v>
      </c>
      <c r="G23" s="166">
        <v>0</v>
      </c>
      <c r="H23" s="165" t="s">
        <v>34</v>
      </c>
      <c r="I23" s="166">
        <f>VARIABLES!E19</f>
        <v>100000</v>
      </c>
      <c r="J23" s="165" t="str">
        <f>VARIABLES!$F$19</f>
        <v>kW</v>
      </c>
      <c r="K23" s="186">
        <f>VARIABLES!E18</f>
        <v>4.2</v>
      </c>
      <c r="L23" s="167" t="str">
        <f>VARIABLES!$F$18</f>
        <v>kJ/kgK</v>
      </c>
      <c r="M23" s="186">
        <f>VARIABLES!E35</f>
        <v>5042.0168067226887</v>
      </c>
      <c r="N23" s="203" t="str">
        <f>VARIABLES!$F$34</f>
        <v>t/h</v>
      </c>
      <c r="O23" s="163">
        <f>VARIABLES!E25</f>
        <v>5</v>
      </c>
      <c r="P23" s="165" t="str">
        <f>VARIABLES!$F$25</f>
        <v>°C</v>
      </c>
      <c r="Q23" s="166">
        <v>1</v>
      </c>
      <c r="R23" s="167" t="s">
        <v>49</v>
      </c>
      <c r="S23" s="186" t="s">
        <v>289</v>
      </c>
      <c r="T23" s="186" t="s">
        <v>143</v>
      </c>
      <c r="U23" s="201" t="s">
        <v>285</v>
      </c>
    </row>
    <row r="24" spans="1:21" ht="39.450000000000003" customHeight="1" thickBot="1" x14ac:dyDescent="0.35">
      <c r="A24" s="161"/>
      <c r="B24" s="161"/>
      <c r="C24" s="161"/>
      <c r="D24" s="161"/>
      <c r="E24" s="161"/>
      <c r="F24" s="161"/>
      <c r="G24" s="161"/>
      <c r="H24" s="161"/>
      <c r="I24" s="161"/>
      <c r="J24" s="161"/>
      <c r="K24" s="161"/>
      <c r="L24" s="162"/>
      <c r="M24" s="162"/>
      <c r="N24" s="162"/>
      <c r="O24" s="61"/>
      <c r="P24" s="61"/>
      <c r="Q24" s="61"/>
      <c r="R24" s="61"/>
      <c r="S24" s="61"/>
      <c r="T24" s="61"/>
      <c r="U24" s="61"/>
    </row>
    <row r="25" spans="1:21" thickBot="1" x14ac:dyDescent="0.35">
      <c r="A25" s="92" t="s">
        <v>61</v>
      </c>
      <c r="B25" s="66"/>
      <c r="C25" s="66"/>
      <c r="D25" s="22"/>
      <c r="E25" s="23"/>
      <c r="F25" s="23"/>
      <c r="G25" s="23"/>
      <c r="H25" s="23"/>
      <c r="I25" s="68"/>
      <c r="J25" s="6"/>
      <c r="K25" s="7"/>
      <c r="L25" s="66"/>
      <c r="M25" s="66"/>
      <c r="N25" s="66"/>
      <c r="O25" s="23"/>
      <c r="P25" s="23"/>
      <c r="Q25" s="23"/>
      <c r="R25" s="23"/>
      <c r="S25" s="23"/>
      <c r="T25" s="23"/>
      <c r="U25" s="23"/>
    </row>
    <row r="26" spans="1:21" ht="29.4" thickBot="1" x14ac:dyDescent="0.35">
      <c r="A26" s="202" t="s">
        <v>295</v>
      </c>
      <c r="B26" s="66"/>
      <c r="C26" s="66"/>
      <c r="D26" s="22"/>
      <c r="E26" s="23"/>
      <c r="F26" s="23"/>
      <c r="G26" s="23"/>
      <c r="H26" s="23"/>
      <c r="I26" s="6"/>
      <c r="J26" s="6"/>
      <c r="K26" s="7"/>
      <c r="L26" s="66"/>
      <c r="M26" s="66"/>
      <c r="N26" s="66"/>
      <c r="O26" s="23"/>
      <c r="P26" s="23"/>
      <c r="Q26" s="23"/>
      <c r="R26" s="23"/>
      <c r="S26" s="23"/>
      <c r="T26" s="23"/>
      <c r="U26" s="23"/>
    </row>
    <row r="27" spans="1:21" thickBot="1" x14ac:dyDescent="0.35">
      <c r="A27" s="48"/>
      <c r="B27" s="41"/>
      <c r="C27" s="41"/>
      <c r="D27" s="41"/>
      <c r="E27" s="49"/>
      <c r="F27" s="28"/>
      <c r="G27" s="28"/>
      <c r="H27" s="28"/>
      <c r="I27" s="28"/>
      <c r="J27" s="31"/>
      <c r="K27" s="31"/>
      <c r="L27" s="31"/>
      <c r="M27" s="46"/>
      <c r="O27" s="31"/>
      <c r="P27" s="31"/>
      <c r="Q27" s="31"/>
      <c r="R27" s="31"/>
      <c r="S27" s="31"/>
      <c r="T27" s="31"/>
      <c r="U27" s="31"/>
    </row>
    <row r="28" spans="1:21" thickBot="1" x14ac:dyDescent="0.35">
      <c r="A28" s="117" t="s">
        <v>56</v>
      </c>
      <c r="B28" s="118"/>
      <c r="C28" s="118"/>
      <c r="D28" s="118"/>
      <c r="E28" s="118"/>
      <c r="F28" s="118"/>
      <c r="G28" s="119"/>
      <c r="H28" s="50" t="s">
        <v>145</v>
      </c>
      <c r="I28" s="31"/>
      <c r="J28" s="31"/>
      <c r="K28" s="31"/>
      <c r="L28" s="31"/>
      <c r="M28" s="31"/>
      <c r="N28" s="28"/>
      <c r="O28" s="31"/>
      <c r="P28" s="31"/>
      <c r="Q28" s="31"/>
      <c r="R28" s="31"/>
      <c r="S28" s="31"/>
      <c r="T28" s="31"/>
      <c r="U28" s="31"/>
    </row>
    <row r="29" spans="1:21" ht="15.75" customHeight="1" thickBot="1" x14ac:dyDescent="0.35">
      <c r="A29" s="172" t="s">
        <v>69</v>
      </c>
      <c r="B29" s="173" t="s">
        <v>18</v>
      </c>
      <c r="C29" s="173" t="s">
        <v>123</v>
      </c>
      <c r="D29" s="173" t="s">
        <v>124</v>
      </c>
      <c r="E29" s="173" t="s">
        <v>70</v>
      </c>
      <c r="F29" s="173" t="s">
        <v>52</v>
      </c>
      <c r="G29" s="175" t="s">
        <v>172</v>
      </c>
      <c r="H29" s="52"/>
      <c r="I29" s="51"/>
      <c r="J29" s="53"/>
      <c r="K29" s="34"/>
      <c r="L29" s="34"/>
      <c r="M29" s="34"/>
      <c r="N29" s="31"/>
      <c r="O29" s="31"/>
      <c r="P29" s="31"/>
      <c r="Q29" s="31"/>
      <c r="R29" s="31"/>
      <c r="S29" s="31"/>
      <c r="T29" s="31"/>
      <c r="U29" s="31"/>
    </row>
    <row r="30" spans="1:21" s="220" customFormat="1" ht="15.75" customHeight="1" thickBot="1" x14ac:dyDescent="0.35">
      <c r="A30" s="239" t="s">
        <v>293</v>
      </c>
      <c r="B30" s="240" t="s">
        <v>290</v>
      </c>
      <c r="C30" s="240" t="s">
        <v>291</v>
      </c>
      <c r="D30" s="241" t="s">
        <v>292</v>
      </c>
      <c r="E30" s="242" t="s">
        <v>57</v>
      </c>
      <c r="F30" s="243">
        <f>VARIABLES!E27</f>
        <v>40</v>
      </c>
      <c r="G30" s="244" t="s">
        <v>325</v>
      </c>
      <c r="H30" s="218"/>
      <c r="I30" s="218"/>
      <c r="J30" s="218"/>
      <c r="K30" s="219"/>
      <c r="L30" s="219"/>
      <c r="M30" s="219"/>
      <c r="N30" s="219"/>
      <c r="O30" s="219"/>
      <c r="P30" s="219"/>
      <c r="Q30" s="219"/>
      <c r="R30" s="219"/>
      <c r="S30" s="219"/>
      <c r="T30" s="219"/>
      <c r="U30" s="219"/>
    </row>
    <row r="31" spans="1:21" ht="15.75" customHeight="1" thickBot="1" x14ac:dyDescent="0.35">
      <c r="A31" s="245"/>
      <c r="B31" s="246"/>
      <c r="C31" s="246"/>
      <c r="D31" s="247"/>
      <c r="E31" s="246" t="s">
        <v>208</v>
      </c>
      <c r="F31" s="246">
        <f>VARIABLES!E28</f>
        <v>0.06</v>
      </c>
      <c r="G31" s="248" t="s">
        <v>191</v>
      </c>
      <c r="H31" s="52"/>
      <c r="I31" s="54"/>
      <c r="J31" s="23"/>
      <c r="K31" s="25"/>
      <c r="L31" s="25"/>
      <c r="M31" s="25"/>
      <c r="N31" s="30"/>
      <c r="O31" s="31"/>
      <c r="P31" s="31"/>
      <c r="Q31" s="31"/>
      <c r="R31" s="31"/>
      <c r="S31" s="31"/>
      <c r="T31" s="31"/>
      <c r="U31" s="31"/>
    </row>
    <row r="32" spans="1:21" ht="15.75" customHeight="1" thickBot="1" x14ac:dyDescent="0.35">
      <c r="A32" s="245"/>
      <c r="B32" s="246"/>
      <c r="C32" s="246"/>
      <c r="D32" s="247"/>
      <c r="E32" s="246" t="s">
        <v>259</v>
      </c>
      <c r="F32" s="246">
        <f>VARIABLES!E38</f>
        <v>25480548.144250941</v>
      </c>
      <c r="G32" s="248" t="str">
        <f>VARIABLES!$F$38</f>
        <v>Eur</v>
      </c>
      <c r="H32" s="214"/>
      <c r="I32" s="214"/>
      <c r="J32" s="23"/>
      <c r="K32" s="25"/>
      <c r="L32" s="25"/>
      <c r="M32" s="25"/>
      <c r="N32" s="161"/>
      <c r="O32" s="161"/>
      <c r="P32" s="161"/>
      <c r="Q32" s="161"/>
      <c r="R32" s="161"/>
      <c r="S32" s="161"/>
      <c r="T32" s="161"/>
      <c r="U32" s="161"/>
    </row>
    <row r="33" spans="1:8" ht="15.75" customHeight="1" thickBot="1" x14ac:dyDescent="0.35">
      <c r="A33" s="249"/>
      <c r="B33" s="250"/>
      <c r="C33" s="250"/>
      <c r="D33" s="251"/>
      <c r="E33" s="250" t="s">
        <v>214</v>
      </c>
      <c r="F33" s="250">
        <f>VARIABLES!E30</f>
        <v>575.4</v>
      </c>
      <c r="G33" s="252" t="str">
        <f>VARIABLES!$F$30</f>
        <v>-</v>
      </c>
      <c r="H33" s="214"/>
    </row>
    <row r="34" spans="1:8" ht="15.75" customHeight="1" thickBot="1" x14ac:dyDescent="0.35">
      <c r="A34" s="93"/>
      <c r="B34" s="55"/>
      <c r="C34" s="213"/>
      <c r="D34" s="215"/>
      <c r="E34" s="146"/>
      <c r="F34" s="217"/>
      <c r="G34" s="55"/>
      <c r="H34" s="52"/>
    </row>
    <row r="35" spans="1:8" ht="15.75" customHeight="1" thickBot="1" x14ac:dyDescent="0.35">
      <c r="A35" s="92" t="s">
        <v>62</v>
      </c>
      <c r="B35" s="66"/>
      <c r="C35" s="66"/>
      <c r="D35" s="214"/>
      <c r="E35" s="221"/>
      <c r="F35" s="214"/>
      <c r="G35" s="51"/>
      <c r="H35" s="52"/>
    </row>
    <row r="36" spans="1:8" ht="32.4" customHeight="1" thickBot="1" x14ac:dyDescent="0.35">
      <c r="A36" s="91" t="s">
        <v>59</v>
      </c>
      <c r="B36" s="66"/>
      <c r="C36" s="66"/>
      <c r="D36" s="214"/>
      <c r="E36" s="221"/>
      <c r="F36" s="214"/>
      <c r="G36" s="51"/>
      <c r="H36" s="52"/>
    </row>
    <row r="37" spans="1:8" ht="15.75" customHeight="1" thickBot="1" x14ac:dyDescent="0.35">
      <c r="A37" s="56"/>
      <c r="B37" s="57"/>
      <c r="C37" s="44"/>
      <c r="D37" s="216" t="s">
        <v>294</v>
      </c>
      <c r="E37" s="146"/>
      <c r="F37" s="56"/>
      <c r="G37" s="57"/>
      <c r="H37" s="52"/>
    </row>
    <row r="38" spans="1:8" ht="15.75" customHeight="1" thickBot="1" x14ac:dyDescent="0.35">
      <c r="A38" s="58" t="s">
        <v>74</v>
      </c>
      <c r="B38" s="59"/>
      <c r="C38" s="60"/>
      <c r="D38" s="51"/>
      <c r="E38" s="214"/>
      <c r="F38" s="51"/>
      <c r="G38" s="51"/>
      <c r="H38" s="52"/>
    </row>
    <row r="39" spans="1:8" ht="15.75" customHeight="1" thickBot="1" x14ac:dyDescent="0.35">
      <c r="A39" s="232" t="s">
        <v>71</v>
      </c>
      <c r="B39" s="233" t="s">
        <v>72</v>
      </c>
      <c r="C39" s="51"/>
      <c r="D39" s="51"/>
      <c r="E39" s="214"/>
      <c r="F39" s="51"/>
      <c r="G39" s="51"/>
      <c r="H39" s="52"/>
    </row>
    <row r="40" spans="1:8" ht="14.25" customHeight="1" thickBot="1" x14ac:dyDescent="0.35">
      <c r="A40" s="234">
        <v>0</v>
      </c>
      <c r="B40" s="235">
        <v>0</v>
      </c>
      <c r="C40" s="51"/>
      <c r="D40" s="51"/>
      <c r="E40" s="214"/>
      <c r="F40" s="51"/>
      <c r="G40" s="51"/>
      <c r="H40" s="52"/>
    </row>
  </sheetData>
  <dataValidations count="3">
    <dataValidation type="list" errorStyle="information" allowBlank="1" showInputMessage="1" showErrorMessage="1" sqref="B15 B16" xr:uid="{E2E0C3F3-2908-4CDB-AC4F-FC28BA854959}">
      <formula1>"MASS,ELECTRICITY,EMISSIONS,ENERGY"</formula1>
    </dataValidation>
    <dataValidation type="list" errorStyle="information" allowBlank="1" showInputMessage="1" showErrorMessage="1" sqref="C15 D15 C16 D16" xr:uid="{68AA79A0-4BA7-47F3-BE66-3FDA788F7524}">
      <formula1>"IN,OUT"</formula1>
    </dataValidation>
    <dataValidation type="list" errorStyle="information" allowBlank="1" showInputMessage="1" showErrorMessage="1" sqref="B23" xr:uid="{F8FF0618-9885-4E58-83D8-7684E0543923}">
      <formula1>"Cold,Hot"</formula1>
    </dataValidation>
  </dataValidations>
  <pageMargins left="0.7" right="0.7" top="0.75" bottom="0.75" header="0" footer="0"/>
  <pageSetup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C2"/>
  <sheetViews>
    <sheetView showGridLines="0" zoomScale="85" zoomScaleNormal="85" workbookViewId="0">
      <selection activeCell="C2" sqref="C2"/>
    </sheetView>
  </sheetViews>
  <sheetFormatPr defaultColWidth="14.44140625" defaultRowHeight="15" customHeight="1" x14ac:dyDescent="0.3"/>
  <cols>
    <col min="1" max="1" width="32.109375" bestFit="1" customWidth="1"/>
    <col min="2" max="2" width="20" customWidth="1"/>
    <col min="3" max="3" width="16.44140625" customWidth="1"/>
    <col min="6" max="6" width="24" customWidth="1"/>
  </cols>
  <sheetData>
    <row r="1" spans="1:3" ht="15" customHeight="1" thickBot="1" x14ac:dyDescent="0.35">
      <c r="A1" s="143" t="s">
        <v>114</v>
      </c>
      <c r="B1" s="144" t="s">
        <v>52</v>
      </c>
      <c r="C1" s="145" t="s">
        <v>19</v>
      </c>
    </row>
    <row r="2" spans="1:3" thickBot="1" x14ac:dyDescent="0.35">
      <c r="A2" s="222" t="s">
        <v>35</v>
      </c>
      <c r="B2" s="223" t="s">
        <v>35</v>
      </c>
      <c r="C2" s="224" t="s">
        <v>35</v>
      </c>
    </row>
  </sheetData>
  <dataValidations count="2">
    <dataValidation type="list" errorStyle="information" allowBlank="1" showInputMessage="1" showErrorMessage="1" sqref="A1 B1 C1 A2 B2 C22 A3 B3 C3 A4 B4 C4 A5 B5 C5 A6 B6 C6 A7 B7 C7 A8 B8 C8 A9 B9 C9 A10 B10 C10 A11 B11 C11 A12 B12 C12 A13 B13 C13 A14 B14 C14 A15 B15 C15 A16 B16 C16 A17 B17 C17 A18 B18 C18 A19 B19 C19 A20 B20 C20 A21 B21 C21 A22 B22" xr:uid="{6DA4FF34-668D-441D-9035-ACA3D304A0D6}">
      <formula1>"-,kg,s,m,K,°C,W,bar,kg/h,t/h,kW,kW/m2K,W/m2K,kJ/kgK,kJ/kg,m3/h,%,eur,eur/y,kWel/kWth,year,aaaa"</formula1>
    </dataValidation>
    <dataValidation type="list" errorStyle="information" allowBlank="1" showInputMessage="1" showErrorMessage="1" sqref="C2" xr:uid="{B07B067F-D288-4E30-99AE-E2F103062508}">
      <formula1>"-,kg,s,m,K,°C,W,bar,kg/h,t/h,kW,kW/m2K,W/m2K,kJ/kgK,kJ/kg,m3/h,%,eur,eur/y,kWel/kWth,year"</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D2"/>
  <sheetViews>
    <sheetView showGridLines="0" workbookViewId="0">
      <selection activeCell="D12" sqref="D12"/>
    </sheetView>
  </sheetViews>
  <sheetFormatPr defaultColWidth="14.44140625" defaultRowHeight="15" customHeight="1" x14ac:dyDescent="0.3"/>
  <cols>
    <col min="2" max="2" width="29.77734375" bestFit="1" customWidth="1"/>
  </cols>
  <sheetData>
    <row r="1" spans="1:4" ht="14.4" x14ac:dyDescent="0.3">
      <c r="A1" s="80" t="s">
        <v>87</v>
      </c>
      <c r="B1" s="80" t="s">
        <v>111</v>
      </c>
      <c r="C1" s="80" t="s">
        <v>109</v>
      </c>
      <c r="D1" s="80" t="s">
        <v>110</v>
      </c>
    </row>
    <row r="2" spans="1:4" ht="15" customHeight="1" x14ac:dyDescent="0.3">
      <c r="A2" s="141" t="s">
        <v>112</v>
      </c>
      <c r="B2" s="142" t="s">
        <v>7</v>
      </c>
      <c r="C2" s="81">
        <v>46106</v>
      </c>
      <c r="D2" s="82" t="s">
        <v>113</v>
      </c>
    </row>
  </sheetData>
  <dataValidations count="1">
    <dataValidation type="list" errorStyle="information" allowBlank="1" showInputMessage="1" showErrorMessage="1" sqref="A1 B1 C1 D1 A2 B2 C2 D2" xr:uid="{3FD6F872-C657-4323-AB59-ADFA12EC0655}">
      <formula1>"-,kg,s,m,K,°C,W,bar,kg/h,t/h,kW,kW/m2K,W/m2K,kJ/kgK,kJ/kg,m3/h,%,eur,eur/y,kWel/kWth,year,aaaa"</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G3"/>
  <sheetViews>
    <sheetView showGridLines="0" zoomScale="85" zoomScaleNormal="85" workbookViewId="0">
      <selection activeCell="F11" sqref="F11"/>
    </sheetView>
  </sheetViews>
  <sheetFormatPr defaultColWidth="8.77734375" defaultRowHeight="14.4" x14ac:dyDescent="0.3"/>
  <cols>
    <col min="1" max="1" width="12.77734375" customWidth="1"/>
    <col min="2" max="2" width="18.44140625" customWidth="1"/>
    <col min="3" max="3" width="12.77734375" customWidth="1"/>
    <col min="4" max="4" width="11.44140625" customWidth="1"/>
    <col min="5" max="5" width="10" customWidth="1"/>
    <col min="6" max="6" width="32" customWidth="1"/>
    <col min="7" max="7" width="14.44140625" bestFit="1" customWidth="1"/>
  </cols>
  <sheetData>
    <row r="1" spans="1:7" ht="15" thickBot="1" x14ac:dyDescent="0.35">
      <c r="A1" s="75" t="s">
        <v>107</v>
      </c>
      <c r="B1" s="73"/>
      <c r="C1" s="73"/>
      <c r="D1" s="73"/>
      <c r="E1" s="73"/>
      <c r="F1" s="73"/>
      <c r="G1" s="84"/>
    </row>
    <row r="2" spans="1:7" ht="15" thickBot="1" x14ac:dyDescent="0.35">
      <c r="A2" s="83" t="s">
        <v>108</v>
      </c>
      <c r="B2" s="76" t="s">
        <v>69</v>
      </c>
      <c r="C2" s="76" t="s">
        <v>18</v>
      </c>
      <c r="D2" s="76" t="s">
        <v>106</v>
      </c>
      <c r="E2" s="76" t="s">
        <v>105</v>
      </c>
      <c r="F2" s="76" t="s">
        <v>104</v>
      </c>
      <c r="G2" s="77" t="s">
        <v>89</v>
      </c>
    </row>
    <row r="3" spans="1:7" x14ac:dyDescent="0.3">
      <c r="A3" s="86">
        <v>1</v>
      </c>
      <c r="B3" s="226" t="s">
        <v>320</v>
      </c>
      <c r="C3" s="85" t="s">
        <v>115</v>
      </c>
      <c r="D3" s="228" t="s">
        <v>323</v>
      </c>
      <c r="E3" s="85" t="s">
        <v>116</v>
      </c>
      <c r="F3" s="85" t="s">
        <v>7</v>
      </c>
      <c r="G3" s="87">
        <v>46106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4966C-BCCF-469E-8E36-E4E2EF0462D5}">
  <sheetPr codeName="Sheet10"/>
  <dimension ref="A1:A28"/>
  <sheetViews>
    <sheetView showGridLines="0" tabSelected="1" topLeftCell="A7" workbookViewId="0">
      <selection activeCell="A12" sqref="A12"/>
    </sheetView>
  </sheetViews>
  <sheetFormatPr defaultRowHeight="14.4" x14ac:dyDescent="0.3"/>
  <cols>
    <col min="1" max="1" width="130.77734375" style="229" customWidth="1"/>
    <col min="2" max="16384" width="8.88671875" style="229"/>
  </cols>
  <sheetData>
    <row r="1" spans="1:1" ht="15.6" thickTop="1" thickBot="1" x14ac:dyDescent="0.35">
      <c r="A1" s="225" t="s">
        <v>311</v>
      </c>
    </row>
    <row r="2" spans="1:1" ht="43.8" thickTop="1" x14ac:dyDescent="0.3">
      <c r="A2" s="230" t="s">
        <v>318</v>
      </c>
    </row>
    <row r="4" spans="1:1" ht="57.6" x14ac:dyDescent="0.3">
      <c r="A4" s="230" t="s">
        <v>319</v>
      </c>
    </row>
    <row r="6" spans="1:1" ht="43.2" x14ac:dyDescent="0.3">
      <c r="A6" s="230" t="str">
        <f>"In this model, return water enters the tower at "&amp;TEXT(Cool_Tout,"0.00")&amp;" °C and is cooled to a supply temperature of "&amp;TEXT(Cool_Tin,"0.00")&amp;" °C. The reference heat removal capacity is "&amp;TEXT(Cool_Qmax,"0.00")&amp;" kW. Both recirculation pumps and forced draft fans consume electricity at a ratio of "&amp;TEXT(Cool_Elec,"0.0000")&amp;" kWe/kWt. The circulating water flow rate is "&amp;TEXT(water_flow,"0.00")&amp;" t/h and the makeup water flow required to compensate evaporation losses is "&amp;TEXT(watermu_CT,"0.00")&amp;" m³/h."</f>
        <v>In this model, return water enters the tower at 30.00 °C and is cooled to a supply temperature of 13.00 °C. The reference heat removal capacity is 100000.00 kW. Both recirculation pumps and forced draft fans consume electricity at a ratio of 0.0210 kWe/kWt. The circulating water flow rate is 5042.02 t/h and the makeup water flow required to compensate evaporation losses is 131.14 m³/h.</v>
      </c>
    </row>
    <row r="7" spans="1:1" ht="15" thickBot="1" x14ac:dyDescent="0.35"/>
    <row r="8" spans="1:1" ht="15.6" thickTop="1" thickBot="1" x14ac:dyDescent="0.35">
      <c r="A8" s="225" t="s">
        <v>312</v>
      </c>
    </row>
    <row r="9" spans="1:1" ht="29.4" thickTop="1" x14ac:dyDescent="0.3">
      <c r="A9" s="230" t="str">
        <f>"Wet-bulb temperature is computed from dry-bulb temperature and relative humidity (Stull, 2011). Current conditions: Tdrybulb = "&amp;TEXT(Tdrybulb,"0.00")&amp;" °C, RH = "&amp;TEXT(RelatHum,"0.00")&amp;" %. Resulting wet-bulb: "&amp;TEXT(Twetbulb,"0.00")&amp;" °C. Valid for RH "&amp;TEXT(RelatHum_min,"0")&amp;"-"&amp;TEXT(RelatHum_max,"0")&amp;" %, T "&amp;TEXT(Tdrybulb_min,"0")&amp;" to "&amp;TEXT(Tdrybulb_max,"0")&amp;" °C at standard pressure."</f>
        <v>Wet-bulb temperature is computed from dry-bulb temperature and relative humidity (Stull, 2011). Current conditions: Tdrybulb = 20.00 °C, RH = 40.00 %. Resulting wet-bulb: 12.32 °C. Valid for RH 10-100 %, T -10 to 45 °C at standard pressure.</v>
      </c>
    </row>
    <row r="10" spans="1:1" ht="15" thickBot="1" x14ac:dyDescent="0.35"/>
    <row r="11" spans="1:1" ht="15.6" thickTop="1" thickBot="1" x14ac:dyDescent="0.35">
      <c r="A11" s="225" t="s">
        <v>313</v>
      </c>
    </row>
    <row r="12" spans="1:1" ht="29.4" thickTop="1" x14ac:dyDescent="0.3">
      <c r="A12" s="230" t="str">
        <f>"The approach temperature (Cool_Tin - Twetbulb) must always be positive. Current approach = "&amp;TEXT(approach,"0.00")&amp;" K. Current range = "&amp;TEXT(range,"0.00")&amp;" K. Typical industrial range: "&amp;TEXT(range_min,"0")&amp;"-"&amp;TEXT(range_max,"0")&amp;" K; approach: "&amp;TEXT(approach_min,"0")&amp;"-"&amp;TEXT(approach_max,"0")&amp;" K."</f>
        <v>The approach temperature (Cool_Tin - Twetbulb) must always be positive. Current approach = 0.68 K. Current range = 17.00 K. Typical industrial range: 5-35 K; approach: -25-35 K.</v>
      </c>
    </row>
    <row r="13" spans="1:1" ht="15" thickBot="1" x14ac:dyDescent="0.35"/>
    <row r="14" spans="1:1" ht="15.6" thickTop="1" thickBot="1" x14ac:dyDescent="0.35">
      <c r="A14" s="225" t="s">
        <v>314</v>
      </c>
    </row>
    <row r="15" spans="1:1" ht="15" thickTop="1" x14ac:dyDescent="0.3">
      <c r="A15" s="229" t="str">
        <f>"Cooling tower inlet temperature: "&amp;TEXT(Cool_Tin,"0.00")&amp;" °C"</f>
        <v>Cooling tower inlet temperature: 13.00 °C</v>
      </c>
    </row>
    <row r="16" spans="1:1" x14ac:dyDescent="0.3">
      <c r="A16" s="229" t="str">
        <f>"Cooling tower outlet temperature: "&amp;TEXT(Cool_Tout,"0.00")&amp;" °C"</f>
        <v>Cooling tower outlet temperature: 30.00 °C</v>
      </c>
    </row>
    <row r="17" spans="1:1" x14ac:dyDescent="0.3">
      <c r="A17" s="229" t="str">
        <f>" Cooling tower reference heat load: "&amp;TEXT(Cool_Qmax,"0.00")&amp;" kW"</f>
        <v> Cooling tower reference heat load: 100000.00 kW</v>
      </c>
    </row>
    <row r="18" spans="1:1" x14ac:dyDescent="0.3">
      <c r="A18" s="229" t="str">
        <f>"Dry bulb temperature: "&amp;TEXT(Tdrybulb,"0.00")&amp;" °C"</f>
        <v>Dry bulb temperature: 20.00 °C</v>
      </c>
    </row>
    <row r="19" spans="1:1" x14ac:dyDescent="0.3">
      <c r="A19" s="229" t="str">
        <f>"Wet bulb temperature: "&amp;TEXT(Twetbulb,"0.00")&amp;" °C"</f>
        <v>Wet bulb temperature: 12.32 °C</v>
      </c>
    </row>
    <row r="20" spans="1:1" x14ac:dyDescent="0.3">
      <c r="A20" s="229" t="str">
        <f>"Cooling electricity per thermal power: "&amp;TEXT(Cool_Elec,"0.00")&amp;" kWel/kWth"</f>
        <v>Cooling electricity per thermal power: 0.02 kWel/kWth</v>
      </c>
    </row>
    <row r="21" spans="1:1" x14ac:dyDescent="0.3">
      <c r="A21" s="229" t="str">
        <f>"Approach temperature: "&amp;TEXT(approach,"0.00")&amp;" K"</f>
        <v>Approach temperature: 0.68 K</v>
      </c>
    </row>
    <row r="22" spans="1:1" x14ac:dyDescent="0.3">
      <c r="A22" s="229" t="str">
        <f>"Water flow rate: "&amp;TEXT(water_flow,"0.00")&amp;" t/h"</f>
        <v>Water flow rate: 5042.02 t/h</v>
      </c>
    </row>
    <row r="23" spans="1:1" x14ac:dyDescent="0.3">
      <c r="A23" s="229" t="str">
        <f>"Makeup water in the CT system: "&amp;TEXT(watermu_CT,"0.00")&amp;" m3/h"</f>
        <v>Makeup water in the CT system: 131.14 m3/h</v>
      </c>
    </row>
    <row r="24" spans="1:1" x14ac:dyDescent="0.3">
      <c r="A24" s="229" t="str">
        <f>"Total investment cost: "&amp;TEXT(CTCost,"0.00")&amp;" Eur"</f>
        <v>Total investment cost: 25480548.14 Eur</v>
      </c>
    </row>
    <row r="25" spans="1:1" x14ac:dyDescent="0.3">
      <c r="A25" s="229" t="str">
        <f>"Annualized investment cost: "&amp;TEXT(Cinv2_CT,"0.00")&amp;" Eur/y"</f>
        <v>Annualized investment cost: 1754693.45 Eur/y</v>
      </c>
    </row>
    <row r="26" spans="1:1" ht="15" thickBot="1" x14ac:dyDescent="0.35"/>
    <row r="27" spans="1:1" ht="15.6" thickTop="1" thickBot="1" x14ac:dyDescent="0.35">
      <c r="A27" s="225" t="s">
        <v>315</v>
      </c>
    </row>
    <row r="28" spans="1:1" ht="87" thickTop="1" x14ac:dyDescent="0.3">
      <c r="A28" s="231" t="s">
        <v>317</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72</vt:i4>
      </vt:variant>
    </vt:vector>
  </HeadingPairs>
  <TitlesOfParts>
    <vt:vector size="81" baseType="lpstr">
      <vt:lpstr>README</vt:lpstr>
      <vt:lpstr>METADATA</vt:lpstr>
      <vt:lpstr>CONNECTORS</vt:lpstr>
      <vt:lpstr>VARIABLES</vt:lpstr>
      <vt:lpstr>CoolTower</vt:lpstr>
      <vt:lpstr>CALCULATIONS</vt:lpstr>
      <vt:lpstr>CHANGELOG</vt:lpstr>
      <vt:lpstr>SUPPL MATERIAL</vt:lpstr>
      <vt:lpstr>DOCUMENTATION</vt:lpstr>
      <vt:lpstr>Annuity</vt:lpstr>
      <vt:lpstr>Annuity_max</vt:lpstr>
      <vt:lpstr>Annuity_min</vt:lpstr>
      <vt:lpstr>approach</vt:lpstr>
      <vt:lpstr>approach_max</vt:lpstr>
      <vt:lpstr>approach_min</vt:lpstr>
      <vt:lpstr>CEPCI_2008</vt:lpstr>
      <vt:lpstr>CEPCI_2008_max</vt:lpstr>
      <vt:lpstr>CEPCI_2008_min</vt:lpstr>
      <vt:lpstr>CEPCI_2020</vt:lpstr>
      <vt:lpstr>CEPCI_2020_max</vt:lpstr>
      <vt:lpstr>CEPCI_2020_min</vt:lpstr>
      <vt:lpstr>Cinv2_CT</vt:lpstr>
      <vt:lpstr>Cinv2_CT_max</vt:lpstr>
      <vt:lpstr>Cinv2_CT_min</vt:lpstr>
      <vt:lpstr>Cool_Elec</vt:lpstr>
      <vt:lpstr>Cool_Elec_max</vt:lpstr>
      <vt:lpstr>Cool_Elec_min</vt:lpstr>
      <vt:lpstr>Cool_Qmax</vt:lpstr>
      <vt:lpstr>Cool_Qmax_max</vt:lpstr>
      <vt:lpstr>Cool_Qmax_min</vt:lpstr>
      <vt:lpstr>Cool_Tin</vt:lpstr>
      <vt:lpstr>Cool_Tin_max</vt:lpstr>
      <vt:lpstr>Cool_Tin_min</vt:lpstr>
      <vt:lpstr>Cool_Tout</vt:lpstr>
      <vt:lpstr>Cool_Tout_max</vt:lpstr>
      <vt:lpstr>Cool_Tout_min</vt:lpstr>
      <vt:lpstr>cp_water</vt:lpstr>
      <vt:lpstr>cp_water_max</vt:lpstr>
      <vt:lpstr>cp_water_min</vt:lpstr>
      <vt:lpstr>CTCost</vt:lpstr>
      <vt:lpstr>CTCost_max</vt:lpstr>
      <vt:lpstr>CTCost_min</vt:lpstr>
      <vt:lpstr>dtmin_2ph</vt:lpstr>
      <vt:lpstr>dtmin_2ph_max</vt:lpstr>
      <vt:lpstr>dtmin_2ph_min</vt:lpstr>
      <vt:lpstr>dtmin_gas</vt:lpstr>
      <vt:lpstr>dtmin_gas_max</vt:lpstr>
      <vt:lpstr>dtmin_gas_min</vt:lpstr>
      <vt:lpstr>dtmin_liq</vt:lpstr>
      <vt:lpstr>dtmin_liq_max</vt:lpstr>
      <vt:lpstr>dtmin_liq_min</vt:lpstr>
      <vt:lpstr>E_ref_CT</vt:lpstr>
      <vt:lpstr>E_ref_CT_max</vt:lpstr>
      <vt:lpstr>E_ref_CT_min</vt:lpstr>
      <vt:lpstr>i</vt:lpstr>
      <vt:lpstr>i_max</vt:lpstr>
      <vt:lpstr>i_min</vt:lpstr>
      <vt:lpstr>n</vt:lpstr>
      <vt:lpstr>n_max</vt:lpstr>
      <vt:lpstr>n_min</vt:lpstr>
      <vt:lpstr>range</vt:lpstr>
      <vt:lpstr>range_max</vt:lpstr>
      <vt:lpstr>range_min</vt:lpstr>
      <vt:lpstr>RelatHum</vt:lpstr>
      <vt:lpstr>RelatHum_max</vt:lpstr>
      <vt:lpstr>RelatHum_min</vt:lpstr>
      <vt:lpstr>Tdrybulb</vt:lpstr>
      <vt:lpstr>Tdrybulb_max</vt:lpstr>
      <vt:lpstr>Tdrybulb_min</vt:lpstr>
      <vt:lpstr>Twetbulb</vt:lpstr>
      <vt:lpstr>Twetbulb_max</vt:lpstr>
      <vt:lpstr>Twetbulb_min</vt:lpstr>
      <vt:lpstr>water_flow</vt:lpstr>
      <vt:lpstr>water_flow_max</vt:lpstr>
      <vt:lpstr>water_flow_min</vt:lpstr>
      <vt:lpstr>water_vflow</vt:lpstr>
      <vt:lpstr>water_vflow_max</vt:lpstr>
      <vt:lpstr>water_vflow_min</vt:lpstr>
      <vt:lpstr>watermu_CT</vt:lpstr>
      <vt:lpstr>watermu_CT_max</vt:lpstr>
      <vt:lpstr>watermu_CT_min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A Florez Orrego</dc:creator>
  <cp:lastModifiedBy>baptiste mabboux</cp:lastModifiedBy>
  <dcterms:created xsi:type="dcterms:W3CDTF">2023-07-04T12:09:19Z</dcterms:created>
  <dcterms:modified xsi:type="dcterms:W3CDTF">2026-05-06T12:11:14Z</dcterms:modified>
</cp:coreProperties>
</file>