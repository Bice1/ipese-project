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Gas turbine/"/>
    </mc:Choice>
  </mc:AlternateContent>
  <xr:revisionPtr revIDLastSave="1398" documentId="8_{10195C13-28F6-4220-97C7-008940D6B272}" xr6:coauthVersionLast="47" xr6:coauthVersionMax="47" xr10:uidLastSave="{CCDD002C-678B-43FD-9064-EEEB77A83E7A}"/>
  <bookViews>
    <workbookView xWindow="-108" yWindow="-108" windowWidth="23256" windowHeight="13176" firstSheet="3" activeTab="8" xr2:uid="{00000000-000D-0000-FFFF-FFFF00000000}"/>
  </bookViews>
  <sheets>
    <sheet name="README" sheetId="1" r:id="rId1"/>
    <sheet name="METADATA" sheetId="2" r:id="rId2"/>
    <sheet name="CONNECTORS" sheetId="3" r:id="rId3"/>
    <sheet name="VARIABLES" sheetId="4" r:id="rId4"/>
    <sheet name="GasTurbine" sheetId="5" r:id="rId5"/>
    <sheet name="CALCULATIONS" sheetId="10" r:id="rId6"/>
    <sheet name="CHANGELOG" sheetId="9" r:id="rId7"/>
    <sheet name="SUPPL MATERIAL" sheetId="11" r:id="rId8"/>
    <sheet name="DOCUMENTATION" sheetId="14" r:id="rId9"/>
  </sheets>
  <definedNames>
    <definedName name="an_factor">VARIABLES!$E$52</definedName>
    <definedName name="an_factor_max">VARIABLES!$I$52</definedName>
    <definedName name="an_factor_min">VARIABLES!$H$52</definedName>
    <definedName name="CEPCI_2008">VARIABLES!$E$33</definedName>
    <definedName name="CEPCI_2008_max">VARIABLES!$I$33</definedName>
    <definedName name="CEPCI_2008_min">VARIABLES!$H$33</definedName>
    <definedName name="CEPCI_2020">VARIABLES!$E$32</definedName>
    <definedName name="CEPCI_2020_max">VARIABLES!$I$32</definedName>
    <definedName name="CEPCI_2020_min">VARIABLES!$H$32</definedName>
    <definedName name="Cinv2_gt">VARIABLES!$E$53</definedName>
    <definedName name="Cinv2_gt_max">VARIABLES!$I$53</definedName>
    <definedName name="Cinv2_gt_min">VARIABLES!$H$53</definedName>
    <definedName name="co2fromNG">VARIABLES!$E$50</definedName>
    <definedName name="co2fromNG_max">VARIABLES!$I$50</definedName>
    <definedName name="co2fromNG_min">VARIABLES!$H$50</definedName>
    <definedName name="cp_air">VARIABLES!$E$27</definedName>
    <definedName name="cp_air_max">VARIABLES!$I$27</definedName>
    <definedName name="cp_air_min">VARIABLES!$H$27</definedName>
    <definedName name="cp_gas">VARIABLES!$E$28</definedName>
    <definedName name="cp_gas_max">VARIABLES!$I$28</definedName>
    <definedName name="cp_gas_min">VARIABLES!$H$28</definedName>
    <definedName name="dt_min">VARIABLES!$E$31</definedName>
    <definedName name="dt_min_max">VARIABLES!$I$31</definedName>
    <definedName name="dt_min_min">VARIABLES!$H$31</definedName>
    <definedName name="elec_net_out">VARIABLES!$E$51</definedName>
    <definedName name="elec_net_out_max">VARIABLES!$I$51</definedName>
    <definedName name="elec_net_out_min">VARIABLES!$H$51</definedName>
    <definedName name="eta_comp">VARIABLES!$E$16</definedName>
    <definedName name="eta_comp_max">VARIABLES!$I$16</definedName>
    <definedName name="eta_comp_min">VARIABLES!$H$16</definedName>
    <definedName name="eta_turb">VARIABLES!$E$17</definedName>
    <definedName name="eta_turb_max">VARIABLES!$I$17</definedName>
    <definedName name="eta_turb_min">VARIABLES!$H$17</definedName>
    <definedName name="f">VARIABLES!$E$24</definedName>
    <definedName name="f_max">VARIABLES!$I$24</definedName>
    <definedName name="f_min">VARIABLES!$H$24</definedName>
    <definedName name="gamma_a">VARIABLES!$E$34</definedName>
    <definedName name="gamma_a_max">VARIABLES!$I$34</definedName>
    <definedName name="gamma_a_min">VARIABLES!$H$34</definedName>
    <definedName name="gamma_air">VARIABLES!$E$18</definedName>
    <definedName name="gamma_air_max">VARIABLES!$I$18</definedName>
    <definedName name="gamma_air_min">VARIABLES!$H$18</definedName>
    <definedName name="gamma_g">VARIABLES!$E$35</definedName>
    <definedName name="gamma_g_max">VARIABLES!$I$35</definedName>
    <definedName name="gamma_g_min">VARIABLES!$H$35</definedName>
    <definedName name="gamma_gas">VARIABLES!$E$19</definedName>
    <definedName name="gamma_gas_max">VARIABLES!$I$19</definedName>
    <definedName name="gamma_gas_min">VARIABLES!$H$19</definedName>
    <definedName name="i">VARIABLES!$E$30</definedName>
    <definedName name="i_max">VARIABLES!$I$30</definedName>
    <definedName name="i_min">VARIABLES!$H$30</definedName>
    <definedName name="LHV">VARIABLES!$E$23</definedName>
    <definedName name="LHV_max">VARIABLES!$I$23</definedName>
    <definedName name="LHV_min">VARIABLES!$H$23</definedName>
    <definedName name="m_air">VARIABLES!$E$25</definedName>
    <definedName name="m_air_max">VARIABLES!$I$25</definedName>
    <definedName name="m_air_min">VARIABLES!$H$25</definedName>
    <definedName name="n">VARIABLES!$E$29</definedName>
    <definedName name="n_max">VARIABLES!$I$29</definedName>
    <definedName name="n_min">VARIABLES!$H$29</definedName>
    <definedName name="ng">VARIABLES!$E$49</definedName>
    <definedName name="ng_max">VARIABLES!$I$49</definedName>
    <definedName name="ng_min">VARIABLES!$H$49</definedName>
    <definedName name="PR">VARIABLES!$E$22</definedName>
    <definedName name="PR_max">VARIABLES!$I$22</definedName>
    <definedName name="PR_min">VARIABLES!$H$22</definedName>
    <definedName name="Q_2a">VARIABLES!$E$39</definedName>
    <definedName name="Q_2a_max">VARIABLES!$I$39</definedName>
    <definedName name="Q_2a_min">VARIABLES!$H$39</definedName>
    <definedName name="Q_4">VARIABLES!$E$48</definedName>
    <definedName name="Q_4_max">VARIABLES!$I$48</definedName>
    <definedName name="Q_4_min">VARIABLES!$H$48</definedName>
    <definedName name="Q2a">#REF!</definedName>
    <definedName name="Rpa">VARIABLES!$E$36</definedName>
    <definedName name="Rpa_max">VARIABLES!$I$36</definedName>
    <definedName name="Rpa_min">VARIABLES!$H$36</definedName>
    <definedName name="Rpg">VARIABLES!$E$37</definedName>
    <definedName name="Rpg_max">VARIABLES!$I$37</definedName>
    <definedName name="Rpg_min">VARIABLES!$H$37</definedName>
    <definedName name="T_1">VARIABLES!$E$20</definedName>
    <definedName name="T_1_max">VARIABLES!$I$20</definedName>
    <definedName name="T_1_min">VARIABLES!$H$20</definedName>
    <definedName name="T_2">VARIABLES!$E$38</definedName>
    <definedName name="T_2_C">VARIABLES!$E$44</definedName>
    <definedName name="T_2_C_max">VARIABLES!$I$44</definedName>
    <definedName name="T_2_C_min">VARIABLES!$H$44</definedName>
    <definedName name="T_2_max">VARIABLES!$I$38</definedName>
    <definedName name="T_2_min">VARIABLES!$H$38</definedName>
    <definedName name="T_2a">VARIABLES!$E$21</definedName>
    <definedName name="T_2a_C">VARIABLES!$E$45</definedName>
    <definedName name="T_2a_C_max">VARIABLES!$I$45</definedName>
    <definedName name="T_2a_C_min">VARIABLES!$H$45</definedName>
    <definedName name="T_2a_max">VARIABLES!$I$21</definedName>
    <definedName name="T_2a_min">VARIABLES!$H$21</definedName>
    <definedName name="T_3">VARIABLES!$E$40</definedName>
    <definedName name="T_3_max">VARIABLES!$I$40</definedName>
    <definedName name="T_3_min">VARIABLES!$H$40</definedName>
    <definedName name="T_4">VARIABLES!$E$41</definedName>
    <definedName name="T_4_C">VARIABLES!$E$42</definedName>
    <definedName name="T_4_C_max">VARIABLES!$I$42</definedName>
    <definedName name="T_4_C_min">VARIABLES!$H$42</definedName>
    <definedName name="T_4_max">VARIABLES!$I$41</definedName>
    <definedName name="T_4_min">VARIABLES!$H$41</definedName>
    <definedName name="T_stack">VARIABLES!$E$26</definedName>
    <definedName name="T_stack_max">VARIABLES!$I$26</definedName>
    <definedName name="T_stack_min">VARIABLES!$H$26</definedName>
    <definedName name="T2_C">#REF!</definedName>
    <definedName name="T2a">#REF!</definedName>
    <definedName name="T2a_C">#REF!</definedName>
    <definedName name="T4_C">#REF!</definedName>
    <definedName name="Tstack_C">VARIABLES!$E$43</definedName>
    <definedName name="Tstack_C_max">VARIABLES!$I$43</definedName>
    <definedName name="Tstack_C_min">VARIABLES!$H$43</definedName>
    <definedName name="work_1_2">VARIABLES!$E$46</definedName>
    <definedName name="work_1_2_max">VARIABLES!$I$46</definedName>
    <definedName name="work_1_2_min">VARIABLES!$H$46</definedName>
    <definedName name="work_3_4">VARIABLES!$E$47</definedName>
    <definedName name="work_3_4_max">VARIABLES!$I$47</definedName>
    <definedName name="work_3_4_min">VARIABLES!$H$47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5" roundtripDataChecksum="bNxJkgama/kYeBi4o0J15qkHQT9g9UA3B49WFr4NTgI="/>
    </ext>
  </extLst>
</workbook>
</file>

<file path=xl/calcChain.xml><?xml version="1.0" encoding="utf-8"?>
<calcChain xmlns="http://schemas.openxmlformats.org/spreadsheetml/2006/main">
  <c r="A7" i="14" l="1"/>
  <c r="A25" i="14"/>
  <c r="A24" i="14"/>
  <c r="A23" i="14"/>
  <c r="A22" i="14"/>
  <c r="A21" i="14"/>
  <c r="A20" i="14"/>
  <c r="A19" i="14"/>
  <c r="A18" i="14"/>
  <c r="A17" i="14"/>
  <c r="A16" i="14"/>
  <c r="A15" i="14"/>
  <c r="A14" i="14"/>
  <c r="A13" i="14"/>
  <c r="A10" i="14"/>
  <c r="C25" i="5"/>
  <c r="D15" i="5"/>
  <c r="F35" i="5"/>
  <c r="F33" i="5"/>
  <c r="F32" i="5"/>
  <c r="K25" i="5" l="1"/>
  <c r="K24" i="5"/>
  <c r="G24" i="5"/>
  <c r="O25" i="5" l="1"/>
  <c r="O24" i="5"/>
  <c r="E24" i="5"/>
  <c r="E52" i="4" l="1"/>
  <c r="E49" i="4"/>
  <c r="E45" i="4"/>
  <c r="E43" i="4"/>
  <c r="E40" i="4"/>
  <c r="E35" i="4"/>
  <c r="E37" i="4" s="1"/>
  <c r="E34" i="4"/>
  <c r="E36" i="4" s="1"/>
  <c r="E46" i="4" s="1"/>
  <c r="E50" i="4" l="1"/>
  <c r="E25" i="5"/>
  <c r="E41" i="4"/>
  <c r="E47" i="4"/>
  <c r="E51" i="4" s="1"/>
  <c r="E38" i="4"/>
  <c r="D17" i="5" l="1"/>
  <c r="E53" i="4"/>
  <c r="D16" i="5"/>
  <c r="E44" i="4"/>
  <c r="E39" i="4"/>
  <c r="E48" i="4"/>
  <c r="E42" i="4"/>
  <c r="I25" i="5" l="1"/>
  <c r="C24" i="5"/>
  <c r="M24" i="5" s="1"/>
  <c r="M25"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tc={72B43040-DB0E-488A-8C10-8DFBF5946FB5}</author>
  </authors>
  <commentList>
    <comment ref="B5" authorId="0" shapeId="0" xr:uid="{72B43040-DB0E-488A-8C10-8DFBF5946FB5}">
      <text>
        <t>[Threaded comment]
Your version of Excel allows you to read this threaded comment; however, any edits to it will get removed if the file is opened in a newer version of Excel. Learn more: https://go.microsoft.com/fwlink/?linkid=870924
Comment:
    UID and alias consistency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tc={CC85E01B-A5C6-45C2-A28F-AFE2A14CD384}</author>
  </authors>
  <commentList>
    <comment ref="C36" authorId="0" shapeId="0" xr:uid="{CC85E01B-A5C6-45C2-A28F-AFE2A14CD384}">
      <text>
        <t>[Threaded comment]
Your version of Excel allows you to read this threaded comment; however, any edits to it will get removed if the file is opened in a newer version of Excel. Learn more: https://go.microsoft.com/fwlink/?linkid=870924
Comment:
    Name not clear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tc={2F5C55B9-10AC-419A-9659-3A10F04E1F70}</author>
    <author>tc={4E777E8F-C1BF-4C81-9872-422F39716C73}</author>
  </authors>
  <commentList>
    <comment ref="K24" authorId="0" shapeId="0" xr:uid="{2F5C55B9-10AC-419A-9659-3A10F04E1F70}">
      <text>
        <t>[Threaded comment]
Your version of Excel allows you to read this threaded comment; however, any edits to it will get removed if the file is opened in a newer version of Excel. Learn more: https://go.microsoft.com/fwlink/?linkid=870924
Comment:
    Constant cp assumed</t>
      </text>
    </comment>
    <comment ref="M24" authorId="1" shapeId="0" xr:uid="{4E777E8F-C1BF-4C81-9872-422F39716C73}">
      <text>
        <t>[Threaded comment]
Your version of Excel allows you to read this threaded comment; however, any edits to it will get removed if the file is opened in a newer version of Excel. Learn more: https://go.microsoft.com/fwlink/?linkid=870924
Comment:
    Computed from Q=m*cp*dT</t>
      </text>
    </comment>
  </commentList>
</comments>
</file>

<file path=xl/sharedStrings.xml><?xml version="1.0" encoding="utf-8"?>
<sst xmlns="http://schemas.openxmlformats.org/spreadsheetml/2006/main" count="679" uniqueCount="393">
  <si>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</si>
  <si>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</si>
  <si>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</si>
  <si>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</si>
  <si>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</si>
  <si>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</si>
  <si>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</si>
  <si>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</si>
  <si>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</si>
  <si>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</si>
  <si>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</si>
  <si>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</si>
  <si>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</si>
  <si>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</si>
  <si>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</si>
  <si>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</si>
  <si>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</si>
  <si>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</si>
  <si>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</si>
  <si>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</si>
  <si>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</si>
  <si>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</si>
  <si>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</si>
  <si>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</si>
  <si>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</si>
  <si>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</si>
  <si>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</si>
  <si>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</si>
  <si>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</si>
  <si>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</si>
  <si>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</si>
  <si>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</si>
  <si>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</si>
  <si>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</si>
  <si>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</si>
  <si>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</si>
  <si>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</si>
  <si>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</si>
  <si>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DIRECTION</t>
  </si>
  <si>
    <t>VALUE</t>
  </si>
  <si>
    <t>HEAT STREAMS</t>
  </si>
  <si>
    <t>EQUIPMENTS</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</si>
  <si>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</si>
  <si>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</si>
  <si>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</si>
  <si>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</si>
  <si>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</si>
  <si>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</si>
  <si>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</si>
  <si>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</si>
  <si>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</si>
  <si>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</si>
  <si>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</si>
  <si>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</si>
  <si>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</si>
  <si>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</si>
  <si>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</si>
  <si>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</si>
  <si>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</si>
  <si>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</si>
  <si>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</si>
  <si>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</si>
  <si>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</si>
  <si>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</si>
  <si>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</si>
  <si>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</si>
  <si>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</si>
  <si>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</si>
  <si>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</si>
  <si>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</si>
  <si>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</si>
  <si>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</si>
  <si>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</si>
  <si>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</si>
  <si>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</si>
  <si>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</si>
  <si>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</si>
  <si>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</si>
  <si>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</si>
  <si>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</si>
  <si>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</si>
  <si>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</si>
  <si>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</si>
  <si>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</si>
  <si>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</si>
  <si>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</si>
  <si>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</si>
  <si>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</si>
  <si>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</si>
  <si>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</si>
  <si>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</si>
  <si>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</si>
  <si>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</si>
  <si>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</si>
  <si>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</si>
  <si>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</si>
  <si>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</si>
  <si>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</si>
  <si>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</si>
  <si>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</si>
  <si>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</si>
  <si>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</si>
  <si>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</si>
  <si>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</si>
  <si>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</si>
  <si>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</si>
  <si>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</si>
  <si>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</si>
  <si>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</si>
  <si>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</si>
  <si>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</si>
  <si>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</si>
  <si>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</si>
  <si>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</si>
  <si>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</si>
  <si>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</si>
  <si>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</si>
  <si>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</si>
  <si>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</si>
  <si>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</si>
  <si>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</si>
  <si>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</si>
  <si>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</si>
  <si>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</si>
  <si>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</si>
  <si>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</si>
  <si>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</si>
  <si>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</si>
  <si>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</si>
  <si>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</si>
  <si>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</si>
  <si>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</si>
  <si>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</si>
  <si>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</si>
  <si>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</si>
  <si>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</si>
  <si>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</si>
  <si>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</si>
  <si>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</si>
  <si>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</si>
  <si>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</si>
  <si>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</si>
  <si>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</si>
  <si>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</si>
  <si>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</si>
  <si>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</si>
  <si>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</si>
  <si>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</si>
  <si>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</si>
  <si>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</si>
  <si>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</si>
  <si>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</si>
  <si>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</si>
  <si>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None</t>
  </si>
  <si>
    <t>Drawio</t>
  </si>
  <si>
    <t>.svg</t>
  </si>
  <si>
    <t>50 kB</t>
  </si>
  <si>
    <t>Gas Turbine</t>
  </si>
  <si>
    <t>Daniel Florez-Orrego, Meire Domingos</t>
  </si>
  <si>
    <t xml:space="preserve">2025-11-12 </t>
  </si>
  <si>
    <t>Gas Turbine, Natural Gas, Electricity</t>
  </si>
  <si>
    <t>Gas turbine unit model including a recuperator for waste heat recovery</t>
  </si>
  <si>
    <t>Figures/GasTurbine.svg</t>
  </si>
  <si>
    <t>929 kWel</t>
  </si>
  <si>
    <t>eta_comp</t>
  </si>
  <si>
    <t>DECISION</t>
  </si>
  <si>
    <t>Compressor isentropic efficiency</t>
  </si>
  <si>
    <t>MANDATORY</t>
  </si>
  <si>
    <t>$\mathrm{eta\_comp}$</t>
  </si>
  <si>
    <t>eta_turb</t>
  </si>
  <si>
    <t>Turbine isentropic efficiency</t>
  </si>
  <si>
    <t>$\mathrm{eta\_turb}$</t>
  </si>
  <si>
    <t>gamma_air</t>
  </si>
  <si>
    <t>LITERATURE</t>
  </si>
  <si>
    <t>Specific heat ratio of air</t>
  </si>
  <si>
    <t>$\mathrm{gamma\_air}$</t>
  </si>
  <si>
    <t>Ratio between constant pressure and constant volume heat capacities for air</t>
  </si>
  <si>
    <t>gamma_gas</t>
  </si>
  <si>
    <t>Specific heat ratio of flue gas</t>
  </si>
  <si>
    <t>$\mathrm{gamma\_gas}$</t>
  </si>
  <si>
    <t>Ratio between constant pressure and constant volume heat capacities for flue gases</t>
  </si>
  <si>
    <t>Air inlet temperature</t>
  </si>
  <si>
    <t>K</t>
  </si>
  <si>
    <t>$\mathrm{T1}$</t>
  </si>
  <si>
    <t>Air discharge preheating temperature</t>
  </si>
  <si>
    <t>$\mathrm{T2a}$</t>
  </si>
  <si>
    <t>Discharge air preheating temperature before combustion chamber</t>
  </si>
  <si>
    <t>PR</t>
  </si>
  <si>
    <t>Compressor pressure ratio</t>
  </si>
  <si>
    <t>$\mathrm{PR}$</t>
  </si>
  <si>
    <t>Compressor pressure ratio: 3-23</t>
  </si>
  <si>
    <t>LHV</t>
  </si>
  <si>
    <t>Lower heating value of fuel</t>
  </si>
  <si>
    <t>kJ/kg</t>
  </si>
  <si>
    <t>$\mathrm{LHV}$</t>
  </si>
  <si>
    <t>Lower heating value of the fuel</t>
  </si>
  <si>
    <t>f</t>
  </si>
  <si>
    <t>Air-to-fuel ratio</t>
  </si>
  <si>
    <t>kg/kg</t>
  </si>
  <si>
    <t>$\mathrm{f}$</t>
  </si>
  <si>
    <t>Air to fuel ratio kg/kg</t>
  </si>
  <si>
    <t>m_air</t>
  </si>
  <si>
    <t>MEASURED</t>
  </si>
  <si>
    <t>Air mass flow rate</t>
  </si>
  <si>
    <t>kg/s</t>
  </si>
  <si>
    <t>$\mathrm{m\_air}$</t>
  </si>
  <si>
    <t>Air mas flow</t>
  </si>
  <si>
    <t>T_stack</t>
  </si>
  <si>
    <t>Stack outlet temperature</t>
  </si>
  <si>
    <t>$\mathrm{T\_stack}$</t>
  </si>
  <si>
    <t>Outlet temperature of the heat exchanger at turbine exit</t>
  </si>
  <si>
    <t>cp_air</t>
  </si>
  <si>
    <t>Heat capacity of air</t>
  </si>
  <si>
    <t>kJ/kgK</t>
  </si>
  <si>
    <t>$\mathrm{cp\_air}$</t>
  </si>
  <si>
    <t>Heat capacity for air</t>
  </si>
  <si>
    <t>cp_gas</t>
  </si>
  <si>
    <t>Heat capacity of flue gas</t>
  </si>
  <si>
    <t>$\mathrm{cp\_gas}$</t>
  </si>
  <si>
    <t>Heat capacity for gas</t>
  </si>
  <si>
    <t>n</t>
  </si>
  <si>
    <t>CONTEXT</t>
  </si>
  <si>
    <t>Lifetime of gas turbine</t>
  </si>
  <si>
    <t>$\mathrm{n}$</t>
  </si>
  <si>
    <t>i</t>
  </si>
  <si>
    <t>Interest rate</t>
  </si>
  <si>
    <t>$\mathrm{i}$</t>
  </si>
  <si>
    <t>dt_min</t>
  </si>
  <si>
    <t>$\mathrm{dt\_min}$</t>
  </si>
  <si>
    <t>Minimum temperature difference contribution for air</t>
  </si>
  <si>
    <t>CEPCI_2020</t>
  </si>
  <si>
    <t>$\mathrm{CEPCI\_2020}$</t>
  </si>
  <si>
    <t>actual CEPCI</t>
  </si>
  <si>
    <t>CEPCI_2008</t>
  </si>
  <si>
    <t>CEPCI index 2008</t>
  </si>
  <si>
    <t>$\mathrm{CEPCI\_2008}$</t>
  </si>
  <si>
    <t>CEPCI 2008</t>
  </si>
  <si>
    <t>gamma_a</t>
  </si>
  <si>
    <t>Thermodynamic ratio for air</t>
  </si>
  <si>
    <t>$\mathrm{gamma\_a}$</t>
  </si>
  <si>
    <t>Themodynamic ratio for air</t>
  </si>
  <si>
    <t>gamma_g</t>
  </si>
  <si>
    <t>Thermodynamic ratio for gas</t>
  </si>
  <si>
    <t>$\mathrm{gamma\_g}$</t>
  </si>
  <si>
    <t>Themodynamic ratio for gas</t>
  </si>
  <si>
    <t>Rpa</t>
  </si>
  <si>
    <t>$\mathrm{Rpa}$</t>
  </si>
  <si>
    <t>Themodynamic parameter for air</t>
  </si>
  <si>
    <t>Rpg</t>
  </si>
  <si>
    <t>$\mathrm{Rpg}$</t>
  </si>
  <si>
    <t>Themodynamic parameter for flue gas</t>
  </si>
  <si>
    <t>Compressor discharge temperature</t>
  </si>
  <si>
    <t>$\mathrm{T2}$</t>
  </si>
  <si>
    <t>Discharge temperature of the compressor</t>
  </si>
  <si>
    <t>Preheating duty after compressor</t>
  </si>
  <si>
    <t>kW</t>
  </si>
  <si>
    <t>$\mathrm{Q2a}$</t>
  </si>
  <si>
    <t>Preheating duty after compressor discharge</t>
  </si>
  <si>
    <t>Turbine inlet temperature</t>
  </si>
  <si>
    <t>$\mathrm{T3}$</t>
  </si>
  <si>
    <t>Turbine outlet temperature</t>
  </si>
  <si>
    <t>$\mathrm{T4}$</t>
  </si>
  <si>
    <t>Turbine outlet temperature in Celsius</t>
  </si>
  <si>
    <t>°C</t>
  </si>
  <si>
    <t>$\mathrm{T4\_C}$</t>
  </si>
  <si>
    <t>Conversion to Celsius</t>
  </si>
  <si>
    <t>Tstack_C</t>
  </si>
  <si>
    <t>Stack temperature in Celsius</t>
  </si>
  <si>
    <t>$\mathrm{Tstack\_C}$</t>
  </si>
  <si>
    <t>Compressor outlet temperature in Celsius</t>
  </si>
  <si>
    <t>$\mathrm{T2\_C}$</t>
  </si>
  <si>
    <t>Preheated air temperature in Celsius</t>
  </si>
  <si>
    <t>$\mathrm{T2a\_C}$</t>
  </si>
  <si>
    <t>work_1_2</t>
  </si>
  <si>
    <t>Compressor work consumption</t>
  </si>
  <si>
    <t>$\mathrm{work\_1\_2}$</t>
  </si>
  <si>
    <t>Compressor power consumption</t>
  </si>
  <si>
    <t>work_3_4</t>
  </si>
  <si>
    <t>Turbine work generation</t>
  </si>
  <si>
    <t>$\mathrm{work\_3\_4}$</t>
  </si>
  <si>
    <t>Expander power generation</t>
  </si>
  <si>
    <t>Waste heat at turbine outlet</t>
  </si>
  <si>
    <t>$\mathrm{Q4}$</t>
  </si>
  <si>
    <t>Waste heat available at turbine outlet</t>
  </si>
  <si>
    <t>ng</t>
  </si>
  <si>
    <t>Natural gas consumption</t>
  </si>
  <si>
    <t>$\mathrm{ng}$</t>
  </si>
  <si>
    <t>co2fromNG</t>
  </si>
  <si>
    <t>CO2 emissions from natural gas</t>
  </si>
  <si>
    <t>kg/h</t>
  </si>
  <si>
    <t>$\mathrm{co2fromNG}$</t>
  </si>
  <si>
    <t>Associated CO2 emissions in syngas</t>
  </si>
  <si>
    <t>elec_net_out</t>
  </si>
  <si>
    <t>Net electric output</t>
  </si>
  <si>
    <t>$\mathrm{elec\_net\_out}$</t>
  </si>
  <si>
    <t>Net electricity throughput</t>
  </si>
  <si>
    <t>an_factor</t>
  </si>
  <si>
    <t>Annualization factor</t>
  </si>
  <si>
    <t>$\mathrm{an\_factor}$</t>
  </si>
  <si>
    <t>Cinv2_gt</t>
  </si>
  <si>
    <t>Specific investment cost (annualized)</t>
  </si>
  <si>
    <t>$\mathrm{Cinv2\_gt}$</t>
  </si>
  <si>
    <t>Investment cost</t>
  </si>
  <si>
    <t>NATGAS</t>
  </si>
  <si>
    <t>NatGas</t>
  </si>
  <si>
    <t>MASS</t>
  </si>
  <si>
    <t>ELECTRICITY</t>
  </si>
  <si>
    <t>Electricity</t>
  </si>
  <si>
    <t>CO2INFLUEG</t>
  </si>
  <si>
    <t>CO2inFluegas</t>
  </si>
  <si>
    <t>Gasturbine</t>
  </si>
  <si>
    <t>IN</t>
  </si>
  <si>
    <t>OUT</t>
  </si>
  <si>
    <t>qwasteheat</t>
  </si>
  <si>
    <t>Hot</t>
  </si>
  <si>
    <t>DEFAULT</t>
  </si>
  <si>
    <t>qrecovery</t>
  </si>
  <si>
    <t>Cold</t>
  </si>
  <si>
    <t>(V)</t>
  </si>
  <si>
    <t>bar</t>
  </si>
  <si>
    <t>MASSFRAC:CO2[1]</t>
  </si>
  <si>
    <t>Consumed natural gaz</t>
  </si>
  <si>
    <t>Electricity produced</t>
  </si>
  <si>
    <t>CO2 in flue gaz</t>
  </si>
  <si>
    <t>CEPCI index 2020</t>
  </si>
  <si>
    <t>T_1</t>
  </si>
  <si>
    <t>T_2a</t>
  </si>
  <si>
    <t>T_2</t>
  </si>
  <si>
    <t>Q_2a</t>
  </si>
  <si>
    <t>T_3</t>
  </si>
  <si>
    <t>T_4</t>
  </si>
  <si>
    <t>T_4_C</t>
  </si>
  <si>
    <t>T_2_C</t>
  </si>
  <si>
    <t>T_2a_C</t>
  </si>
  <si>
    <t>Q_4</t>
  </si>
  <si>
    <t>eur/y</t>
  </si>
  <si>
    <t>(gamma_air - 1)/gamma_air</t>
  </si>
  <si>
    <t>(gamma_gas - 1)/gamma_gas</t>
  </si>
  <si>
    <t>(PR^gamma_a-1)/eta_comp</t>
  </si>
  <si>
    <t>1-1/(PR^gamma_g)</t>
  </si>
  <si>
    <t>(m_air * cp_air * T_2a + m_air/f * LHV) / (((1+1/f)*m_air) * cp_gas)</t>
  </si>
  <si>
    <t>T_stack - 273.15</t>
  </si>
  <si>
    <t>T_2a - 273.15</t>
  </si>
  <si>
    <t>m_air/f*LHV</t>
  </si>
  <si>
    <t>ng/LHV*3600*44/16</t>
  </si>
  <si>
    <t>work_3_4-work_1_2</t>
  </si>
  <si>
    <t>(i*(i+1)^n)/(((i+1)^n)-1)</t>
  </si>
  <si>
    <t>500*elec_net_out*an_factor</t>
  </si>
  <si>
    <t>year</t>
  </si>
  <si>
    <t>T_1 * (1+Rpa)</t>
  </si>
  <si>
    <t>m_air*cp_air*(T_2a-T_2)</t>
  </si>
  <si>
    <t>T_3*(1-eta_turb*Rpg)</t>
  </si>
  <si>
    <t>T_4 - 273.15</t>
  </si>
  <si>
    <t>T_2 - 273.15</t>
  </si>
  <si>
    <t>m_air*cp_air*T_1*Rpa</t>
  </si>
  <si>
    <t>m_air*(1+1/f)*cp_gas*T_3*Rpg*eta_turb</t>
  </si>
  <si>
    <t>m_air*(1+1/f)*cp_gas*(T_4-T_stack)</t>
  </si>
  <si>
    <t>Minimum temperature difference</t>
  </si>
  <si>
    <t>Pressure ratio factor (Air)</t>
  </si>
  <si>
    <t>Pressure ratio factor (Flue gas)</t>
  </si>
  <si>
    <t>A gas turbine system consists of  a compressor, a combustion chamber, and an expander. An electrical generator coupled to the shaft of the gas turbine also allows generating electricity. A recuperator can recover heat from the turbine outlet temperature gases and use it for preheating the air at the compressor discharge up to a certain temperature level.</t>
  </si>
  <si>
    <t>No</t>
  </si>
  <si>
    <t>Yes</t>
  </si>
  <si>
    <t>kW/m2K</t>
  </si>
  <si>
    <t>Waste heat</t>
  </si>
  <si>
    <t>Heat recovery</t>
  </si>
  <si>
    <t>GasTurbine</t>
  </si>
  <si>
    <t>Resource balance interfaces managing fuel input (CH4), net electricity generation, and flue gas emissions (CO2) for system-wide integration.</t>
  </si>
  <si>
    <t>Thermal enthalpy profiles, cooling high-grade turbine exhaust (Hot) while preheating compressed air (Cold) to maximize cycle efficiency.</t>
  </si>
  <si>
    <t>Mechanical assembly comprising an axial compressor, combustion chamber, and power turbine, including an annualized CAPEX estimation based on net power output and CEPCI cost-index scaling.</t>
  </si>
  <si>
    <t>Asset</t>
  </si>
  <si>
    <t>Gas turbine with recuperator</t>
  </si>
  <si>
    <t>@Florez-Orrego et al</t>
  </si>
  <si>
    <t>years</t>
  </si>
  <si>
    <t>Specific investment</t>
  </si>
  <si>
    <t>Eur/kW</t>
  </si>
  <si>
    <t>Lifetime</t>
  </si>
  <si>
    <t xml:space="preserve">Interest rate </t>
  </si>
  <si>
    <t>ENERGY</t>
  </si>
  <si>
    <t>MASSFRAC:CH4[1.0]</t>
  </si>
  <si>
    <t>Consumed natural gas</t>
  </si>
  <si>
    <t>CO2 in flue gas</t>
  </si>
  <si>
    <t>[1] Cengel, Y. and Boles, M., 2010. Thermodynamics: An Engineering Approach with Student Resources DVD;
[2] Rahman, M.M., Ibrahim, T.K. and Abdalla, A.N., 2011. Thermodynamic performance analysis of gas-turbine power-plant. International journal of the physical sciences, 6(14), pp.3539-3550.</t>
  </si>
  <si>
    <t>EPFL IPESE research group</t>
  </si>
  <si>
    <t>EMISSIONS</t>
  </si>
  <si>
    <t>1. Process Overview: Gas Turbine Power Plant</t>
  </si>
  <si>
    <t>Gas turbine power plants are open-cycle internal combustion engines consisting of four primary components: a compressor, a combustion chamber (CC), a turbine, and a generator. Fresh air at ambient conditions is drawn into the compressor, where its temperature and pressure are raised. The high-pressure air proceeds into the combustion chamber, where fuel is burned at constant pressure.</t>
  </si>
  <si>
    <t>The resulting high-temperature gases enter the turbine and expand to atmospheric pressure, producing mechanical work to drive the generator and the compressor itself. Beyond power generation, the air serves as a coolant to maintain component temperatures within safe limits, often requiring an air-to-fuel mass ratio of 50 or higher.</t>
  </si>
  <si>
    <t>2. Thermodynamic Cycle</t>
  </si>
  <si>
    <t>3. System Performance &amp; Emissions</t>
  </si>
  <si>
    <t>4. Key Model Parameters</t>
  </si>
  <si>
    <t>5. References</t>
  </si>
  <si>
    <t>[1] Cengel, Y. and Boles, M., 2010. Thermodynamics: An Engineering Approach with Student Resources DVD
[2] Rahman, M.M., Ibrahim, T.K. and Abdalla, A.N., 2011. Thermodynamic performance analysis of gas-turbine power-plant. International journal of the physical sciences, 6(14), pp.3539-3550.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</si>
</sst>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s>
  <fills count="13">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BDD6EE"/>
        <bgColor indexed="64"/>
      </patternFill>
    </fill>
  </fills>
  <borders count="81">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right/>
      <top style="medium">
        <color indexed="64"/>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style="thin">
        <color theme="0" tint="-0.14999847407452621"/>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right/>
      <top/>
      <bottom style="medium">
        <color indexed="64"/>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17" fillId="0" borderId="46"/>
    <xf numFmtId="0" fontId="4" fillId="0" borderId="46"/>
  </cellStyleXfs>
  <cellXfs count="268">
    <xf numFmtId="0" fontId="0" fillId="0" borderId="0" xfId="0"/>
    <xf numFmtId="0" fontId="13" fillId="3" borderId="4" xfId="0" applyFont="1" applyFill="1" applyBorder="1" applyAlignment="1">
      <alignment horizontal="center" vertical="center"/>
    </xf>
    <xf numFmtId="0" fontId="13" fillId="3" borderId="5" xfId="0" applyFont="1" applyFill="1" applyBorder="1" applyAlignment="1">
      <alignment horizontal="left" vertical="center"/>
    </xf>
    <xf numFmtId="0" fontId="13" fillId="3" borderId="7" xfId="0" applyFont="1" applyFill="1" applyBorder="1"/>
    <xf numFmtId="0" fontId="13" fillId="3" borderId="3" xfId="0" applyFont="1" applyFill="1" applyBorder="1"/>
    <xf numFmtId="0" fontId="10" fillId="0" borderId="8" xfId="0" applyFont="1" applyBorder="1"/>
    <xf numFmtId="0" fontId="10" fillId="4" borderId="8" xfId="0" applyFont="1" applyFill="1" applyBorder="1"/>
    <xf numFmtId="0" fontId="12" fillId="4" borderId="8" xfId="0" applyFont="1" applyFill="1" applyBorder="1" applyAlignment="1">
      <alignment horizontal="center"/>
    </xf>
    <xf numFmtId="0" fontId="10" fillId="0" borderId="13" xfId="0" applyFont="1" applyBorder="1"/>
    <xf numFmtId="0" fontId="13" fillId="3" borderId="14" xfId="0" applyFont="1" applyFill="1" applyBorder="1"/>
    <xf numFmtId="0" fontId="13" fillId="3" borderId="15" xfId="0" applyFont="1" applyFill="1" applyBorder="1"/>
    <xf numFmtId="0" fontId="11" fillId="0" borderId="17" xfId="0" applyFont="1" applyBorder="1"/>
    <xf numFmtId="0" fontId="10" fillId="0" borderId="17" xfId="0" applyFont="1" applyBorder="1"/>
    <xf numFmtId="0" fontId="13" fillId="3" borderId="18" xfId="0" applyFont="1" applyFill="1" applyBorder="1"/>
    <xf numFmtId="0" fontId="13" fillId="4" borderId="19" xfId="0" applyFont="1" applyFill="1" applyBorder="1"/>
    <xf numFmtId="0" fontId="10" fillId="4" borderId="20" xfId="0" applyFont="1" applyFill="1" applyBorder="1"/>
    <xf numFmtId="0" fontId="13" fillId="3" borderId="13" xfId="0" applyFont="1" applyFill="1" applyBorder="1"/>
    <xf numFmtId="0" fontId="13" fillId="3" borderId="21" xfId="0" applyFont="1" applyFill="1" applyBorder="1"/>
    <xf numFmtId="0" fontId="13" fillId="3" borderId="17" xfId="0" applyFont="1" applyFill="1" applyBorder="1"/>
    <xf numFmtId="0" fontId="13" fillId="3" borderId="25" xfId="0" applyFont="1" applyFill="1" applyBorder="1"/>
    <xf numFmtId="0" fontId="13" fillId="3" borderId="19" xfId="0" applyFont="1" applyFill="1" applyBorder="1"/>
    <xf numFmtId="0" fontId="10" fillId="0" borderId="19" xfId="0" applyFont="1" applyBorder="1"/>
    <xf numFmtId="0" fontId="10" fillId="4" borderId="19" xfId="0" applyFont="1" applyFill="1" applyBorder="1"/>
    <xf numFmtId="0" fontId="15" fillId="4" borderId="1" xfId="0" applyFont="1" applyFill="1" applyBorder="1" applyAlignment="1">
      <alignment horizontal="left"/>
    </xf>
    <xf numFmtId="0" fontId="13" fillId="4" borderId="1" xfId="0" applyFont="1" applyFill="1" applyBorder="1"/>
    <xf numFmtId="0" fontId="13" fillId="4" borderId="1" xfId="0" applyFont="1" applyFill="1" applyBorder="1" applyAlignment="1">
      <alignment horizontal="left"/>
    </xf>
    <xf numFmtId="0" fontId="10" fillId="4" borderId="1" xfId="0" applyFont="1" applyFill="1" applyBorder="1" applyAlignment="1">
      <alignment horizontal="left"/>
    </xf>
    <xf numFmtId="0" fontId="10" fillId="4" borderId="1" xfId="0" applyFont="1" applyFill="1" applyBorder="1"/>
    <xf numFmtId="0" fontId="11" fillId="4" borderId="1" xfId="0" applyFont="1" applyFill="1" applyBorder="1"/>
    <xf numFmtId="0" fontId="9" fillId="4" borderId="17" xfId="0" applyFont="1" applyFill="1" applyBorder="1"/>
    <xf numFmtId="0" fontId="10" fillId="4" borderId="17" xfId="0" applyFont="1" applyFill="1" applyBorder="1"/>
    <xf numFmtId="0" fontId="13" fillId="4" borderId="17" xfId="0" applyFont="1" applyFill="1" applyBorder="1"/>
    <xf numFmtId="0" fontId="9" fillId="4" borderId="1" xfId="0" applyFont="1" applyFill="1" applyBorder="1"/>
    <xf numFmtId="0" fontId="13" fillId="4" borderId="30" xfId="0" applyFont="1" applyFill="1" applyBorder="1" applyAlignment="1">
      <alignment horizontal="center"/>
    </xf>
    <xf numFmtId="0" fontId="13" fillId="4" borderId="24" xfId="0" applyFont="1" applyFill="1" applyBorder="1" applyAlignment="1">
      <alignment horizontal="center"/>
    </xf>
    <xf numFmtId="0" fontId="13" fillId="4" borderId="31" xfId="0" applyFont="1" applyFill="1" applyBorder="1" applyAlignment="1">
      <alignment horizontal="center"/>
    </xf>
    <xf numFmtId="0" fontId="13" fillId="4" borderId="19" xfId="0" applyFont="1" applyFill="1" applyBorder="1" applyAlignment="1">
      <alignment horizontal="center"/>
    </xf>
    <xf numFmtId="0" fontId="15" fillId="4" borderId="20" xfId="0" applyFont="1" applyFill="1" applyBorder="1" applyAlignment="1">
      <alignment horizontal="left"/>
    </xf>
    <xf numFmtId="0" fontId="13" fillId="4" borderId="8" xfId="0" applyFont="1" applyFill="1" applyBorder="1" applyAlignment="1">
      <alignment horizontal="center"/>
    </xf>
    <xf numFmtId="0" fontId="12" fillId="4" borderId="19" xfId="0" applyFont="1" applyFill="1" applyBorder="1" applyAlignment="1">
      <alignment horizontal="center" vertical="center" wrapText="1"/>
    </xf>
    <xf numFmtId="0" fontId="13" fillId="3" borderId="8" xfId="0" applyFont="1" applyFill="1" applyBorder="1" applyAlignment="1">
      <alignment horizontal="center"/>
    </xf>
    <xf numFmtId="0" fontId="15" fillId="3" borderId="8" xfId="0" applyFont="1" applyFill="1" applyBorder="1" applyAlignment="1">
      <alignment horizontal="left"/>
    </xf>
    <xf numFmtId="0" fontId="12" fillId="4" borderId="0" xfId="0" applyFont="1" applyFill="1" applyAlignment="1">
      <alignment horizontal="center"/>
    </xf>
    <xf numFmtId="0" fontId="13" fillId="3" borderId="6" xfId="0" applyFont="1" applyFill="1" applyBorder="1" applyAlignment="1">
      <alignment horizontal="center"/>
    </xf>
    <xf numFmtId="0" fontId="15" fillId="3" borderId="6" xfId="0" applyFont="1" applyFill="1" applyBorder="1" applyAlignment="1">
      <alignment horizontal="left"/>
    </xf>
    <xf numFmtId="0" fontId="13" fillId="3" borderId="4" xfId="0" applyFont="1" applyFill="1" applyBorder="1" applyAlignment="1">
      <alignment horizontal="center"/>
    </xf>
    <xf numFmtId="0" fontId="15" fillId="3" borderId="35" xfId="0" quotePrefix="1" applyFont="1" applyFill="1" applyBorder="1" applyAlignment="1">
      <alignment horizontal="left"/>
    </xf>
    <xf numFmtId="0" fontId="13" fillId="3" borderId="35" xfId="0" applyFont="1" applyFill="1" applyBorder="1" applyAlignment="1">
      <alignment horizontal="center"/>
    </xf>
    <xf numFmtId="0" fontId="13" fillId="3" borderId="3" xfId="0" applyFont="1" applyFill="1" applyBorder="1" applyAlignment="1">
      <alignment horizontal="center"/>
    </xf>
    <xf numFmtId="0" fontId="15" fillId="3" borderId="3" xfId="0" applyFont="1" applyFill="1" applyBorder="1" applyAlignment="1">
      <alignment horizontal="left"/>
    </xf>
    <xf numFmtId="0" fontId="15" fillId="3" borderId="24" xfId="0" applyFont="1" applyFill="1" applyBorder="1" applyAlignment="1">
      <alignment horizontal="left" vertical="center"/>
    </xf>
    <xf numFmtId="0" fontId="13" fillId="3" borderId="24" xfId="0" applyFont="1" applyFill="1" applyBorder="1" applyAlignment="1">
      <alignment horizontal="center"/>
    </xf>
    <xf numFmtId="0" fontId="15" fillId="3" borderId="8" xfId="0" quotePrefix="1" applyFont="1" applyFill="1" applyBorder="1" applyAlignment="1">
      <alignment horizontal="left"/>
    </xf>
    <xf numFmtId="0" fontId="15" fillId="3" borderId="8" xfId="0" applyFont="1" applyFill="1" applyBorder="1" applyAlignment="1">
      <alignment horizontal="left" vertical="center"/>
    </xf>
    <xf numFmtId="0" fontId="15" fillId="3" borderId="14" xfId="0" applyFont="1" applyFill="1" applyBorder="1" applyAlignment="1">
      <alignment horizontal="left" vertical="center"/>
    </xf>
    <xf numFmtId="0" fontId="15" fillId="3" borderId="15" xfId="0" applyFont="1" applyFill="1" applyBorder="1" applyAlignment="1">
      <alignment horizontal="left"/>
    </xf>
    <xf numFmtId="0" fontId="13" fillId="3" borderId="15" xfId="0" applyFont="1" applyFill="1" applyBorder="1" applyAlignment="1">
      <alignment horizontal="center"/>
    </xf>
    <xf numFmtId="0" fontId="13" fillId="3" borderId="15" xfId="0" applyFont="1" applyFill="1" applyBorder="1" applyAlignment="1">
      <alignment horizontal="left"/>
    </xf>
    <xf numFmtId="0" fontId="13" fillId="3" borderId="8" xfId="0" applyFont="1" applyFill="1" applyBorder="1" applyAlignment="1">
      <alignment horizontal="center" vertical="center"/>
    </xf>
    <xf numFmtId="0" fontId="13" fillId="3" borderId="16" xfId="0" applyFont="1" applyFill="1" applyBorder="1" applyAlignment="1">
      <alignment horizontal="center" vertical="center"/>
    </xf>
    <xf numFmtId="0" fontId="10" fillId="0" borderId="24" xfId="0" applyFont="1" applyBorder="1"/>
    <xf numFmtId="0" fontId="13" fillId="3" borderId="24" xfId="0" applyFont="1" applyFill="1" applyBorder="1" applyAlignment="1">
      <alignment horizontal="center" vertical="center"/>
    </xf>
    <xf numFmtId="0" fontId="15" fillId="3" borderId="24" xfId="0" applyFont="1" applyFill="1" applyBorder="1" applyAlignment="1">
      <alignment horizontal="left"/>
    </xf>
    <xf numFmtId="0" fontId="13" fillId="3" borderId="36" xfId="0" applyFont="1" applyFill="1" applyBorder="1" applyAlignment="1">
      <alignment horizontal="center"/>
    </xf>
    <xf numFmtId="0" fontId="13" fillId="3" borderId="20" xfId="0" applyFont="1" applyFill="1" applyBorder="1" applyAlignment="1">
      <alignment horizontal="center" vertical="center"/>
    </xf>
    <xf numFmtId="0" fontId="13" fillId="3" borderId="39" xfId="0" applyFont="1" applyFill="1" applyBorder="1" applyAlignment="1">
      <alignment horizontal="center"/>
    </xf>
    <xf numFmtId="0" fontId="15" fillId="3" borderId="5" xfId="0" quotePrefix="1" applyFont="1" applyFill="1" applyBorder="1" applyAlignment="1">
      <alignment horizontal="left"/>
    </xf>
    <xf numFmtId="0" fontId="13" fillId="3" borderId="22" xfId="0" applyFont="1" applyFill="1" applyBorder="1" applyAlignment="1">
      <alignment horizontal="center"/>
    </xf>
    <xf numFmtId="0" fontId="13" fillId="3" borderId="23" xfId="0" applyFont="1" applyFill="1" applyBorder="1" applyAlignment="1">
      <alignment horizontal="center"/>
    </xf>
    <xf numFmtId="0" fontId="15" fillId="3" borderId="14" xfId="0" quotePrefix="1" applyFont="1" applyFill="1" applyBorder="1" applyAlignment="1">
      <alignment horizontal="left"/>
    </xf>
    <xf numFmtId="0" fontId="13" fillId="4" borderId="4" xfId="0" applyFont="1" applyFill="1" applyBorder="1" applyAlignment="1">
      <alignment horizontal="center"/>
    </xf>
    <xf numFmtId="0" fontId="13" fillId="4" borderId="5" xfId="0" applyFont="1" applyFill="1" applyBorder="1" applyAlignment="1">
      <alignment horizontal="center"/>
    </xf>
    <xf numFmtId="0" fontId="13" fillId="4" borderId="3" xfId="0" applyFont="1" applyFill="1" applyBorder="1" applyAlignment="1">
      <alignment horizontal="center"/>
    </xf>
    <xf numFmtId="0" fontId="13" fillId="4" borderId="13" xfId="0" applyFont="1" applyFill="1" applyBorder="1" applyAlignment="1">
      <alignment horizontal="center" vertical="center"/>
    </xf>
    <xf numFmtId="0" fontId="13" fillId="4" borderId="16" xfId="0" applyFont="1" applyFill="1" applyBorder="1" applyAlignment="1">
      <alignment horizontal="center" vertical="center"/>
    </xf>
    <xf numFmtId="0" fontId="13" fillId="4" borderId="24" xfId="0" applyFont="1" applyFill="1" applyBorder="1" applyAlignment="1">
      <alignment horizontal="center" vertical="center"/>
    </xf>
    <xf numFmtId="0" fontId="15" fillId="4" borderId="0" xfId="0" applyFont="1" applyFill="1" applyAlignment="1">
      <alignment horizontal="left"/>
    </xf>
    <xf numFmtId="0" fontId="13" fillId="4" borderId="0" xfId="0" applyFont="1" applyFill="1" applyAlignment="1">
      <alignment horizontal="center"/>
    </xf>
    <xf numFmtId="0" fontId="13" fillId="4" borderId="6" xfId="0" applyFont="1" applyFill="1" applyBorder="1" applyAlignment="1">
      <alignment horizontal="center"/>
    </xf>
    <xf numFmtId="0" fontId="13" fillId="4" borderId="36" xfId="0" applyFont="1" applyFill="1" applyBorder="1" applyAlignment="1">
      <alignment horizontal="center"/>
    </xf>
    <xf numFmtId="0" fontId="13" fillId="4" borderId="47" xfId="0" applyFont="1" applyFill="1" applyBorder="1" applyAlignment="1">
      <alignment horizontal="center"/>
    </xf>
    <xf numFmtId="0" fontId="0" fillId="6" borderId="0" xfId="0" applyFill="1"/>
    <xf numFmtId="0" fontId="9" fillId="0" borderId="1" xfId="0" applyFont="1" applyBorder="1" applyAlignment="1">
      <alignment horizontal="left" vertical="top"/>
    </xf>
    <xf numFmtId="0" fontId="13" fillId="3" borderId="46" xfId="0" applyFont="1" applyFill="1" applyBorder="1" applyAlignment="1">
      <alignment horizontal="left" vertical="center"/>
    </xf>
    <xf numFmtId="0" fontId="0" fillId="7" borderId="0" xfId="0" applyFill="1"/>
    <xf numFmtId="0" fontId="12" fillId="4" borderId="19" xfId="0" applyFont="1" applyFill="1" applyBorder="1" applyAlignment="1">
      <alignment horizontal="center" vertical="center"/>
    </xf>
    <xf numFmtId="2" fontId="10" fillId="4" borderId="8" xfId="0" applyNumberFormat="1" applyFont="1" applyFill="1" applyBorder="1"/>
    <xf numFmtId="0" fontId="12" fillId="2" borderId="27" xfId="0" applyFont="1" applyFill="1" applyBorder="1" applyAlignment="1">
      <alignment horizontal="left" vertical="top"/>
    </xf>
    <xf numFmtId="0" fontId="12" fillId="2" borderId="32" xfId="0" applyFont="1" applyFill="1" applyBorder="1" applyAlignment="1">
      <alignment horizontal="left" vertical="top"/>
    </xf>
    <xf numFmtId="0" fontId="12" fillId="2" borderId="33" xfId="0" applyFont="1" applyFill="1" applyBorder="1" applyAlignment="1">
      <alignment horizontal="left" vertical="top" wrapText="1"/>
    </xf>
    <xf numFmtId="0" fontId="12" fillId="2" borderId="34" xfId="0" applyFont="1" applyFill="1" applyBorder="1" applyAlignment="1">
      <alignment horizontal="left" vertical="top" wrapText="1"/>
    </xf>
    <xf numFmtId="0" fontId="12" fillId="2" borderId="28" xfId="0" applyFont="1" applyFill="1" applyBorder="1" applyAlignment="1">
      <alignment horizontal="left" vertical="top"/>
    </xf>
    <xf numFmtId="0" fontId="12" fillId="2" borderId="37" xfId="0" applyFont="1" applyFill="1" applyBorder="1" applyAlignment="1">
      <alignment horizontal="left" vertical="top"/>
    </xf>
    <xf numFmtId="0" fontId="12" fillId="2" borderId="38" xfId="0" applyFont="1" applyFill="1" applyBorder="1" applyAlignment="1">
      <alignment horizontal="left" vertical="top"/>
    </xf>
    <xf numFmtId="0" fontId="12" fillId="2" borderId="41" xfId="0" applyFont="1" applyFill="1" applyBorder="1" applyAlignment="1">
      <alignment horizontal="left" vertical="top"/>
    </xf>
    <xf numFmtId="0" fontId="12" fillId="2" borderId="40" xfId="0" applyFont="1" applyFill="1" applyBorder="1" applyAlignment="1">
      <alignment horizontal="left" vertical="top"/>
    </xf>
    <xf numFmtId="0" fontId="13" fillId="2" borderId="41" xfId="0" applyFont="1" applyFill="1" applyBorder="1" applyAlignment="1">
      <alignment horizontal="left" vertical="top"/>
    </xf>
    <xf numFmtId="0" fontId="12" fillId="2" borderId="9" xfId="0" applyFont="1" applyFill="1" applyBorder="1" applyAlignment="1">
      <alignment horizontal="left" vertical="top"/>
    </xf>
    <xf numFmtId="0" fontId="12" fillId="2" borderId="10" xfId="0" applyFont="1" applyFill="1" applyBorder="1" applyAlignment="1">
      <alignment horizontal="left" vertical="top"/>
    </xf>
    <xf numFmtId="0" fontId="10" fillId="8" borderId="20" xfId="0" applyFont="1" applyFill="1" applyBorder="1"/>
    <xf numFmtId="0" fontId="10" fillId="8" borderId="26" xfId="0" applyFont="1" applyFill="1" applyBorder="1"/>
    <xf numFmtId="0" fontId="12" fillId="2" borderId="42" xfId="0" applyFont="1" applyFill="1" applyBorder="1" applyAlignment="1">
      <alignment horizontal="left" vertical="top"/>
    </xf>
    <xf numFmtId="0" fontId="12" fillId="2" borderId="48" xfId="0" applyFont="1" applyFill="1" applyBorder="1" applyAlignment="1">
      <alignment horizontal="left" vertical="top"/>
    </xf>
    <xf numFmtId="0" fontId="13" fillId="8" borderId="49" xfId="0" applyFont="1" applyFill="1" applyBorder="1" applyAlignment="1">
      <alignment vertical="top" wrapText="1"/>
    </xf>
    <xf numFmtId="0" fontId="12" fillId="2" borderId="50" xfId="0" applyFont="1" applyFill="1" applyBorder="1" applyAlignment="1">
      <alignment horizontal="left" vertical="top"/>
    </xf>
    <xf numFmtId="0" fontId="13" fillId="8" borderId="49" xfId="0" applyFont="1" applyFill="1" applyBorder="1" applyAlignment="1">
      <alignment horizontal="left" vertical="top" wrapText="1"/>
    </xf>
    <xf numFmtId="0" fontId="12" fillId="2" borderId="49" xfId="0" applyFont="1" applyFill="1" applyBorder="1" applyAlignment="1">
      <alignment horizontal="left" vertical="top"/>
    </xf>
    <xf numFmtId="0" fontId="13" fillId="4" borderId="21" xfId="0" applyFont="1" applyFill="1" applyBorder="1" applyAlignment="1">
      <alignment horizontal="center" vertical="center"/>
    </xf>
    <xf numFmtId="0" fontId="13" fillId="2" borderId="28" xfId="0" applyFont="1" applyFill="1" applyBorder="1" applyAlignment="1">
      <alignment horizontal="left" vertical="top"/>
    </xf>
    <xf numFmtId="0" fontId="13" fillId="2" borderId="29" xfId="0" applyFont="1" applyFill="1" applyBorder="1" applyAlignment="1">
      <alignment horizontal="left" vertical="top"/>
    </xf>
    <xf numFmtId="0" fontId="13" fillId="2" borderId="11" xfId="0" applyFont="1" applyFill="1" applyBorder="1" applyAlignment="1">
      <alignment horizontal="left" vertical="top"/>
    </xf>
    <xf numFmtId="0" fontId="13" fillId="2" borderId="46" xfId="0" applyFont="1" applyFill="1" applyBorder="1" applyAlignment="1">
      <alignment horizontal="left" vertical="top"/>
    </xf>
    <xf numFmtId="0" fontId="8" fillId="2" borderId="46" xfId="0" applyFont="1" applyFill="1" applyBorder="1" applyAlignment="1">
      <alignment horizontal="left" vertical="top"/>
    </xf>
    <xf numFmtId="0" fontId="13" fillId="2" borderId="12" xfId="0" applyFont="1" applyFill="1" applyBorder="1" applyAlignment="1">
      <alignment horizontal="left" vertical="top"/>
    </xf>
    <xf numFmtId="0" fontId="12" fillId="2" borderId="54" xfId="0" applyFont="1" applyFill="1" applyBorder="1" applyAlignment="1">
      <alignment horizontal="left" vertical="top"/>
    </xf>
    <xf numFmtId="0" fontId="12" fillId="2" borderId="55" xfId="0" applyFont="1" applyFill="1" applyBorder="1" applyAlignment="1">
      <alignment horizontal="left" vertical="top"/>
    </xf>
    <xf numFmtId="0" fontId="12" fillId="2" borderId="56" xfId="0" applyFont="1" applyFill="1" applyBorder="1" applyAlignment="1">
      <alignment horizontal="left" vertical="top"/>
    </xf>
    <xf numFmtId="0" fontId="0" fillId="6" borderId="52" xfId="0" applyFill="1" applyBorder="1"/>
    <xf numFmtId="0" fontId="12" fillId="2" borderId="57" xfId="0" applyFont="1" applyFill="1" applyBorder="1" applyAlignment="1">
      <alignment horizontal="left" vertical="center"/>
    </xf>
    <xf numFmtId="0" fontId="12" fillId="2" borderId="51" xfId="0" applyFont="1" applyFill="1" applyBorder="1" applyAlignment="1">
      <alignment horizontal="left" vertical="center"/>
    </xf>
    <xf numFmtId="0" fontId="13" fillId="3" borderId="52" xfId="0" applyFont="1" applyFill="1" applyBorder="1" applyAlignment="1">
      <alignment horizontal="right"/>
    </xf>
    <xf numFmtId="164" fontId="13" fillId="3" borderId="52" xfId="0" applyNumberFormat="1" applyFont="1" applyFill="1" applyBorder="1" applyAlignment="1">
      <alignment horizontal="right"/>
    </xf>
    <xf numFmtId="0" fontId="12" fillId="2" borderId="51" xfId="0" applyFont="1" applyFill="1" applyBorder="1" applyAlignment="1">
      <alignment horizontal="left" vertical="center" wrapText="1"/>
    </xf>
    <xf numFmtId="0" fontId="13" fillId="3" borderId="52" xfId="0" applyFont="1" applyFill="1" applyBorder="1" applyAlignment="1">
      <alignment horizontal="right" wrapText="1"/>
    </xf>
    <xf numFmtId="0" fontId="12" fillId="2" borderId="59" xfId="0" applyFont="1" applyFill="1" applyBorder="1" applyAlignment="1">
      <alignment horizontal="left" vertical="center" wrapText="1"/>
    </xf>
    <xf numFmtId="0" fontId="13" fillId="3" borderId="60" xfId="0" applyFont="1" applyFill="1" applyBorder="1" applyAlignment="1">
      <alignment horizontal="right"/>
    </xf>
    <xf numFmtId="0" fontId="12" fillId="2" borderId="54" xfId="0" applyFont="1" applyFill="1" applyBorder="1" applyAlignment="1">
      <alignment vertical="top"/>
    </xf>
    <xf numFmtId="0" fontId="12" fillId="2" borderId="55" xfId="0" applyFont="1" applyFill="1" applyBorder="1" applyAlignment="1">
      <alignment vertical="top"/>
    </xf>
    <xf numFmtId="0" fontId="12" fillId="2" borderId="56" xfId="0" applyFont="1" applyFill="1" applyBorder="1" applyAlignment="1">
      <alignment vertical="top"/>
    </xf>
    <xf numFmtId="0" fontId="12" fillId="2" borderId="53" xfId="0" applyFont="1" applyFill="1" applyBorder="1" applyAlignment="1">
      <alignment horizontal="left" vertical="top"/>
    </xf>
    <xf numFmtId="0" fontId="12" fillId="2" borderId="61" xfId="0" applyFont="1" applyFill="1" applyBorder="1" applyAlignment="1">
      <alignment horizontal="left" vertical="top"/>
    </xf>
    <xf numFmtId="0" fontId="13" fillId="2" borderId="45" xfId="0" applyFont="1" applyFill="1" applyBorder="1" applyAlignment="1">
      <alignment horizontal="left" vertical="top"/>
    </xf>
    <xf numFmtId="0" fontId="10" fillId="2" borderId="2" xfId="0" applyFont="1" applyFill="1" applyBorder="1" applyAlignment="1">
      <alignment vertical="top"/>
    </xf>
    <xf numFmtId="0" fontId="10" fillId="2" borderId="2" xfId="0" applyFont="1" applyFill="1" applyBorder="1" applyAlignment="1" applyProtection="1">
      <alignment vertical="top"/>
      <protection locked="0"/>
    </xf>
    <xf numFmtId="0" fontId="0" fillId="0" borderId="0" xfId="0" applyProtection="1">
      <protection locked="0"/>
    </xf>
    <xf numFmtId="0" fontId="8" fillId="0" borderId="1" xfId="0" applyFont="1" applyBorder="1" applyAlignment="1" applyProtection="1">
      <alignment horizontal="left" vertical="top" wrapText="1"/>
      <protection locked="0"/>
    </xf>
    <xf numFmtId="0" fontId="7" fillId="0" borderId="1" xfId="0" applyFont="1" applyBorder="1" applyAlignment="1" applyProtection="1">
      <alignment horizontal="left" vertical="top" wrapText="1"/>
      <protection locked="0"/>
    </xf>
    <xf numFmtId="0" fontId="8" fillId="6" borderId="0" xfId="0" applyFont="1" applyFill="1" applyAlignment="1">
      <alignment horizontal="left" vertical="center"/>
    </xf>
    <xf numFmtId="0" fontId="6" fillId="6" borderId="0" xfId="0" applyFont="1" applyFill="1" applyAlignment="1">
      <alignment horizontal="left" vertical="center"/>
    </xf>
    <xf numFmtId="0" fontId="6" fillId="4" borderId="1" xfId="0" applyFont="1" applyFill="1" applyBorder="1"/>
    <xf numFmtId="0" fontId="13" fillId="3" borderId="54" xfId="0" applyFont="1" applyFill="1" applyBorder="1" applyAlignment="1">
      <alignment horizontal="right"/>
    </xf>
    <xf numFmtId="0" fontId="13" fillId="2" borderId="44" xfId="0" applyFont="1" applyFill="1" applyBorder="1" applyAlignment="1">
      <alignment horizontal="left" vertical="top"/>
    </xf>
    <xf numFmtId="0" fontId="13" fillId="2" borderId="62" xfId="0" applyFont="1" applyFill="1" applyBorder="1" applyAlignment="1">
      <alignment horizontal="left" vertical="top"/>
    </xf>
    <xf numFmtId="0" fontId="13" fillId="2" borderId="63" xfId="0" applyFont="1" applyFill="1" applyBorder="1" applyAlignment="1">
      <alignment horizontal="left" vertical="top"/>
    </xf>
    <xf numFmtId="0" fontId="13" fillId="2" borderId="64" xfId="0" applyFont="1" applyFill="1" applyBorder="1" applyAlignment="1">
      <alignment horizontal="left" vertical="top"/>
    </xf>
    <xf numFmtId="0" fontId="13" fillId="2" borderId="65" xfId="0" applyFont="1" applyFill="1" applyBorder="1" applyAlignment="1">
      <alignment horizontal="left" vertical="top"/>
    </xf>
    <xf numFmtId="0" fontId="12" fillId="5" borderId="57" xfId="0" applyFont="1" applyFill="1" applyBorder="1" applyAlignment="1">
      <alignment horizontal="left" vertical="top"/>
    </xf>
    <xf numFmtId="0" fontId="12" fillId="5" borderId="58" xfId="0" applyFont="1" applyFill="1" applyBorder="1" applyAlignment="1">
      <alignment horizontal="left" vertical="top"/>
    </xf>
    <xf numFmtId="0" fontId="13" fillId="3" borderId="56" xfId="0" applyFont="1" applyFill="1" applyBorder="1" applyAlignment="1">
      <alignment horizontal="right"/>
    </xf>
    <xf numFmtId="0" fontId="13" fillId="3" borderId="55" xfId="0" applyFont="1" applyFill="1" applyBorder="1" applyAlignment="1">
      <alignment horizontal="right"/>
    </xf>
    <xf numFmtId="0" fontId="13" fillId="3" borderId="46" xfId="0" applyFont="1" applyFill="1" applyBorder="1" applyAlignment="1">
      <alignment horizontal="center"/>
    </xf>
    <xf numFmtId="0" fontId="0" fillId="7" borderId="46" xfId="0" applyFill="1" applyBorder="1"/>
    <xf numFmtId="0" fontId="0" fillId="0" borderId="46" xfId="0" applyBorder="1"/>
    <xf numFmtId="2" fontId="14" fillId="6" borderId="55" xfId="0" applyNumberFormat="1" applyFont="1" applyFill="1" applyBorder="1" applyAlignment="1">
      <alignment horizontal="right"/>
    </xf>
    <xf numFmtId="0" fontId="14" fillId="6" borderId="54" xfId="0" applyFont="1" applyFill="1" applyBorder="1" applyAlignment="1">
      <alignment horizontal="right"/>
    </xf>
    <xf numFmtId="0" fontId="14" fillId="6" borderId="56" xfId="0" applyFont="1" applyFill="1" applyBorder="1" applyAlignment="1">
      <alignment horizontal="right"/>
    </xf>
    <xf numFmtId="0" fontId="13" fillId="2" borderId="43" xfId="0" applyFont="1" applyFill="1" applyBorder="1" applyAlignment="1">
      <alignment horizontal="left" vertical="top"/>
    </xf>
    <xf numFmtId="0" fontId="0" fillId="7" borderId="54" xfId="0" applyFill="1" applyBorder="1" applyAlignment="1">
      <alignment horizontal="right"/>
    </xf>
    <xf numFmtId="0" fontId="8" fillId="7" borderId="55" xfId="0" applyFont="1" applyFill="1" applyBorder="1" applyAlignment="1">
      <alignment horizontal="right"/>
    </xf>
    <xf numFmtId="14" fontId="0" fillId="7" borderId="56" xfId="0" applyNumberFormat="1" applyFill="1" applyBorder="1" applyAlignment="1">
      <alignment horizontal="right"/>
    </xf>
    <xf numFmtId="164" fontId="8" fillId="7" borderId="54" xfId="0" applyNumberFormat="1" applyFont="1" applyFill="1" applyBorder="1" applyAlignment="1">
      <alignment horizontal="right"/>
    </xf>
    <xf numFmtId="14" fontId="0" fillId="7" borderId="55" xfId="0" applyNumberFormat="1" applyFill="1" applyBorder="1" applyAlignment="1">
      <alignment horizontal="right"/>
    </xf>
    <xf numFmtId="0" fontId="8" fillId="7" borderId="56" xfId="0" applyFont="1" applyFill="1" applyBorder="1" applyAlignment="1">
      <alignment horizontal="right"/>
    </xf>
    <xf numFmtId="14" fontId="13" fillId="3" borderId="52" xfId="0" applyNumberFormat="1" applyFont="1" applyFill="1" applyBorder="1" applyAlignment="1">
      <alignment horizontal="right"/>
    </xf>
    <xf numFmtId="0" fontId="13" fillId="9" borderId="58" xfId="0" applyFont="1" applyFill="1" applyBorder="1" applyAlignment="1">
      <alignment horizontal="right"/>
    </xf>
    <xf numFmtId="0" fontId="0" fillId="10" borderId="52" xfId="0" applyFill="1" applyBorder="1" applyAlignment="1">
      <alignment horizontal="right"/>
    </xf>
    <xf numFmtId="0" fontId="13" fillId="9" borderId="52" xfId="0" applyFont="1" applyFill="1" applyBorder="1" applyAlignment="1">
      <alignment horizontal="right" vertical="center"/>
    </xf>
    <xf numFmtId="0" fontId="13" fillId="0" borderId="46" xfId="0" applyFont="1" applyBorder="1" applyAlignment="1">
      <alignment horizontal="right"/>
    </xf>
    <xf numFmtId="0" fontId="14" fillId="0" borderId="46" xfId="0" applyFont="1" applyBorder="1" applyAlignment="1">
      <alignment horizontal="right"/>
    </xf>
    <xf numFmtId="0" fontId="5" fillId="0" borderId="46" xfId="0" applyFont="1" applyBorder="1" applyAlignment="1">
      <alignment horizontal="right"/>
    </xf>
    <xf numFmtId="0" fontId="13" fillId="0" borderId="46" xfId="0" quotePrefix="1" applyFont="1" applyBorder="1" applyAlignment="1">
      <alignment horizontal="right"/>
    </xf>
    <xf numFmtId="0" fontId="13" fillId="2" borderId="57" xfId="0" applyFont="1" applyFill="1" applyBorder="1" applyAlignment="1">
      <alignment horizontal="left" vertical="top"/>
    </xf>
    <xf numFmtId="0" fontId="13" fillId="2" borderId="66" xfId="0" applyFont="1" applyFill="1" applyBorder="1" applyAlignment="1">
      <alignment horizontal="left" vertical="top"/>
    </xf>
    <xf numFmtId="0" fontId="8" fillId="2" borderId="66" xfId="0" applyFont="1" applyFill="1" applyBorder="1" applyAlignment="1">
      <alignment horizontal="left" vertical="top"/>
    </xf>
    <xf numFmtId="0" fontId="13" fillId="2" borderId="58" xfId="0" applyFont="1" applyFill="1" applyBorder="1" applyAlignment="1">
      <alignment horizontal="left" vertical="top"/>
    </xf>
    <xf numFmtId="0" fontId="14" fillId="0" borderId="68" xfId="0" applyFont="1" applyBorder="1" applyAlignment="1">
      <alignment horizontal="right"/>
    </xf>
    <xf numFmtId="0" fontId="13" fillId="0" borderId="68" xfId="0" applyFont="1" applyBorder="1" applyAlignment="1">
      <alignment horizontal="right"/>
    </xf>
    <xf numFmtId="0" fontId="5" fillId="0" borderId="68" xfId="0" applyFont="1" applyBorder="1" applyAlignment="1">
      <alignment horizontal="right"/>
    </xf>
    <xf numFmtId="0" fontId="14" fillId="0" borderId="71" xfId="0" applyFont="1" applyBorder="1" applyAlignment="1">
      <alignment horizontal="right"/>
    </xf>
    <xf numFmtId="0" fontId="13" fillId="0" borderId="71" xfId="0" applyFont="1" applyBorder="1" applyAlignment="1">
      <alignment horizontal="right"/>
    </xf>
    <xf numFmtId="0" fontId="5" fillId="0" borderId="71" xfId="0" applyFont="1" applyBorder="1" applyAlignment="1">
      <alignment horizontal="right"/>
    </xf>
    <xf numFmtId="0" fontId="14" fillId="0" borderId="74" xfId="0" applyFont="1" applyBorder="1" applyAlignment="1">
      <alignment horizontal="right"/>
    </xf>
    <xf numFmtId="0" fontId="13" fillId="0" borderId="74" xfId="0" applyFont="1" applyBorder="1" applyAlignment="1">
      <alignment horizontal="right"/>
    </xf>
    <xf numFmtId="0" fontId="13" fillId="3" borderId="46" xfId="0" applyFont="1" applyFill="1" applyBorder="1"/>
    <xf numFmtId="0" fontId="13" fillId="4" borderId="36" xfId="0" applyFont="1" applyFill="1" applyBorder="1"/>
    <xf numFmtId="0" fontId="10" fillId="4" borderId="36" xfId="0" applyFont="1" applyFill="1" applyBorder="1"/>
    <xf numFmtId="0" fontId="10" fillId="0" borderId="76" xfId="0" applyFont="1" applyBorder="1" applyAlignment="1">
      <alignment horizontal="right"/>
    </xf>
    <xf numFmtId="0" fontId="10" fillId="0" borderId="77" xfId="0" applyFont="1" applyBorder="1" applyAlignment="1">
      <alignment horizontal="right" vertical="center"/>
    </xf>
    <xf numFmtId="0" fontId="13" fillId="0" borderId="77" xfId="0" applyFont="1" applyBorder="1" applyAlignment="1">
      <alignment horizontal="right" vertical="center"/>
    </xf>
    <xf numFmtId="0" fontId="8" fillId="0" borderId="77" xfId="0" applyFont="1" applyBorder="1" applyAlignment="1">
      <alignment horizontal="right" vertical="center"/>
    </xf>
    <xf numFmtId="0" fontId="10" fillId="0" borderId="77" xfId="0" applyFont="1" applyBorder="1" applyAlignment="1">
      <alignment horizontal="right"/>
    </xf>
    <xf numFmtId="0" fontId="13" fillId="0" borderId="78" xfId="0" applyFont="1" applyBorder="1" applyAlignment="1">
      <alignment horizontal="right"/>
    </xf>
    <xf numFmtId="0" fontId="8" fillId="0" borderId="67" xfId="0" applyFont="1" applyBorder="1" applyAlignment="1">
      <alignment horizontal="right"/>
    </xf>
    <xf numFmtId="2" fontId="13" fillId="0" borderId="68" xfId="0" applyNumberFormat="1" applyFont="1" applyBorder="1" applyAlignment="1">
      <alignment horizontal="right"/>
    </xf>
    <xf numFmtId="0" fontId="16" fillId="0" borderId="68" xfId="0" applyFont="1" applyBorder="1" applyAlignment="1">
      <alignment horizontal="right"/>
    </xf>
    <xf numFmtId="0" fontId="8" fillId="0" borderId="73" xfId="0" applyFont="1" applyBorder="1" applyAlignment="1">
      <alignment horizontal="right"/>
    </xf>
    <xf numFmtId="2" fontId="13" fillId="0" borderId="74" xfId="0" applyNumberFormat="1" applyFont="1" applyBorder="1" applyAlignment="1">
      <alignment horizontal="right"/>
    </xf>
    <xf numFmtId="0" fontId="16" fillId="0" borderId="74" xfId="0" applyFont="1" applyBorder="1" applyAlignment="1">
      <alignment horizontal="right"/>
    </xf>
    <xf numFmtId="0" fontId="8" fillId="0" borderId="70" xfId="0" applyFont="1" applyBorder="1" applyAlignment="1">
      <alignment horizontal="right"/>
    </xf>
    <xf numFmtId="2" fontId="13" fillId="0" borderId="71" xfId="0" applyNumberFormat="1" applyFont="1" applyBorder="1" applyAlignment="1">
      <alignment horizontal="right"/>
    </xf>
    <xf numFmtId="0" fontId="16" fillId="0" borderId="71" xfId="0" applyFont="1" applyBorder="1" applyAlignment="1">
      <alignment horizontal="right"/>
    </xf>
    <xf numFmtId="0" fontId="13" fillId="0" borderId="75" xfId="0" applyFont="1" applyBorder="1" applyAlignment="1">
      <alignment horizontal="right"/>
    </xf>
    <xf numFmtId="0" fontId="13" fillId="0" borderId="69" xfId="0" applyFont="1" applyBorder="1" applyAlignment="1">
      <alignment horizontal="right"/>
    </xf>
    <xf numFmtId="0" fontId="13" fillId="0" borderId="72" xfId="0" applyFont="1" applyBorder="1" applyAlignment="1">
      <alignment horizontal="right"/>
    </xf>
    <xf numFmtId="0" fontId="4" fillId="0" borderId="74" xfId="0" applyFont="1" applyBorder="1" applyAlignment="1">
      <alignment horizontal="right"/>
    </xf>
    <xf numFmtId="0" fontId="4" fillId="0" borderId="67" xfId="0" applyFont="1" applyBorder="1" applyAlignment="1">
      <alignment horizontal="right"/>
    </xf>
    <xf numFmtId="0" fontId="13" fillId="10" borderId="68" xfId="0" applyFont="1" applyFill="1" applyBorder="1" applyAlignment="1">
      <alignment horizontal="right"/>
    </xf>
    <xf numFmtId="2" fontId="13" fillId="10" borderId="74" xfId="0" applyNumberFormat="1" applyFont="1" applyFill="1" applyBorder="1" applyAlignment="1">
      <alignment horizontal="right"/>
    </xf>
    <xf numFmtId="2" fontId="13" fillId="10" borderId="71" xfId="0" applyNumberFormat="1" applyFont="1" applyFill="1" applyBorder="1" applyAlignment="1">
      <alignment horizontal="right"/>
    </xf>
    <xf numFmtId="0" fontId="13" fillId="3" borderId="46" xfId="0" applyFont="1" applyFill="1" applyBorder="1" applyAlignment="1">
      <alignment horizontal="center" vertical="center"/>
    </xf>
    <xf numFmtId="0" fontId="10" fillId="0" borderId="67" xfId="0" applyFont="1" applyBorder="1" applyAlignment="1">
      <alignment horizontal="right"/>
    </xf>
    <xf numFmtId="2" fontId="10" fillId="0" borderId="68" xfId="0" applyNumberFormat="1" applyFont="1" applyBorder="1" applyAlignment="1">
      <alignment horizontal="right"/>
    </xf>
    <xf numFmtId="0" fontId="10" fillId="0" borderId="68" xfId="0" applyFont="1" applyBorder="1" applyAlignment="1">
      <alignment horizontal="right"/>
    </xf>
    <xf numFmtId="0" fontId="10" fillId="0" borderId="73" xfId="0" applyFont="1" applyBorder="1" applyAlignment="1">
      <alignment horizontal="right"/>
    </xf>
    <xf numFmtId="2" fontId="10" fillId="0" borderId="74" xfId="0" applyNumberFormat="1" applyFont="1" applyBorder="1" applyAlignment="1">
      <alignment horizontal="right"/>
    </xf>
    <xf numFmtId="0" fontId="10" fillId="0" borderId="74" xfId="0" applyFont="1" applyBorder="1" applyAlignment="1">
      <alignment horizontal="right"/>
    </xf>
    <xf numFmtId="0" fontId="7" fillId="0" borderId="74" xfId="0" applyFont="1" applyBorder="1" applyAlignment="1">
      <alignment horizontal="right"/>
    </xf>
    <xf numFmtId="0" fontId="10" fillId="0" borderId="70" xfId="0" applyFont="1" applyBorder="1" applyAlignment="1">
      <alignment horizontal="right"/>
    </xf>
    <xf numFmtId="2" fontId="10" fillId="0" borderId="71" xfId="0" applyNumberFormat="1" applyFont="1" applyBorder="1" applyAlignment="1">
      <alignment horizontal="right"/>
    </xf>
    <xf numFmtId="0" fontId="10" fillId="0" borderId="71" xfId="0" applyFont="1" applyBorder="1" applyAlignment="1">
      <alignment horizontal="right"/>
    </xf>
    <xf numFmtId="0" fontId="7" fillId="0" borderId="71" xfId="0" applyFont="1" applyBorder="1" applyAlignment="1">
      <alignment horizontal="right"/>
    </xf>
    <xf numFmtId="0" fontId="13" fillId="0" borderId="73" xfId="0" applyFont="1" applyBorder="1" applyAlignment="1">
      <alignment horizontal="left" vertical="top"/>
    </xf>
    <xf numFmtId="164" fontId="13" fillId="0" borderId="74" xfId="0" applyNumberFormat="1" applyFont="1" applyBorder="1" applyAlignment="1">
      <alignment horizontal="right"/>
    </xf>
    <xf numFmtId="0" fontId="0" fillId="0" borderId="74" xfId="0" applyBorder="1" applyAlignment="1">
      <alignment horizontal="right"/>
    </xf>
    <xf numFmtId="0" fontId="13" fillId="0" borderId="70" xfId="0" applyFont="1" applyBorder="1" applyAlignment="1">
      <alignment horizontal="left" vertical="top"/>
    </xf>
    <xf numFmtId="164" fontId="13" fillId="0" borderId="71" xfId="0" applyNumberFormat="1" applyFont="1" applyBorder="1" applyAlignment="1">
      <alignment horizontal="right"/>
    </xf>
    <xf numFmtId="0" fontId="0" fillId="0" borderId="71" xfId="0" applyBorder="1" applyAlignment="1">
      <alignment horizontal="right"/>
    </xf>
    <xf numFmtId="0" fontId="13" fillId="0" borderId="75" xfId="0" applyFont="1" applyBorder="1" applyAlignment="1">
      <alignment horizontal="right" vertical="top"/>
    </xf>
    <xf numFmtId="0" fontId="13" fillId="0" borderId="72" xfId="0" applyFont="1" applyBorder="1" applyAlignment="1">
      <alignment horizontal="right" vertical="top"/>
    </xf>
    <xf numFmtId="0" fontId="13" fillId="11" borderId="49" xfId="0" applyFont="1" applyFill="1" applyBorder="1" applyAlignment="1">
      <alignment vertical="top" wrapText="1"/>
    </xf>
    <xf numFmtId="0" fontId="13" fillId="11" borderId="49" xfId="0" applyFont="1" applyFill="1" applyBorder="1" applyAlignment="1">
      <alignment horizontal="left" vertical="top" wrapText="1"/>
    </xf>
    <xf numFmtId="0" fontId="3" fillId="0" borderId="74" xfId="0" applyFont="1" applyBorder="1" applyAlignment="1">
      <alignment horizontal="right"/>
    </xf>
    <xf numFmtId="0" fontId="3" fillId="0" borderId="68" xfId="0" applyFont="1" applyBorder="1" applyAlignment="1">
      <alignment horizontal="right"/>
    </xf>
    <xf numFmtId="0" fontId="3" fillId="0" borderId="71" xfId="0" applyFont="1" applyBorder="1" applyAlignment="1">
      <alignment horizontal="right"/>
    </xf>
    <xf numFmtId="0" fontId="3" fillId="7" borderId="55" xfId="0" applyFont="1" applyFill="1" applyBorder="1" applyAlignment="1">
      <alignment horizontal="right"/>
    </xf>
    <xf numFmtId="0" fontId="14" fillId="10" borderId="74" xfId="0" applyFont="1" applyFill="1" applyBorder="1" applyAlignment="1">
      <alignment horizontal="right"/>
    </xf>
    <xf numFmtId="0" fontId="13" fillId="10" borderId="73" xfId="0" applyFont="1" applyFill="1" applyBorder="1" applyAlignment="1">
      <alignment horizontal="right"/>
    </xf>
    <xf numFmtId="0" fontId="13" fillId="10" borderId="67" xfId="0" applyFont="1" applyFill="1" applyBorder="1" applyAlignment="1">
      <alignment horizontal="right"/>
    </xf>
    <xf numFmtId="0" fontId="14" fillId="10" borderId="68" xfId="0" applyFont="1" applyFill="1" applyBorder="1" applyAlignment="1">
      <alignment horizontal="right"/>
    </xf>
    <xf numFmtId="0" fontId="13" fillId="10" borderId="70" xfId="0" applyFont="1" applyFill="1" applyBorder="1" applyAlignment="1">
      <alignment horizontal="right"/>
    </xf>
    <xf numFmtId="0" fontId="14" fillId="10" borderId="71" xfId="0" applyFont="1" applyFill="1" applyBorder="1" applyAlignment="1">
      <alignment horizontal="right"/>
    </xf>
    <xf numFmtId="0" fontId="13" fillId="4" borderId="46" xfId="0" applyFont="1" applyFill="1" applyBorder="1" applyAlignment="1">
      <alignment horizontal="center"/>
    </xf>
    <xf numFmtId="0" fontId="13" fillId="8" borderId="46" xfId="0" applyFont="1" applyFill="1" applyBorder="1" applyAlignment="1">
      <alignment horizontal="right"/>
    </xf>
    <xf numFmtId="0" fontId="10" fillId="8" borderId="46" xfId="0" applyFont="1" applyFill="1" applyBorder="1" applyAlignment="1">
      <alignment horizontal="right"/>
    </xf>
    <xf numFmtId="0" fontId="10" fillId="0" borderId="46" xfId="0" applyFont="1" applyBorder="1"/>
    <xf numFmtId="0" fontId="13" fillId="2" borderId="54" xfId="0" applyFont="1" applyFill="1" applyBorder="1" applyAlignment="1">
      <alignment horizontal="left" vertical="top"/>
    </xf>
    <xf numFmtId="0" fontId="13" fillId="2" borderId="55" xfId="0" applyFont="1" applyFill="1" applyBorder="1" applyAlignment="1">
      <alignment horizontal="left" vertical="top"/>
    </xf>
    <xf numFmtId="0" fontId="13" fillId="2" borderId="56" xfId="0" applyFont="1" applyFill="1" applyBorder="1" applyAlignment="1">
      <alignment horizontal="left" vertical="top"/>
    </xf>
    <xf numFmtId="0" fontId="13" fillId="10" borderId="57" xfId="0" applyFont="1" applyFill="1" applyBorder="1" applyAlignment="1">
      <alignment horizontal="right" vertical="top"/>
    </xf>
    <xf numFmtId="0" fontId="13" fillId="10" borderId="66" xfId="0" applyFont="1" applyFill="1" applyBorder="1" applyAlignment="1">
      <alignment horizontal="right" vertical="top"/>
    </xf>
    <xf numFmtId="0" fontId="13" fillId="10" borderId="58" xfId="0" applyFont="1" applyFill="1" applyBorder="1" applyAlignment="1">
      <alignment horizontal="right" vertical="top"/>
    </xf>
    <xf numFmtId="0" fontId="13" fillId="10" borderId="51" xfId="0" applyFont="1" applyFill="1" applyBorder="1" applyAlignment="1">
      <alignment horizontal="right" vertical="top"/>
    </xf>
    <xf numFmtId="0" fontId="13" fillId="10" borderId="46" xfId="0" applyFont="1" applyFill="1" applyBorder="1" applyAlignment="1">
      <alignment horizontal="right" vertical="top"/>
    </xf>
    <xf numFmtId="0" fontId="13" fillId="10" borderId="52" xfId="0" applyFont="1" applyFill="1" applyBorder="1" applyAlignment="1">
      <alignment horizontal="right" vertical="top"/>
    </xf>
    <xf numFmtId="0" fontId="13" fillId="10" borderId="59" xfId="0" applyFont="1" applyFill="1" applyBorder="1" applyAlignment="1">
      <alignment horizontal="right" vertical="top"/>
    </xf>
    <xf numFmtId="0" fontId="13" fillId="10" borderId="79" xfId="0" applyFont="1" applyFill="1" applyBorder="1" applyAlignment="1">
      <alignment horizontal="right" vertical="top"/>
    </xf>
    <xf numFmtId="0" fontId="13" fillId="10" borderId="60" xfId="0" applyFont="1" applyFill="1" applyBorder="1" applyAlignment="1">
      <alignment horizontal="right" vertical="top"/>
    </xf>
    <xf numFmtId="0" fontId="13" fillId="0" borderId="75" xfId="0" quotePrefix="1" applyFont="1" applyBorder="1" applyAlignment="1">
      <alignment horizontal="right"/>
    </xf>
    <xf numFmtId="0" fontId="13" fillId="0" borderId="69" xfId="0" quotePrefix="1" applyFont="1" applyBorder="1" applyAlignment="1">
      <alignment horizontal="right"/>
    </xf>
    <xf numFmtId="0" fontId="13" fillId="0" borderId="72" xfId="0" quotePrefix="1" applyFont="1" applyBorder="1" applyAlignment="1">
      <alignment horizontal="right"/>
    </xf>
    <xf numFmtId="3" fontId="13" fillId="0" borderId="56" xfId="0" applyNumberFormat="1" applyFont="1" applyBorder="1" applyAlignment="1">
      <alignment horizontal="right"/>
    </xf>
    <xf numFmtId="0" fontId="13" fillId="10" borderId="74" xfId="0" applyFont="1" applyFill="1" applyBorder="1" applyAlignment="1">
      <alignment horizontal="right"/>
    </xf>
    <xf numFmtId="0" fontId="13" fillId="10" borderId="71" xfId="0" applyFont="1" applyFill="1" applyBorder="1" applyAlignment="1">
      <alignment horizontal="right"/>
    </xf>
    <xf numFmtId="0" fontId="2" fillId="0" borderId="0" xfId="0" applyFont="1" applyAlignment="1">
      <alignment vertical="top" wrapText="1"/>
    </xf>
    <xf numFmtId="0" fontId="9" fillId="12" borderId="80" xfId="0" applyFont="1" applyFill="1" applyBorder="1" applyAlignment="1">
      <alignment wrapText="1"/>
    </xf>
    <xf numFmtId="0" fontId="2" fillId="0" borderId="0" xfId="0" applyFont="1" applyAlignment="1">
      <alignment wrapText="1"/>
    </xf>
    <xf numFmtId="0" fontId="13" fillId="9" borderId="52" xfId="0" applyFont="1" applyFill="1" applyBorder="1" applyAlignment="1">
      <alignment horizontal="right"/>
    </xf>
    <xf numFmtId="0" fontId="13" fillId="9" borderId="52" xfId="0" applyFont="1" applyFill="1" applyBorder="1" applyAlignment="1">
      <alignment horizontal="right" wrapText="1"/>
    </xf>
  </cellXfs>
  <cellStyles count="3">
    <cellStyle name="Normal" xfId="0" builtinId="0"/>
    <cellStyle name="Normal 2" xfId="1" xr:uid="{15B5984B-4EE4-4A35-88CA-1D33B63AE2B6}"/>
    <cellStyle name="Normal 3" xfId="2" xr:uid="{7C563AEF-23D3-44EC-9B75-1875D07570A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customschemas.google.com/relationships/workbookmetadata" Target="metadata"/><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2687782</xdr:colOff>
      <xdr:row>27</xdr:row>
      <xdr:rowOff>110837</xdr:rowOff>
    </xdr:from>
    <xdr:to>
      <xdr:col>13</xdr:col>
      <xdr:colOff>502227</xdr:colOff>
      <xdr:row>42</xdr:row>
      <xdr:rowOff>174915</xdr:rowOff>
    </xdr:to>
    <xdr:pic>
      <xdr:nvPicPr>
        <xdr:cNvPr id="3" name="Picture 2">
          <a:extLst>
            <a:ext uri="{FF2B5EF4-FFF2-40B4-BE49-F238E27FC236}">
              <a16:creationId xmlns:a16="http://schemas.microsoft.com/office/drawing/2014/main" id="{F1BF4C6C-D171-41D9-42AE-D5713959EA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46800" y="7315201"/>
          <a:ext cx="6667500" cy="40957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5F92A5E4-D1B0-4502-9388-24C7F1024A3A}"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5" dT="2026-04-24T15:43:06.30" personId="{5F92A5E4-D1B0-4502-9388-24C7F1024A3A}" id="{72B43040-DB0E-488A-8C10-8DFBF5946FB5}">
    <text>UID and alias consistency</text>
  </threadedComment>
</ThreadedComments>
</file>

<file path=xl/threadedComments/threadedComment2.xml><?xml version="1.0" encoding="utf-8"?>
<ThreadedComments xmlns="http://schemas.microsoft.com/office/spreadsheetml/2018/threadedcomments" xmlns:x="http://schemas.openxmlformats.org/spreadsheetml/2006/main">
  <threadedComment ref="C36" dT="2026-04-24T15:43:42.80" personId="{5F92A5E4-D1B0-4502-9388-24C7F1024A3A}" id="{CC85E01B-A5C6-45C2-A28F-AFE2A14CD384}">
    <text>Name not clear</text>
  </threadedComment>
</ThreadedComments>
</file>

<file path=xl/threadedComments/threadedComment3.xml><?xml version="1.0" encoding="utf-8"?>
<ThreadedComments xmlns="http://schemas.microsoft.com/office/spreadsheetml/2018/threadedcomments" xmlns:x="http://schemas.openxmlformats.org/spreadsheetml/2006/main">
  <threadedComment ref="K24" dT="2026-05-05T12:48:35.20" personId="{5F92A5E4-D1B0-4502-9388-24C7F1024A3A}" id="{2F5C55B9-10AC-419A-9659-3A10F04E1F70}">
    <text>Constant cp assumed</text>
  </threadedComment>
  <threadedComment ref="M24" dT="2026-05-05T12:49:13.38" personId="{5F92A5E4-D1B0-4502-9388-24C7F1024A3A}" id="{4E777E8F-C1BF-4C81-9872-422F39716C73}">
    <text>Computed from Q=m*cp*dT</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6" sqref="B16"/>
    </sheetView>
  </sheetViews>
  <sheetFormatPr defaultColWidth="14.44140625" defaultRowHeight="15" customHeight="1" x14ac:dyDescent="0.3"/>
  <cols>
    <col min="1" max="1" width="18.109375" bestFit="1" customWidth="1"/>
    <col min="2" max="2" width="255.77734375" style="134" customWidth="1"/>
    <col min="3" max="3" width="29.44140625" customWidth="1"/>
  </cols>
  <sheetData>
    <row r="2" spans="1:2" ht="37.799999999999997" customHeight="1" x14ac:dyDescent="0.3">
      <c r="A2" s="82" t="s">
        <v>0</v>
      </c>
      <c r="B2" s="135" t="s">
        <v>1</v>
      </c>
    </row>
    <row r="3" spans="1:2" ht="15" customHeight="1" x14ac:dyDescent="0.3">
      <c r="A3" s="132"/>
      <c r="B3" s="133"/>
    </row>
    <row r="4" spans="1:2" ht="23.55" customHeight="1" x14ac:dyDescent="0.3">
      <c r="A4" s="82" t="s">
        <v>123</v>
      </c>
      <c r="B4" s="136" t="s">
        <v>124</v>
      </c>
    </row>
    <row r="5" spans="1:2" ht="14.4" x14ac:dyDescent="0.3">
      <c r="A5" s="132"/>
      <c r="B5" s="133"/>
    </row>
    <row r="6" spans="1:2" ht="72.45" customHeight="1" x14ac:dyDescent="0.3">
      <c r="A6" s="82" t="s">
        <v>2</v>
      </c>
      <c r="B6" s="136" t="s">
        <v>125</v>
      </c>
    </row>
    <row r="7" spans="1:2" ht="14.4" x14ac:dyDescent="0.3">
      <c r="A7" s="132"/>
      <c r="B7" s="133"/>
    </row>
    <row r="8" spans="1:2" ht="39.450000000000003" customHeight="1" x14ac:dyDescent="0.3">
      <c r="A8" s="82" t="s">
        <v>3</v>
      </c>
      <c r="B8" s="135" t="s">
        <v>4</v>
      </c>
    </row>
    <row r="9" spans="1:2" ht="14.4" x14ac:dyDescent="0.3">
      <c r="A9" s="132"/>
      <c r="B9" s="133"/>
    </row>
    <row r="10" spans="1:2" ht="55.8" customHeight="1" x14ac:dyDescent="0.3">
      <c r="A10" s="82" t="s">
        <v>5</v>
      </c>
      <c r="B10" s="136"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80" zoomScaleNormal="5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84"/>
  </cols>
  <sheetData>
    <row r="1" spans="1:4" ht="14.4" x14ac:dyDescent="0.3">
      <c r="A1" s="118" t="s">
        <v>66</v>
      </c>
      <c r="B1" s="164"/>
      <c r="C1" s="2"/>
      <c r="D1" s="11" t="s">
        <v>101</v>
      </c>
    </row>
    <row r="2" spans="1:4" ht="14.4" x14ac:dyDescent="0.3">
      <c r="A2" s="119" t="s">
        <v>67</v>
      </c>
      <c r="B2" s="120" t="s">
        <v>157</v>
      </c>
      <c r="D2" s="137" t="s">
        <v>6</v>
      </c>
    </row>
    <row r="3" spans="1:4" ht="14.4" x14ac:dyDescent="0.3">
      <c r="A3" s="119" t="s">
        <v>68</v>
      </c>
      <c r="B3" s="120" t="s">
        <v>158</v>
      </c>
      <c r="C3" s="84"/>
      <c r="D3" s="138" t="s">
        <v>132</v>
      </c>
    </row>
    <row r="4" spans="1:4" ht="14.4" x14ac:dyDescent="0.3">
      <c r="A4" s="119" t="s">
        <v>80</v>
      </c>
      <c r="B4" s="120" t="s">
        <v>81</v>
      </c>
      <c r="C4" s="84"/>
      <c r="D4" s="138" t="s">
        <v>133</v>
      </c>
    </row>
    <row r="5" spans="1:4" ht="14.4" x14ac:dyDescent="0.3">
      <c r="A5" s="119" t="s">
        <v>71</v>
      </c>
      <c r="B5" s="163" t="s">
        <v>159</v>
      </c>
      <c r="C5" s="84"/>
      <c r="D5" s="137" t="s">
        <v>9</v>
      </c>
    </row>
    <row r="6" spans="1:4" ht="14.4" x14ac:dyDescent="0.3">
      <c r="A6" s="119" t="s">
        <v>75</v>
      </c>
      <c r="B6" s="163" t="s">
        <v>159</v>
      </c>
      <c r="C6" s="84"/>
      <c r="D6" s="137" t="s">
        <v>13</v>
      </c>
    </row>
    <row r="7" spans="1:4" ht="14.4" x14ac:dyDescent="0.3">
      <c r="A7" s="119" t="s">
        <v>83</v>
      </c>
      <c r="B7" s="120" t="s">
        <v>84</v>
      </c>
      <c r="D7" s="138" t="s">
        <v>134</v>
      </c>
    </row>
    <row r="8" spans="1:4" ht="14.4" x14ac:dyDescent="0.3">
      <c r="A8" s="119" t="s">
        <v>69</v>
      </c>
      <c r="B8" s="121" t="s">
        <v>94</v>
      </c>
      <c r="C8" s="84"/>
      <c r="D8" s="138" t="s">
        <v>130</v>
      </c>
    </row>
    <row r="9" spans="1:4" ht="14.4" x14ac:dyDescent="0.3">
      <c r="A9" s="119" t="s">
        <v>70</v>
      </c>
      <c r="B9" s="120" t="s">
        <v>8</v>
      </c>
      <c r="C9" s="84"/>
      <c r="D9" s="138" t="s">
        <v>131</v>
      </c>
    </row>
    <row r="10" spans="1:4" ht="14.4" x14ac:dyDescent="0.3">
      <c r="A10" s="119" t="s">
        <v>102</v>
      </c>
      <c r="B10" s="117">
        <v>1</v>
      </c>
      <c r="D10" s="138" t="s">
        <v>135</v>
      </c>
    </row>
    <row r="11" spans="1:4" ht="14.4" x14ac:dyDescent="0.3">
      <c r="A11" s="119" t="s">
        <v>73</v>
      </c>
      <c r="B11" s="120" t="s">
        <v>10</v>
      </c>
      <c r="C11" s="84"/>
      <c r="D11" s="138" t="s">
        <v>136</v>
      </c>
    </row>
    <row r="12" spans="1:4" ht="28.8" x14ac:dyDescent="0.3">
      <c r="A12" s="122" t="s">
        <v>77</v>
      </c>
      <c r="B12" s="166" t="s">
        <v>163</v>
      </c>
      <c r="C12" s="1"/>
      <c r="D12" s="138" t="s">
        <v>137</v>
      </c>
    </row>
    <row r="13" spans="1:4" ht="21.45" customHeight="1" x14ac:dyDescent="0.3">
      <c r="A13" s="122" t="s">
        <v>43</v>
      </c>
      <c r="B13" s="120">
        <v>9</v>
      </c>
      <c r="C13" s="1"/>
      <c r="D13" s="138" t="s">
        <v>138</v>
      </c>
    </row>
    <row r="14" spans="1:4" ht="14.4" x14ac:dyDescent="0.3">
      <c r="A14" s="119" t="s">
        <v>76</v>
      </c>
      <c r="B14" s="266" t="s">
        <v>160</v>
      </c>
      <c r="C14" s="83"/>
      <c r="D14" s="137" t="s">
        <v>14</v>
      </c>
    </row>
    <row r="15" spans="1:4" ht="14.4" x14ac:dyDescent="0.3">
      <c r="A15" s="122" t="s">
        <v>15</v>
      </c>
      <c r="B15" s="123" t="s">
        <v>161</v>
      </c>
      <c r="C15" s="1"/>
      <c r="D15" s="137" t="s">
        <v>128</v>
      </c>
    </row>
    <row r="16" spans="1:4" ht="14.4" x14ac:dyDescent="0.3">
      <c r="A16" s="122" t="s">
        <v>78</v>
      </c>
      <c r="B16" s="165"/>
      <c r="C16" s="1"/>
      <c r="D16" s="137" t="s">
        <v>127</v>
      </c>
    </row>
    <row r="17" spans="1:4" ht="14.4" x14ac:dyDescent="0.3">
      <c r="A17" s="122" t="s">
        <v>82</v>
      </c>
      <c r="B17" s="165"/>
      <c r="C17" s="1"/>
      <c r="D17" s="138" t="s">
        <v>139</v>
      </c>
    </row>
    <row r="18" spans="1:4" ht="20.55" customHeight="1" x14ac:dyDescent="0.3">
      <c r="A18" s="119" t="s">
        <v>72</v>
      </c>
      <c r="B18" s="267" t="s">
        <v>382</v>
      </c>
      <c r="C18" s="84"/>
      <c r="D18" s="138" t="s">
        <v>140</v>
      </c>
    </row>
    <row r="19" spans="1:4" ht="14.4" x14ac:dyDescent="0.3">
      <c r="A19" s="119" t="s">
        <v>74</v>
      </c>
      <c r="B19" s="120" t="s">
        <v>153</v>
      </c>
      <c r="C19" s="84"/>
      <c r="D19" s="137" t="s">
        <v>11</v>
      </c>
    </row>
    <row r="20" spans="1:4" ht="14.4" x14ac:dyDescent="0.3">
      <c r="A20" s="119" t="s">
        <v>99</v>
      </c>
      <c r="B20" s="120" t="s">
        <v>153</v>
      </c>
      <c r="C20" s="84"/>
      <c r="D20" s="138" t="s">
        <v>141</v>
      </c>
    </row>
    <row r="21" spans="1:4" ht="15.75" customHeight="1" x14ac:dyDescent="0.3">
      <c r="A21" s="122" t="s">
        <v>79</v>
      </c>
      <c r="B21" s="120" t="s">
        <v>162</v>
      </c>
      <c r="C21" s="1"/>
      <c r="D21" s="138" t="s">
        <v>142</v>
      </c>
    </row>
    <row r="22" spans="1:4" ht="14.4" x14ac:dyDescent="0.3">
      <c r="A22" s="119" t="s">
        <v>12</v>
      </c>
      <c r="B22" s="165"/>
      <c r="C22" s="84"/>
      <c r="D22" s="138" t="s">
        <v>143</v>
      </c>
    </row>
    <row r="23" spans="1:4" ht="15.75" customHeight="1" thickBot="1" x14ac:dyDescent="0.35">
      <c r="A23" s="124" t="s">
        <v>85</v>
      </c>
      <c r="B23" s="125" t="s">
        <v>97</v>
      </c>
      <c r="C23" s="1"/>
      <c r="D23" s="138" t="s">
        <v>129</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56"/>
  <sheetViews>
    <sheetView showGridLines="0" zoomScale="70" zoomScaleNormal="70" workbookViewId="0">
      <selection activeCell="C8" sqref="C8"/>
    </sheetView>
  </sheetViews>
  <sheetFormatPr defaultColWidth="14.44140625" defaultRowHeight="15" customHeight="1" x14ac:dyDescent="0.3"/>
  <cols>
    <col min="1" max="1" width="42.6640625" style="81" customWidth="1"/>
    <col min="2" max="2" width="19.44140625" style="81" bestFit="1" customWidth="1"/>
    <col min="3" max="3" width="17.33203125" style="81" customWidth="1"/>
    <col min="4" max="4" width="20.109375" style="81" bestFit="1" customWidth="1"/>
    <col min="5" max="5" width="19.44140625" style="81" bestFit="1" customWidth="1"/>
    <col min="6" max="6" width="23.44140625" style="81" customWidth="1"/>
    <col min="7" max="7" width="27" style="81" customWidth="1"/>
    <col min="8" max="8" width="23.44140625" style="81" customWidth="1"/>
    <col min="9" max="9" width="33.109375" style="81" bestFit="1" customWidth="1"/>
    <col min="10" max="10" width="27" style="81"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1" spans="1:16" ht="15" customHeight="1" thickBot="1" x14ac:dyDescent="0.35"/>
    <row r="2" spans="1:16" thickBot="1" x14ac:dyDescent="0.35">
      <c r="A2" s="11" t="s">
        <v>65</v>
      </c>
      <c r="B2" s="4"/>
      <c r="C2" s="4"/>
      <c r="D2" s="4"/>
      <c r="E2" s="4"/>
      <c r="F2" s="4"/>
      <c r="G2" s="4"/>
      <c r="H2" s="4"/>
      <c r="I2" s="4"/>
      <c r="J2" s="4"/>
      <c r="K2" s="3"/>
      <c r="L2" s="5"/>
      <c r="M2" s="6"/>
      <c r="N2" s="6"/>
      <c r="O2" s="6"/>
      <c r="P2" s="6"/>
    </row>
    <row r="3" spans="1:16" thickBot="1" x14ac:dyDescent="0.35">
      <c r="A3" s="97" t="s">
        <v>16</v>
      </c>
      <c r="B3" s="98"/>
      <c r="C3" s="98"/>
      <c r="D3" s="98"/>
      <c r="E3" s="98"/>
      <c r="F3" s="98"/>
      <c r="G3" s="98"/>
      <c r="H3" s="98"/>
      <c r="I3" s="98"/>
      <c r="J3" s="98"/>
      <c r="K3" s="129"/>
      <c r="L3" s="130"/>
      <c r="M3" s="6"/>
      <c r="N3" s="6"/>
      <c r="O3" s="6"/>
      <c r="P3" s="6"/>
    </row>
    <row r="4" spans="1:16" thickBot="1" x14ac:dyDescent="0.35">
      <c r="A4" s="171" t="s">
        <v>100</v>
      </c>
      <c r="B4" s="172" t="s">
        <v>17</v>
      </c>
      <c r="C4" s="172" t="s">
        <v>18</v>
      </c>
      <c r="D4" s="172" t="s">
        <v>148</v>
      </c>
      <c r="E4" s="172" t="s">
        <v>20</v>
      </c>
      <c r="F4" s="173" t="s">
        <v>21</v>
      </c>
      <c r="G4" s="172" t="s">
        <v>22</v>
      </c>
      <c r="H4" s="172" t="s">
        <v>23</v>
      </c>
      <c r="I4" s="172" t="s">
        <v>24</v>
      </c>
      <c r="J4" s="172" t="s">
        <v>25</v>
      </c>
      <c r="K4" s="172" t="s">
        <v>26</v>
      </c>
      <c r="L4" s="174" t="s">
        <v>15</v>
      </c>
      <c r="M4" s="5"/>
      <c r="N4" s="6"/>
      <c r="O4" s="6"/>
      <c r="P4" s="6"/>
    </row>
    <row r="5" spans="1:16" thickBot="1" x14ac:dyDescent="0.35">
      <c r="A5" s="236" t="s">
        <v>303</v>
      </c>
      <c r="B5" s="235" t="s">
        <v>304</v>
      </c>
      <c r="C5" s="181" t="s">
        <v>378</v>
      </c>
      <c r="D5" s="181" t="s">
        <v>255</v>
      </c>
      <c r="E5" s="182">
        <v>25</v>
      </c>
      <c r="F5" s="204" t="s">
        <v>263</v>
      </c>
      <c r="G5" s="182">
        <v>1</v>
      </c>
      <c r="H5" s="182" t="s">
        <v>319</v>
      </c>
      <c r="I5" s="182">
        <v>1</v>
      </c>
      <c r="J5" s="182" t="s">
        <v>318</v>
      </c>
      <c r="K5" s="182" t="s">
        <v>379</v>
      </c>
      <c r="L5" s="257" t="s">
        <v>380</v>
      </c>
      <c r="M5" s="81"/>
      <c r="N5" s="6"/>
      <c r="O5" s="6"/>
      <c r="P5" s="6"/>
    </row>
    <row r="6" spans="1:16" thickBot="1" x14ac:dyDescent="0.35">
      <c r="A6" s="237" t="s">
        <v>306</v>
      </c>
      <c r="B6" s="238" t="s">
        <v>307</v>
      </c>
      <c r="C6" s="175" t="s">
        <v>306</v>
      </c>
      <c r="D6" s="175" t="s">
        <v>255</v>
      </c>
      <c r="E6" s="176" t="s">
        <v>27</v>
      </c>
      <c r="F6" s="177" t="s">
        <v>27</v>
      </c>
      <c r="G6" s="176" t="s">
        <v>27</v>
      </c>
      <c r="H6" s="176" t="s">
        <v>27</v>
      </c>
      <c r="I6" s="176" t="s">
        <v>27</v>
      </c>
      <c r="J6" s="176" t="s">
        <v>27</v>
      </c>
      <c r="K6" s="176" t="s">
        <v>27</v>
      </c>
      <c r="L6" s="258" t="s">
        <v>322</v>
      </c>
      <c r="M6" s="81"/>
      <c r="N6" s="6"/>
      <c r="O6" s="6"/>
      <c r="P6" s="6"/>
    </row>
    <row r="7" spans="1:16" thickBot="1" x14ac:dyDescent="0.35">
      <c r="A7" s="239" t="s">
        <v>308</v>
      </c>
      <c r="B7" s="240" t="s">
        <v>309</v>
      </c>
      <c r="C7" s="178" t="s">
        <v>384</v>
      </c>
      <c r="D7" s="178" t="s">
        <v>289</v>
      </c>
      <c r="E7" s="179">
        <v>25</v>
      </c>
      <c r="F7" s="180" t="s">
        <v>263</v>
      </c>
      <c r="G7" s="179">
        <v>1</v>
      </c>
      <c r="H7" s="179" t="s">
        <v>319</v>
      </c>
      <c r="I7" s="179">
        <v>1</v>
      </c>
      <c r="J7" s="179" t="s">
        <v>318</v>
      </c>
      <c r="K7" s="179" t="s">
        <v>320</v>
      </c>
      <c r="L7" s="259" t="s">
        <v>381</v>
      </c>
      <c r="M7" s="81"/>
      <c r="N7" s="6"/>
      <c r="O7" s="6"/>
      <c r="P7" s="6"/>
    </row>
    <row r="8" spans="1:16" thickBot="1" x14ac:dyDescent="0.35">
      <c r="A8" s="167"/>
      <c r="B8" s="168"/>
      <c r="C8" s="168"/>
      <c r="D8" s="168"/>
      <c r="E8" s="167"/>
      <c r="F8" s="169"/>
      <c r="G8" s="167"/>
      <c r="H8" s="167"/>
      <c r="I8" s="167"/>
      <c r="J8" s="167"/>
      <c r="K8" s="167"/>
      <c r="L8" s="170"/>
      <c r="M8" s="81"/>
      <c r="N8" s="6"/>
      <c r="O8" s="6"/>
      <c r="P8" s="6"/>
    </row>
    <row r="9" spans="1:16" thickBot="1" x14ac:dyDescent="0.35">
      <c r="A9" s="8"/>
      <c r="B9" s="8"/>
      <c r="C9" s="8"/>
      <c r="D9" s="8"/>
      <c r="E9" s="8"/>
      <c r="F9" s="8"/>
      <c r="G9" s="8"/>
      <c r="H9" s="8"/>
      <c r="I9" s="9"/>
      <c r="J9" s="10"/>
      <c r="K9" s="10"/>
      <c r="L9" s="10"/>
      <c r="N9" s="6"/>
      <c r="O9" s="6"/>
      <c r="P9" s="6"/>
    </row>
    <row r="10" spans="1:16" thickBot="1" x14ac:dyDescent="0.35">
      <c r="A10" s="11" t="s">
        <v>64</v>
      </c>
      <c r="B10" s="12"/>
      <c r="C10" s="12"/>
      <c r="D10" s="12"/>
      <c r="E10" s="12"/>
      <c r="F10" s="12"/>
      <c r="G10" s="12"/>
      <c r="H10" s="12"/>
      <c r="I10" s="13"/>
      <c r="J10" s="14"/>
      <c r="K10" s="14"/>
      <c r="L10" s="14"/>
      <c r="M10" s="6"/>
      <c r="N10" s="6"/>
      <c r="O10" s="6"/>
      <c r="P10" s="6"/>
    </row>
    <row r="11" spans="1:16" thickBot="1" x14ac:dyDescent="0.35">
      <c r="A11" s="97" t="s">
        <v>28</v>
      </c>
      <c r="B11" s="98"/>
      <c r="C11" s="98"/>
      <c r="D11" s="98"/>
      <c r="E11" s="98"/>
      <c r="F11" s="98"/>
      <c r="G11" s="98"/>
      <c r="H11" s="98"/>
      <c r="I11" s="98"/>
      <c r="J11" s="98"/>
      <c r="K11" s="129"/>
      <c r="L11" s="130"/>
      <c r="M11" s="5"/>
      <c r="N11" s="6"/>
      <c r="O11" s="6"/>
      <c r="P11" s="6"/>
    </row>
    <row r="12" spans="1:16" thickBot="1" x14ac:dyDescent="0.35">
      <c r="A12" s="171" t="s">
        <v>100</v>
      </c>
      <c r="B12" s="172" t="s">
        <v>17</v>
      </c>
      <c r="C12" s="172" t="s">
        <v>18</v>
      </c>
      <c r="D12" s="172" t="s">
        <v>148</v>
      </c>
      <c r="E12" s="172" t="s">
        <v>20</v>
      </c>
      <c r="F12" s="173" t="s">
        <v>21</v>
      </c>
      <c r="G12" s="172" t="s">
        <v>22</v>
      </c>
      <c r="H12" s="172" t="s">
        <v>23</v>
      </c>
      <c r="I12" s="172" t="s">
        <v>24</v>
      </c>
      <c r="J12" s="172" t="s">
        <v>25</v>
      </c>
      <c r="K12" s="172" t="s">
        <v>26</v>
      </c>
      <c r="L12" s="174" t="s">
        <v>15</v>
      </c>
      <c r="M12" s="5"/>
      <c r="N12" s="6"/>
      <c r="O12" s="6"/>
      <c r="P12" s="6"/>
    </row>
    <row r="13" spans="1:16" thickBot="1" x14ac:dyDescent="0.35">
      <c r="A13" s="186" t="s">
        <v>27</v>
      </c>
      <c r="B13" s="187" t="s">
        <v>27</v>
      </c>
      <c r="C13" s="188" t="s">
        <v>27</v>
      </c>
      <c r="D13" s="188" t="s">
        <v>27</v>
      </c>
      <c r="E13" s="187" t="s">
        <v>27</v>
      </c>
      <c r="F13" s="189" t="s">
        <v>27</v>
      </c>
      <c r="G13" s="187" t="s">
        <v>27</v>
      </c>
      <c r="H13" s="190" t="s">
        <v>27</v>
      </c>
      <c r="I13" s="187" t="s">
        <v>27</v>
      </c>
      <c r="J13" s="187" t="s">
        <v>27</v>
      </c>
      <c r="K13" s="188" t="s">
        <v>27</v>
      </c>
      <c r="L13" s="191" t="s">
        <v>27</v>
      </c>
      <c r="M13" s="15"/>
      <c r="N13" s="6"/>
      <c r="O13" s="6"/>
      <c r="P13" s="6"/>
    </row>
    <row r="14" spans="1:16" ht="15.75" customHeight="1" thickBot="1" x14ac:dyDescent="0.35">
      <c r="A14" s="16"/>
      <c r="B14" s="16"/>
      <c r="C14" s="16"/>
      <c r="D14" s="16"/>
      <c r="E14" s="16"/>
      <c r="F14" s="16"/>
      <c r="G14" s="17"/>
      <c r="H14" s="183"/>
      <c r="I14" s="183"/>
      <c r="J14" s="184"/>
      <c r="K14" s="185"/>
      <c r="L14" s="185"/>
      <c r="M14" s="6"/>
      <c r="N14" s="6"/>
      <c r="O14" s="6"/>
      <c r="P14" s="6"/>
    </row>
    <row r="15" spans="1:16" ht="15.75" customHeight="1" thickBot="1" x14ac:dyDescent="0.35">
      <c r="A15" s="18"/>
      <c r="B15" s="18"/>
      <c r="C15" s="18"/>
      <c r="D15" s="18"/>
      <c r="E15" s="18"/>
      <c r="F15" s="19"/>
      <c r="G15" s="20"/>
      <c r="H15" s="21"/>
      <c r="I15" s="20"/>
      <c r="J15" s="14"/>
      <c r="K15" s="22"/>
      <c r="L15" s="6"/>
      <c r="M15" s="6"/>
      <c r="N15" s="6"/>
      <c r="O15" s="6"/>
      <c r="P15" s="6"/>
    </row>
    <row r="16" spans="1:16" ht="15.75" customHeight="1" thickBot="1" x14ac:dyDescent="0.35">
      <c r="K16" s="15"/>
      <c r="L16" s="15"/>
      <c r="M16" s="6"/>
      <c r="N16" s="6"/>
      <c r="O16" s="6"/>
      <c r="P16" s="6"/>
    </row>
    <row r="17" spans="10:16" ht="15.75" customHeight="1" thickBot="1" x14ac:dyDescent="0.35">
      <c r="L17" s="15"/>
      <c r="M17" s="6"/>
      <c r="N17" s="6"/>
      <c r="O17" s="6"/>
      <c r="P17" s="6"/>
    </row>
    <row r="18" spans="10:16" ht="15.75" customHeight="1" thickBot="1" x14ac:dyDescent="0.35">
      <c r="J18" s="84"/>
      <c r="K18" s="84"/>
      <c r="L18" s="99"/>
      <c r="M18" s="6"/>
      <c r="N18" s="6"/>
      <c r="O18" s="6"/>
      <c r="P18" s="6"/>
    </row>
    <row r="19" spans="10:16" ht="15.75" customHeight="1" thickBot="1" x14ac:dyDescent="0.35">
      <c r="J19" s="84"/>
      <c r="K19" s="84"/>
      <c r="L19" s="100"/>
      <c r="M19" s="6"/>
      <c r="N19" s="6"/>
      <c r="O19" s="6"/>
      <c r="P19" s="6"/>
    </row>
    <row r="20" spans="10:16" ht="15.75" customHeight="1" thickBot="1" x14ac:dyDescent="0.35">
      <c r="J20" s="84"/>
      <c r="K20" s="84"/>
      <c r="L20" s="81"/>
      <c r="M20" s="6"/>
      <c r="N20" s="6"/>
      <c r="O20" s="6"/>
      <c r="P20" s="6"/>
    </row>
    <row r="21" spans="10:16" ht="15.75" customHeight="1" thickBot="1" x14ac:dyDescent="0.35">
      <c r="J21" s="84"/>
      <c r="K21" s="84"/>
      <c r="L21" s="81"/>
      <c r="M21" s="6"/>
      <c r="N21" s="6"/>
      <c r="O21" s="6"/>
      <c r="P21" s="6"/>
    </row>
    <row r="22" spans="10:16" ht="15.75" customHeight="1" thickBot="1" x14ac:dyDescent="0.35">
      <c r="J22" s="84"/>
      <c r="K22" s="84"/>
      <c r="L22" s="81"/>
      <c r="M22" s="6"/>
      <c r="N22" s="6"/>
      <c r="O22" s="6"/>
      <c r="P22" s="6"/>
    </row>
    <row r="23" spans="10:16" ht="15.75" customHeight="1" thickBot="1" x14ac:dyDescent="0.35">
      <c r="J23" s="84"/>
      <c r="K23" s="84"/>
      <c r="L23" s="81"/>
      <c r="M23" s="6"/>
      <c r="N23" s="6"/>
      <c r="O23" s="6"/>
      <c r="P23" s="6"/>
    </row>
    <row r="24" spans="10:16" ht="15.75" customHeight="1" thickBot="1" x14ac:dyDescent="0.35">
      <c r="J24" s="84"/>
      <c r="K24" s="84"/>
      <c r="L24" s="81"/>
      <c r="M24" s="6"/>
      <c r="N24" s="6"/>
      <c r="O24" s="6"/>
      <c r="P24" s="6"/>
    </row>
    <row r="25" spans="10:16" ht="15.75" customHeight="1" x14ac:dyDescent="0.3"/>
    <row r="26" spans="10:16" ht="15.75" customHeight="1" x14ac:dyDescent="0.3"/>
    <row r="27" spans="10:16" ht="15.75" customHeight="1" x14ac:dyDescent="0.3"/>
    <row r="28" spans="10:16" ht="15.75" customHeight="1" x14ac:dyDescent="0.3"/>
    <row r="29" spans="10:16" ht="15.75" customHeight="1" x14ac:dyDescent="0.3"/>
    <row r="30" spans="10:16" ht="15.75" customHeight="1" x14ac:dyDescent="0.3"/>
    <row r="31" spans="10:16" ht="15.75" customHeight="1" x14ac:dyDescent="0.3"/>
    <row r="32" spans="10:16"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sheetData>
  <dataValidations count="3">
    <dataValidation type="list" allowBlank="1" showErrorMessage="1" sqref="C6:C8" xr:uid="{00000000-0002-0000-0200-000000000000}">
      <formula1>"ELECTRICITY,EMISSIONS,MASS"</formula1>
    </dataValidation>
    <dataValidation type="list" allowBlank="1" showErrorMessage="1" sqref="C13" xr:uid="{00000000-0002-0000-0200-000001000000}">
      <formula1>"MASS,ELECTRICITY,EMISSIONS,ENERGY"</formula1>
    </dataValidation>
    <dataValidation type="list" errorStyle="information" allowBlank="1" showInputMessage="1" showErrorMessage="1" sqref="D5:D7 F5:F7 H5:H7 D13 F13 H13" xr:uid="{DD9AD79F-D676-4BB8-A888-49E80CD9A68F}">
      <formula1>"-,kg,s,m,K,°C,W,bar,kg/h,t/h,kW,kW/m2K,W/m2K,kJ/kgK,kJ/kg,m3/h,%,eur,eur/y,eur/kW,kWel/kWth,year"</formula1>
    </dataValidation>
  </dataValidations>
  <pageMargins left="0.7" right="0.7" top="0.75" bottom="0.75" header="0" footer="0"/>
  <pageSetup orientation="landscape"/>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53"/>
  <sheetViews>
    <sheetView showGridLines="0" topLeftCell="B13" zoomScale="57" zoomScaleNormal="70" workbookViewId="0">
      <selection activeCell="A16" sqref="A16:L53"/>
    </sheetView>
  </sheetViews>
  <sheetFormatPr defaultColWidth="14.44140625" defaultRowHeight="15" customHeight="1" x14ac:dyDescent="0.3"/>
  <cols>
    <col min="1" max="1" width="153.33203125" style="81" bestFit="1" customWidth="1"/>
    <col min="2" max="2" width="13.6640625" style="81" customWidth="1"/>
    <col min="3" max="3" width="36.44140625" style="81" bestFit="1" customWidth="1"/>
    <col min="4" max="4" width="14" style="81" customWidth="1"/>
    <col min="5" max="5" width="14.44140625" style="81" bestFit="1" customWidth="1"/>
    <col min="6" max="6" width="13.109375" style="81" bestFit="1" customWidth="1"/>
    <col min="7" max="7" width="60.109375" style="81" bestFit="1" customWidth="1"/>
    <col min="8" max="8" width="10.33203125" style="81" bestFit="1" customWidth="1"/>
    <col min="9" max="9" width="12.77734375" style="81" bestFit="1" customWidth="1"/>
    <col min="10" max="10" width="24.33203125" style="81" bestFit="1" customWidth="1"/>
    <col min="11" max="11" width="20.109375" style="81" bestFit="1" customWidth="1"/>
    <col min="12" max="12" width="96" style="81" bestFit="1" customWidth="1"/>
    <col min="13" max="13" width="29.77734375" style="81" customWidth="1"/>
    <col min="14" max="39" width="10.6640625" style="81" customWidth="1"/>
    <col min="40" max="16384" width="14.44140625" style="81"/>
  </cols>
  <sheetData>
    <row r="1" spans="1:12" customFormat="1" ht="14.4" x14ac:dyDescent="0.3">
      <c r="A1" s="23" t="s">
        <v>29</v>
      </c>
      <c r="B1" s="24"/>
      <c r="C1" s="24"/>
      <c r="D1" s="24"/>
      <c r="E1" s="24"/>
      <c r="F1" s="24"/>
      <c r="G1" s="24"/>
      <c r="H1" s="24"/>
      <c r="I1" s="24"/>
      <c r="J1" s="24"/>
      <c r="K1" s="24"/>
      <c r="L1" s="24"/>
    </row>
    <row r="2" spans="1:12" ht="14.4" x14ac:dyDescent="0.3">
      <c r="A2" s="25" t="s">
        <v>30</v>
      </c>
      <c r="B2" s="24"/>
      <c r="C2" s="24"/>
      <c r="D2" s="24"/>
      <c r="E2" s="24"/>
      <c r="F2" s="24"/>
      <c r="G2" s="24"/>
      <c r="H2" s="24"/>
      <c r="I2" s="24"/>
      <c r="J2" s="24"/>
      <c r="K2" s="24"/>
      <c r="L2" s="24"/>
    </row>
    <row r="3" spans="1:12" ht="14.4" x14ac:dyDescent="0.3">
      <c r="A3" s="26" t="s">
        <v>31</v>
      </c>
      <c r="B3" s="27"/>
      <c r="C3" s="27"/>
      <c r="D3" s="27"/>
      <c r="E3" s="27"/>
      <c r="F3" s="27"/>
      <c r="G3" s="27"/>
      <c r="H3" s="27"/>
      <c r="I3" s="27"/>
      <c r="J3" s="27"/>
      <c r="K3" s="24"/>
      <c r="L3" s="24"/>
    </row>
    <row r="4" spans="1:12" ht="14.4" x14ac:dyDescent="0.3">
      <c r="A4" s="26" t="s">
        <v>32</v>
      </c>
      <c r="B4" s="27"/>
      <c r="C4" s="27"/>
      <c r="D4" s="27"/>
      <c r="E4" s="27"/>
      <c r="F4" s="27"/>
      <c r="G4" s="27"/>
      <c r="H4" s="27"/>
      <c r="I4" s="27"/>
      <c r="J4" s="27"/>
      <c r="K4" s="24"/>
      <c r="L4" s="24"/>
    </row>
    <row r="5" spans="1:12" ht="14.4" x14ac:dyDescent="0.3">
      <c r="A5" s="26" t="s">
        <v>33</v>
      </c>
      <c r="B5" s="27"/>
      <c r="C5" s="27"/>
      <c r="D5" s="27"/>
      <c r="E5" s="27"/>
      <c r="F5" s="27"/>
      <c r="G5" s="27"/>
      <c r="H5" s="27"/>
      <c r="I5" s="27"/>
      <c r="J5" s="27"/>
      <c r="K5" s="24"/>
      <c r="L5" s="24"/>
    </row>
    <row r="6" spans="1:12" ht="14.4" x14ac:dyDescent="0.3">
      <c r="A6" s="139" t="s">
        <v>144</v>
      </c>
      <c r="B6" s="27"/>
      <c r="C6" s="27"/>
      <c r="D6" s="27"/>
      <c r="E6" s="27"/>
      <c r="F6" s="27"/>
      <c r="G6" s="27"/>
      <c r="H6" s="27"/>
      <c r="I6" s="27"/>
      <c r="J6" s="27"/>
      <c r="K6" s="24"/>
      <c r="L6" s="24"/>
    </row>
    <row r="7" spans="1:12" ht="14.4" x14ac:dyDescent="0.3">
      <c r="A7" s="28" t="s">
        <v>34</v>
      </c>
      <c r="B7" s="27"/>
      <c r="C7" s="27"/>
      <c r="D7" s="27"/>
      <c r="E7" s="27"/>
      <c r="F7" s="27"/>
      <c r="G7" s="27"/>
      <c r="H7" s="27"/>
      <c r="I7" s="27"/>
      <c r="J7" s="27"/>
      <c r="K7" s="24"/>
      <c r="L7" s="24"/>
    </row>
    <row r="8" spans="1:12" ht="14.4" x14ac:dyDescent="0.3">
      <c r="A8" s="27" t="s">
        <v>35</v>
      </c>
      <c r="B8" s="27"/>
      <c r="C8" s="27"/>
      <c r="D8" s="27"/>
      <c r="E8" s="27"/>
      <c r="F8" s="27"/>
      <c r="G8" s="27"/>
      <c r="H8" s="27"/>
      <c r="I8" s="27"/>
      <c r="J8" s="27"/>
      <c r="K8" s="24"/>
      <c r="L8" s="24"/>
    </row>
    <row r="9" spans="1:12" ht="14.4" x14ac:dyDescent="0.3">
      <c r="A9" s="29" t="s">
        <v>36</v>
      </c>
      <c r="B9" s="30"/>
      <c r="C9" s="30"/>
      <c r="D9" s="30"/>
      <c r="E9" s="30"/>
      <c r="F9" s="30"/>
      <c r="G9" s="30"/>
      <c r="H9" s="30"/>
      <c r="I9" s="30"/>
      <c r="J9" s="30"/>
      <c r="K9" s="31"/>
      <c r="L9" s="31"/>
    </row>
    <row r="10" spans="1:12" ht="14.4" x14ac:dyDescent="0.3">
      <c r="A10" s="32" t="s">
        <v>37</v>
      </c>
      <c r="B10" s="30"/>
      <c r="C10" s="30"/>
      <c r="D10" s="30"/>
      <c r="E10" s="30"/>
      <c r="F10" s="30"/>
      <c r="G10" s="30"/>
      <c r="H10" s="30"/>
      <c r="I10" s="30"/>
      <c r="J10" s="30"/>
      <c r="K10" s="31"/>
      <c r="L10" s="31"/>
    </row>
    <row r="11" spans="1:12" ht="14.4" x14ac:dyDescent="0.3">
      <c r="A11" s="27"/>
      <c r="B11" s="30"/>
      <c r="C11" s="30"/>
      <c r="D11" s="30"/>
      <c r="E11" s="30"/>
      <c r="F11" s="30"/>
      <c r="G11" s="30"/>
      <c r="H11" s="30"/>
      <c r="I11" s="30"/>
      <c r="J11" s="30"/>
      <c r="K11" s="31"/>
      <c r="L11" s="31"/>
    </row>
    <row r="12" spans="1:12" ht="17.25" customHeight="1" thickBot="1" x14ac:dyDescent="0.35">
      <c r="A12" s="33"/>
      <c r="B12" s="34"/>
      <c r="C12" s="34"/>
      <c r="D12" s="34"/>
      <c r="E12" s="34"/>
      <c r="F12" s="34"/>
      <c r="G12" s="79"/>
      <c r="H12" s="34"/>
      <c r="I12" s="34"/>
      <c r="J12" s="34"/>
      <c r="K12" s="34"/>
      <c r="L12" s="34"/>
    </row>
    <row r="13" spans="1:12" ht="14.4" x14ac:dyDescent="0.3">
      <c r="A13" s="35"/>
      <c r="B13" s="36"/>
      <c r="C13" s="36"/>
      <c r="D13" s="36"/>
      <c r="E13" s="36"/>
      <c r="F13" s="36"/>
      <c r="G13" s="80"/>
      <c r="H13" s="36"/>
      <c r="I13" s="36"/>
      <c r="J13" s="36"/>
      <c r="K13" s="36"/>
      <c r="L13" s="36"/>
    </row>
    <row r="14" spans="1:12" thickBot="1" x14ac:dyDescent="0.35">
      <c r="A14" s="87" t="s">
        <v>3</v>
      </c>
      <c r="B14" s="108"/>
      <c r="C14" s="108"/>
      <c r="D14" s="108"/>
      <c r="E14" s="108"/>
      <c r="F14" s="108"/>
      <c r="G14" s="96"/>
      <c r="H14" s="108"/>
      <c r="I14" s="108"/>
      <c r="J14" s="108"/>
      <c r="K14" s="108"/>
      <c r="L14" s="109"/>
    </row>
    <row r="15" spans="1:12" thickBot="1" x14ac:dyDescent="0.35">
      <c r="A15" s="110" t="s">
        <v>98</v>
      </c>
      <c r="B15" s="111" t="s">
        <v>18</v>
      </c>
      <c r="C15" s="111" t="s">
        <v>60</v>
      </c>
      <c r="D15" s="111" t="s">
        <v>34</v>
      </c>
      <c r="E15" s="111" t="s">
        <v>152</v>
      </c>
      <c r="F15" s="111" t="s">
        <v>19</v>
      </c>
      <c r="G15" s="111" t="s">
        <v>151</v>
      </c>
      <c r="H15" s="112" t="s">
        <v>61</v>
      </c>
      <c r="I15" s="111" t="s">
        <v>62</v>
      </c>
      <c r="J15" s="111" t="s">
        <v>63</v>
      </c>
      <c r="K15" s="141" t="s">
        <v>104</v>
      </c>
      <c r="L15" s="113" t="s">
        <v>15</v>
      </c>
    </row>
    <row r="16" spans="1:12" ht="14.4" x14ac:dyDescent="0.3">
      <c r="A16" s="195" t="s">
        <v>164</v>
      </c>
      <c r="B16" s="182" t="s">
        <v>165</v>
      </c>
      <c r="C16" s="182" t="s">
        <v>166</v>
      </c>
      <c r="D16" s="182" t="s">
        <v>167</v>
      </c>
      <c r="E16" s="196">
        <v>0.8</v>
      </c>
      <c r="F16" s="182" t="s">
        <v>27</v>
      </c>
      <c r="G16" s="182" t="s">
        <v>27</v>
      </c>
      <c r="H16" s="261">
        <v>0.6</v>
      </c>
      <c r="I16" s="261">
        <v>0.95</v>
      </c>
      <c r="J16" s="197" t="s">
        <v>168</v>
      </c>
      <c r="K16" s="261" t="s">
        <v>383</v>
      </c>
      <c r="L16" s="201" t="s">
        <v>166</v>
      </c>
    </row>
    <row r="17" spans="1:12" ht="14.4" x14ac:dyDescent="0.3">
      <c r="A17" s="192" t="s">
        <v>169</v>
      </c>
      <c r="B17" s="176" t="s">
        <v>165</v>
      </c>
      <c r="C17" s="176" t="s">
        <v>170</v>
      </c>
      <c r="D17" s="176" t="s">
        <v>167</v>
      </c>
      <c r="E17" s="193">
        <v>0.8</v>
      </c>
      <c r="F17" s="176" t="s">
        <v>27</v>
      </c>
      <c r="G17" s="176" t="s">
        <v>27</v>
      </c>
      <c r="H17" s="206">
        <v>0.6</v>
      </c>
      <c r="I17" s="206">
        <v>0.95</v>
      </c>
      <c r="J17" s="194" t="s">
        <v>171</v>
      </c>
      <c r="K17" s="206" t="s">
        <v>383</v>
      </c>
      <c r="L17" s="202" t="s">
        <v>170</v>
      </c>
    </row>
    <row r="18" spans="1:12" ht="14.4" x14ac:dyDescent="0.3">
      <c r="A18" s="192" t="s">
        <v>172</v>
      </c>
      <c r="B18" s="176" t="s">
        <v>173</v>
      </c>
      <c r="C18" s="176" t="s">
        <v>174</v>
      </c>
      <c r="D18" s="176" t="s">
        <v>167</v>
      </c>
      <c r="E18" s="193">
        <v>1.4</v>
      </c>
      <c r="F18" s="176" t="s">
        <v>27</v>
      </c>
      <c r="G18" s="176" t="s">
        <v>27</v>
      </c>
      <c r="H18" s="206">
        <v>1.38</v>
      </c>
      <c r="I18" s="206">
        <v>1.42</v>
      </c>
      <c r="J18" s="194" t="s">
        <v>175</v>
      </c>
      <c r="K18" s="206" t="s">
        <v>383</v>
      </c>
      <c r="L18" s="202" t="s">
        <v>176</v>
      </c>
    </row>
    <row r="19" spans="1:12" ht="14.4" x14ac:dyDescent="0.3">
      <c r="A19" s="192" t="s">
        <v>177</v>
      </c>
      <c r="B19" s="176" t="s">
        <v>173</v>
      </c>
      <c r="C19" s="176" t="s">
        <v>178</v>
      </c>
      <c r="D19" s="176" t="s">
        <v>167</v>
      </c>
      <c r="E19" s="193">
        <v>1.33</v>
      </c>
      <c r="F19" s="176" t="s">
        <v>27</v>
      </c>
      <c r="G19" s="176" t="s">
        <v>27</v>
      </c>
      <c r="H19" s="206">
        <v>1.28</v>
      </c>
      <c r="I19" s="206">
        <v>1.35</v>
      </c>
      <c r="J19" s="194" t="s">
        <v>179</v>
      </c>
      <c r="K19" s="206" t="s">
        <v>383</v>
      </c>
      <c r="L19" s="202" t="s">
        <v>180</v>
      </c>
    </row>
    <row r="20" spans="1:12" ht="14.4" x14ac:dyDescent="0.3">
      <c r="A20" s="205" t="s">
        <v>325</v>
      </c>
      <c r="B20" s="176" t="s">
        <v>165</v>
      </c>
      <c r="C20" s="176" t="s">
        <v>181</v>
      </c>
      <c r="D20" s="176" t="s">
        <v>167</v>
      </c>
      <c r="E20" s="193">
        <v>298</v>
      </c>
      <c r="F20" s="176" t="s">
        <v>182</v>
      </c>
      <c r="G20" s="176" t="s">
        <v>27</v>
      </c>
      <c r="H20" s="206">
        <v>233.15</v>
      </c>
      <c r="I20" s="206">
        <v>323.14999999999998</v>
      </c>
      <c r="J20" s="194" t="s">
        <v>183</v>
      </c>
      <c r="K20" s="206" t="s">
        <v>383</v>
      </c>
      <c r="L20" s="202" t="s">
        <v>181</v>
      </c>
    </row>
    <row r="21" spans="1:12" ht="14.4" x14ac:dyDescent="0.3">
      <c r="A21" s="205" t="s">
        <v>326</v>
      </c>
      <c r="B21" s="176" t="s">
        <v>165</v>
      </c>
      <c r="C21" s="176" t="s">
        <v>184</v>
      </c>
      <c r="D21" s="176" t="s">
        <v>167</v>
      </c>
      <c r="E21" s="193">
        <v>873</v>
      </c>
      <c r="F21" s="176" t="s">
        <v>182</v>
      </c>
      <c r="G21" s="176" t="s">
        <v>27</v>
      </c>
      <c r="H21" s="206">
        <v>300</v>
      </c>
      <c r="I21" s="206">
        <v>1100</v>
      </c>
      <c r="J21" s="194" t="s">
        <v>185</v>
      </c>
      <c r="K21" s="206" t="s">
        <v>383</v>
      </c>
      <c r="L21" s="202" t="s">
        <v>186</v>
      </c>
    </row>
    <row r="22" spans="1:12" ht="14.4" x14ac:dyDescent="0.3">
      <c r="A22" s="192" t="s">
        <v>187</v>
      </c>
      <c r="B22" s="176" t="s">
        <v>165</v>
      </c>
      <c r="C22" s="176" t="s">
        <v>188</v>
      </c>
      <c r="D22" s="176" t="s">
        <v>167</v>
      </c>
      <c r="E22" s="193">
        <v>15</v>
      </c>
      <c r="F22" s="176" t="s">
        <v>27</v>
      </c>
      <c r="G22" s="176" t="s">
        <v>27</v>
      </c>
      <c r="H22" s="206">
        <v>1.1000000000000001</v>
      </c>
      <c r="I22" s="206">
        <v>60</v>
      </c>
      <c r="J22" s="194" t="s">
        <v>189</v>
      </c>
      <c r="K22" s="206" t="s">
        <v>383</v>
      </c>
      <c r="L22" s="202" t="s">
        <v>190</v>
      </c>
    </row>
    <row r="23" spans="1:12" ht="14.4" x14ac:dyDescent="0.3">
      <c r="A23" s="192" t="s">
        <v>191</v>
      </c>
      <c r="B23" s="176" t="s">
        <v>173</v>
      </c>
      <c r="C23" s="176" t="s">
        <v>192</v>
      </c>
      <c r="D23" s="176" t="s">
        <v>167</v>
      </c>
      <c r="E23" s="193">
        <v>50000</v>
      </c>
      <c r="F23" s="176" t="s">
        <v>193</v>
      </c>
      <c r="G23" s="176" t="s">
        <v>27</v>
      </c>
      <c r="H23" s="206">
        <v>30000</v>
      </c>
      <c r="I23" s="206">
        <v>60000</v>
      </c>
      <c r="J23" s="194" t="s">
        <v>194</v>
      </c>
      <c r="K23" s="206" t="s">
        <v>383</v>
      </c>
      <c r="L23" s="202" t="s">
        <v>195</v>
      </c>
    </row>
    <row r="24" spans="1:12" ht="14.4" x14ac:dyDescent="0.3">
      <c r="A24" s="192" t="s">
        <v>196</v>
      </c>
      <c r="B24" s="176" t="s">
        <v>165</v>
      </c>
      <c r="C24" s="176" t="s">
        <v>197</v>
      </c>
      <c r="D24" s="176" t="s">
        <v>167</v>
      </c>
      <c r="E24" s="193">
        <v>60</v>
      </c>
      <c r="F24" s="176" t="s">
        <v>198</v>
      </c>
      <c r="G24" s="176" t="s">
        <v>27</v>
      </c>
      <c r="H24" s="206">
        <v>30</v>
      </c>
      <c r="I24" s="206">
        <v>150</v>
      </c>
      <c r="J24" s="194" t="s">
        <v>199</v>
      </c>
      <c r="K24" s="206" t="s">
        <v>383</v>
      </c>
      <c r="L24" s="202" t="s">
        <v>200</v>
      </c>
    </row>
    <row r="25" spans="1:12" ht="14.4" x14ac:dyDescent="0.3">
      <c r="A25" s="192" t="s">
        <v>201</v>
      </c>
      <c r="B25" s="176" t="s">
        <v>202</v>
      </c>
      <c r="C25" s="176" t="s">
        <v>203</v>
      </c>
      <c r="D25" s="176" t="s">
        <v>167</v>
      </c>
      <c r="E25" s="193">
        <v>4</v>
      </c>
      <c r="F25" s="176" t="s">
        <v>204</v>
      </c>
      <c r="G25" s="176" t="s">
        <v>27</v>
      </c>
      <c r="H25" s="206">
        <v>0.1</v>
      </c>
      <c r="I25" s="206">
        <v>1500</v>
      </c>
      <c r="J25" s="194" t="s">
        <v>205</v>
      </c>
      <c r="K25" s="206" t="s">
        <v>383</v>
      </c>
      <c r="L25" s="202" t="s">
        <v>206</v>
      </c>
    </row>
    <row r="26" spans="1:12" ht="14.4" x14ac:dyDescent="0.3">
      <c r="A26" s="192" t="s">
        <v>207</v>
      </c>
      <c r="B26" s="176" t="s">
        <v>165</v>
      </c>
      <c r="C26" s="176" t="s">
        <v>208</v>
      </c>
      <c r="D26" s="176" t="s">
        <v>167</v>
      </c>
      <c r="E26" s="193">
        <v>423</v>
      </c>
      <c r="F26" s="176" t="s">
        <v>182</v>
      </c>
      <c r="G26" s="176" t="s">
        <v>27</v>
      </c>
      <c r="H26" s="206">
        <v>353.15</v>
      </c>
      <c r="I26" s="206">
        <v>800</v>
      </c>
      <c r="J26" s="194" t="s">
        <v>209</v>
      </c>
      <c r="K26" s="206" t="s">
        <v>383</v>
      </c>
      <c r="L26" s="202" t="s">
        <v>210</v>
      </c>
    </row>
    <row r="27" spans="1:12" ht="14.4" x14ac:dyDescent="0.3">
      <c r="A27" s="192" t="s">
        <v>211</v>
      </c>
      <c r="B27" s="176" t="s">
        <v>173</v>
      </c>
      <c r="C27" s="176" t="s">
        <v>212</v>
      </c>
      <c r="D27" s="176" t="s">
        <v>167</v>
      </c>
      <c r="E27" s="193">
        <v>1.006</v>
      </c>
      <c r="F27" s="176" t="s">
        <v>213</v>
      </c>
      <c r="G27" s="176" t="s">
        <v>27</v>
      </c>
      <c r="H27" s="206">
        <v>1</v>
      </c>
      <c r="I27" s="206">
        <v>1.1499999999999999</v>
      </c>
      <c r="J27" s="194" t="s">
        <v>214</v>
      </c>
      <c r="K27" s="206" t="s">
        <v>383</v>
      </c>
      <c r="L27" s="202" t="s">
        <v>215</v>
      </c>
    </row>
    <row r="28" spans="1:12" ht="14.4" x14ac:dyDescent="0.3">
      <c r="A28" s="192" t="s">
        <v>216</v>
      </c>
      <c r="B28" s="176" t="s">
        <v>173</v>
      </c>
      <c r="C28" s="176" t="s">
        <v>217</v>
      </c>
      <c r="D28" s="176" t="s">
        <v>167</v>
      </c>
      <c r="E28" s="193">
        <v>1.151</v>
      </c>
      <c r="F28" s="176" t="s">
        <v>213</v>
      </c>
      <c r="G28" s="176" t="s">
        <v>27</v>
      </c>
      <c r="H28" s="206">
        <v>1.05</v>
      </c>
      <c r="I28" s="206">
        <v>1.3</v>
      </c>
      <c r="J28" s="194" t="s">
        <v>218</v>
      </c>
      <c r="K28" s="206" t="s">
        <v>383</v>
      </c>
      <c r="L28" s="202" t="s">
        <v>219</v>
      </c>
    </row>
    <row r="29" spans="1:12" ht="14.4" x14ac:dyDescent="0.3">
      <c r="A29" s="192" t="s">
        <v>220</v>
      </c>
      <c r="B29" s="176" t="s">
        <v>221</v>
      </c>
      <c r="C29" s="176" t="s">
        <v>222</v>
      </c>
      <c r="D29" s="176" t="s">
        <v>167</v>
      </c>
      <c r="E29" s="193">
        <v>40</v>
      </c>
      <c r="F29" s="176" t="s">
        <v>348</v>
      </c>
      <c r="G29" s="176" t="s">
        <v>27</v>
      </c>
      <c r="H29" s="206">
        <v>5</v>
      </c>
      <c r="I29" s="206">
        <v>60</v>
      </c>
      <c r="J29" s="194" t="s">
        <v>223</v>
      </c>
      <c r="K29" s="206" t="s">
        <v>383</v>
      </c>
      <c r="L29" s="202" t="s">
        <v>222</v>
      </c>
    </row>
    <row r="30" spans="1:12" ht="14.4" x14ac:dyDescent="0.3">
      <c r="A30" s="192" t="s">
        <v>224</v>
      </c>
      <c r="B30" s="176" t="s">
        <v>221</v>
      </c>
      <c r="C30" s="176" t="s">
        <v>225</v>
      </c>
      <c r="D30" s="176" t="s">
        <v>167</v>
      </c>
      <c r="E30" s="193">
        <v>0.06</v>
      </c>
      <c r="F30" s="176" t="s">
        <v>27</v>
      </c>
      <c r="G30" s="176" t="s">
        <v>27</v>
      </c>
      <c r="H30" s="206">
        <v>0.01</v>
      </c>
      <c r="I30" s="206">
        <v>0.25</v>
      </c>
      <c r="J30" s="194" t="s">
        <v>226</v>
      </c>
      <c r="K30" s="206" t="s">
        <v>383</v>
      </c>
      <c r="L30" s="202" t="s">
        <v>225</v>
      </c>
    </row>
    <row r="31" spans="1:12" ht="14.4" x14ac:dyDescent="0.3">
      <c r="A31" s="192" t="s">
        <v>227</v>
      </c>
      <c r="B31" s="176" t="s">
        <v>173</v>
      </c>
      <c r="C31" s="176" t="s">
        <v>357</v>
      </c>
      <c r="D31" s="176" t="s">
        <v>167</v>
      </c>
      <c r="E31" s="193">
        <v>5</v>
      </c>
      <c r="F31" s="176" t="s">
        <v>182</v>
      </c>
      <c r="G31" s="176" t="s">
        <v>27</v>
      </c>
      <c r="H31" s="206">
        <v>1</v>
      </c>
      <c r="I31" s="206">
        <v>100</v>
      </c>
      <c r="J31" s="194" t="s">
        <v>228</v>
      </c>
      <c r="K31" s="206" t="s">
        <v>383</v>
      </c>
      <c r="L31" s="202" t="s">
        <v>229</v>
      </c>
    </row>
    <row r="32" spans="1:12" ht="14.4" x14ac:dyDescent="0.3">
      <c r="A32" s="192" t="s">
        <v>230</v>
      </c>
      <c r="B32" s="176" t="s">
        <v>173</v>
      </c>
      <c r="C32" s="176" t="s">
        <v>324</v>
      </c>
      <c r="D32" s="176" t="s">
        <v>167</v>
      </c>
      <c r="E32" s="193">
        <v>596.20000000000005</v>
      </c>
      <c r="F32" s="176" t="s">
        <v>27</v>
      </c>
      <c r="G32" s="176" t="s">
        <v>27</v>
      </c>
      <c r="H32" s="206">
        <v>400</v>
      </c>
      <c r="I32" s="206">
        <v>900</v>
      </c>
      <c r="J32" s="194" t="s">
        <v>231</v>
      </c>
      <c r="K32" s="206" t="s">
        <v>383</v>
      </c>
      <c r="L32" s="202" t="s">
        <v>232</v>
      </c>
    </row>
    <row r="33" spans="1:12" ht="14.4" x14ac:dyDescent="0.3">
      <c r="A33" s="192" t="s">
        <v>233</v>
      </c>
      <c r="B33" s="176" t="s">
        <v>173</v>
      </c>
      <c r="C33" s="176" t="s">
        <v>234</v>
      </c>
      <c r="D33" s="176" t="s">
        <v>167</v>
      </c>
      <c r="E33" s="193">
        <v>575.4</v>
      </c>
      <c r="F33" s="176" t="s">
        <v>27</v>
      </c>
      <c r="G33" s="176" t="s">
        <v>27</v>
      </c>
      <c r="H33" s="206">
        <v>400</v>
      </c>
      <c r="I33" s="206">
        <v>900</v>
      </c>
      <c r="J33" s="194" t="s">
        <v>235</v>
      </c>
      <c r="K33" s="206" t="s">
        <v>383</v>
      </c>
      <c r="L33" s="202" t="s">
        <v>236</v>
      </c>
    </row>
    <row r="34" spans="1:12" ht="14.4" x14ac:dyDescent="0.3">
      <c r="A34" s="192" t="s">
        <v>237</v>
      </c>
      <c r="B34" s="176" t="s">
        <v>173</v>
      </c>
      <c r="C34" s="176" t="s">
        <v>238</v>
      </c>
      <c r="D34" s="176" t="s">
        <v>167</v>
      </c>
      <c r="E34" s="193">
        <f>(gamma_air - 1)/gamma_air</f>
        <v>0.28571428571428564</v>
      </c>
      <c r="F34" s="176" t="s">
        <v>27</v>
      </c>
      <c r="G34" s="176" t="s">
        <v>336</v>
      </c>
      <c r="H34" s="206">
        <v>0.27</v>
      </c>
      <c r="I34" s="206">
        <v>0.3</v>
      </c>
      <c r="J34" s="194" t="s">
        <v>239</v>
      </c>
      <c r="K34" s="206" t="s">
        <v>383</v>
      </c>
      <c r="L34" s="202" t="s">
        <v>240</v>
      </c>
    </row>
    <row r="35" spans="1:12" ht="14.4" x14ac:dyDescent="0.3">
      <c r="A35" s="192" t="s">
        <v>241</v>
      </c>
      <c r="B35" s="176" t="s">
        <v>173</v>
      </c>
      <c r="C35" s="176" t="s">
        <v>242</v>
      </c>
      <c r="D35" s="176" t="s">
        <v>167</v>
      </c>
      <c r="E35" s="193">
        <f>(gamma_gas - 1)/gamma_gas</f>
        <v>0.24812030075187974</v>
      </c>
      <c r="F35" s="176" t="s">
        <v>27</v>
      </c>
      <c r="G35" s="176" t="s">
        <v>337</v>
      </c>
      <c r="H35" s="206">
        <v>0.21</v>
      </c>
      <c r="I35" s="206">
        <v>0.26</v>
      </c>
      <c r="J35" s="194" t="s">
        <v>243</v>
      </c>
      <c r="K35" s="206" t="s">
        <v>383</v>
      </c>
      <c r="L35" s="202" t="s">
        <v>244</v>
      </c>
    </row>
    <row r="36" spans="1:12" ht="14.4" x14ac:dyDescent="0.3">
      <c r="A36" s="192" t="s">
        <v>245</v>
      </c>
      <c r="B36" s="176" t="s">
        <v>173</v>
      </c>
      <c r="C36" s="206" t="s">
        <v>358</v>
      </c>
      <c r="D36" s="176" t="s">
        <v>167</v>
      </c>
      <c r="E36" s="193">
        <f>(PR^gamma_a-1)/eta_comp</f>
        <v>1.4597928157074496</v>
      </c>
      <c r="F36" s="176" t="s">
        <v>27</v>
      </c>
      <c r="G36" s="176" t="s">
        <v>338</v>
      </c>
      <c r="H36" s="206">
        <v>1.4597928157074496</v>
      </c>
      <c r="I36" s="206">
        <v>1.4597928157074496</v>
      </c>
      <c r="J36" s="194" t="s">
        <v>246</v>
      </c>
      <c r="K36" s="206" t="s">
        <v>383</v>
      </c>
      <c r="L36" s="202" t="s">
        <v>247</v>
      </c>
    </row>
    <row r="37" spans="1:12" ht="14.4" x14ac:dyDescent="0.3">
      <c r="A37" s="192" t="s">
        <v>248</v>
      </c>
      <c r="B37" s="176" t="s">
        <v>173</v>
      </c>
      <c r="C37" s="206" t="s">
        <v>359</v>
      </c>
      <c r="D37" s="176" t="s">
        <v>167</v>
      </c>
      <c r="E37" s="193">
        <f>1-1/(PR^gamma_g)</f>
        <v>0.4892740992030068</v>
      </c>
      <c r="F37" s="176" t="s">
        <v>27</v>
      </c>
      <c r="G37" s="176" t="s">
        <v>339</v>
      </c>
      <c r="H37" s="206">
        <v>0.4892740992030068</v>
      </c>
      <c r="I37" s="206">
        <v>0.4892740992030068</v>
      </c>
      <c r="J37" s="194" t="s">
        <v>249</v>
      </c>
      <c r="K37" s="206" t="s">
        <v>383</v>
      </c>
      <c r="L37" s="202" t="s">
        <v>250</v>
      </c>
    </row>
    <row r="38" spans="1:12" ht="14.4" x14ac:dyDescent="0.3">
      <c r="A38" s="205" t="s">
        <v>327</v>
      </c>
      <c r="B38" s="176" t="s">
        <v>165</v>
      </c>
      <c r="C38" s="176" t="s">
        <v>251</v>
      </c>
      <c r="D38" s="176" t="s">
        <v>167</v>
      </c>
      <c r="E38" s="193">
        <f>T_1 * (1+Rpa)</f>
        <v>733.01825908081992</v>
      </c>
      <c r="F38" s="176" t="s">
        <v>182</v>
      </c>
      <c r="G38" s="176" t="s">
        <v>349</v>
      </c>
      <c r="H38" s="206">
        <v>280</v>
      </c>
      <c r="I38" s="206">
        <v>1100</v>
      </c>
      <c r="J38" s="194" t="s">
        <v>252</v>
      </c>
      <c r="K38" s="206" t="s">
        <v>383</v>
      </c>
      <c r="L38" s="202" t="s">
        <v>253</v>
      </c>
    </row>
    <row r="39" spans="1:12" ht="14.4" x14ac:dyDescent="0.3">
      <c r="A39" s="205" t="s">
        <v>328</v>
      </c>
      <c r="B39" s="176" t="s">
        <v>165</v>
      </c>
      <c r="C39" s="176" t="s">
        <v>254</v>
      </c>
      <c r="D39" s="176" t="s">
        <v>167</v>
      </c>
      <c r="E39" s="193">
        <f>m_air*cp_air*(T_2a-T_2)</f>
        <v>563.2865254587806</v>
      </c>
      <c r="F39" s="176" t="s">
        <v>255</v>
      </c>
      <c r="G39" s="176" t="s">
        <v>350</v>
      </c>
      <c r="H39" s="206">
        <v>-50000</v>
      </c>
      <c r="I39" s="206">
        <v>500000</v>
      </c>
      <c r="J39" s="194" t="s">
        <v>256</v>
      </c>
      <c r="K39" s="206" t="s">
        <v>383</v>
      </c>
      <c r="L39" s="202" t="s">
        <v>257</v>
      </c>
    </row>
    <row r="40" spans="1:12" ht="14.4" x14ac:dyDescent="0.3">
      <c r="A40" s="205" t="s">
        <v>329</v>
      </c>
      <c r="B40" s="176" t="s">
        <v>165</v>
      </c>
      <c r="C40" s="176" t="s">
        <v>258</v>
      </c>
      <c r="D40" s="176" t="s">
        <v>167</v>
      </c>
      <c r="E40" s="193">
        <f>(m_air * cp_air * T_2a + m_air/f * LHV) / (((1+1/f)*m_air) * cp_gas)</f>
        <v>1462.6522909515602</v>
      </c>
      <c r="F40" s="176" t="s">
        <v>182</v>
      </c>
      <c r="G40" s="176" t="s">
        <v>340</v>
      </c>
      <c r="H40" s="206">
        <v>800</v>
      </c>
      <c r="I40" s="206">
        <v>2000</v>
      </c>
      <c r="J40" s="194" t="s">
        <v>259</v>
      </c>
      <c r="K40" s="206" t="s">
        <v>383</v>
      </c>
      <c r="L40" s="202" t="s">
        <v>258</v>
      </c>
    </row>
    <row r="41" spans="1:12" ht="14.4" x14ac:dyDescent="0.3">
      <c r="A41" s="205" t="s">
        <v>330</v>
      </c>
      <c r="B41" s="176" t="s">
        <v>165</v>
      </c>
      <c r="C41" s="176" t="s">
        <v>260</v>
      </c>
      <c r="D41" s="176" t="s">
        <v>167</v>
      </c>
      <c r="E41" s="193">
        <f>T_3*(1-eta_turb*Rpg)</f>
        <v>890.14198526952919</v>
      </c>
      <c r="F41" s="176" t="s">
        <v>182</v>
      </c>
      <c r="G41" s="176" t="s">
        <v>351</v>
      </c>
      <c r="H41" s="206">
        <v>400</v>
      </c>
      <c r="I41" s="206">
        <v>1200</v>
      </c>
      <c r="J41" s="194" t="s">
        <v>261</v>
      </c>
      <c r="K41" s="206" t="s">
        <v>383</v>
      </c>
      <c r="L41" s="202" t="s">
        <v>260</v>
      </c>
    </row>
    <row r="42" spans="1:12" ht="14.4" x14ac:dyDescent="0.3">
      <c r="A42" s="205" t="s">
        <v>331</v>
      </c>
      <c r="B42" s="176" t="s">
        <v>165</v>
      </c>
      <c r="C42" s="176" t="s">
        <v>262</v>
      </c>
      <c r="D42" s="176" t="s">
        <v>167</v>
      </c>
      <c r="E42" s="193">
        <f>T_4 - 273.15</f>
        <v>616.99198526952921</v>
      </c>
      <c r="F42" s="176" t="s">
        <v>263</v>
      </c>
      <c r="G42" s="176" t="s">
        <v>352</v>
      </c>
      <c r="H42" s="206">
        <v>120</v>
      </c>
      <c r="I42" s="206">
        <v>930</v>
      </c>
      <c r="J42" s="194" t="s">
        <v>264</v>
      </c>
      <c r="K42" s="206" t="s">
        <v>383</v>
      </c>
      <c r="L42" s="202" t="s">
        <v>265</v>
      </c>
    </row>
    <row r="43" spans="1:12" ht="14.4" x14ac:dyDescent="0.3">
      <c r="A43" s="192" t="s">
        <v>266</v>
      </c>
      <c r="B43" s="176" t="s">
        <v>165</v>
      </c>
      <c r="C43" s="176" t="s">
        <v>267</v>
      </c>
      <c r="D43" s="176" t="s">
        <v>167</v>
      </c>
      <c r="E43" s="193">
        <f>T_stack - 273.15</f>
        <v>149.85000000000002</v>
      </c>
      <c r="F43" s="176" t="s">
        <v>263</v>
      </c>
      <c r="G43" s="176" t="s">
        <v>341</v>
      </c>
      <c r="H43" s="206">
        <v>80</v>
      </c>
      <c r="I43" s="206">
        <v>530</v>
      </c>
      <c r="J43" s="194" t="s">
        <v>268</v>
      </c>
      <c r="K43" s="206" t="s">
        <v>383</v>
      </c>
      <c r="L43" s="202" t="s">
        <v>265</v>
      </c>
    </row>
    <row r="44" spans="1:12" ht="14.4" x14ac:dyDescent="0.3">
      <c r="A44" s="205" t="s">
        <v>332</v>
      </c>
      <c r="B44" s="176" t="s">
        <v>165</v>
      </c>
      <c r="C44" s="176" t="s">
        <v>269</v>
      </c>
      <c r="D44" s="176" t="s">
        <v>167</v>
      </c>
      <c r="E44" s="193">
        <f>T_2 - 273.15</f>
        <v>459.86825908081994</v>
      </c>
      <c r="F44" s="176" t="s">
        <v>263</v>
      </c>
      <c r="G44" s="176" t="s">
        <v>353</v>
      </c>
      <c r="H44" s="206">
        <v>10</v>
      </c>
      <c r="I44" s="206">
        <v>830</v>
      </c>
      <c r="J44" s="194" t="s">
        <v>270</v>
      </c>
      <c r="K44" s="206" t="s">
        <v>383</v>
      </c>
      <c r="L44" s="202" t="s">
        <v>265</v>
      </c>
    </row>
    <row r="45" spans="1:12" ht="14.4" x14ac:dyDescent="0.3">
      <c r="A45" s="205" t="s">
        <v>333</v>
      </c>
      <c r="B45" s="176" t="s">
        <v>165</v>
      </c>
      <c r="C45" s="176" t="s">
        <v>271</v>
      </c>
      <c r="D45" s="176" t="s">
        <v>167</v>
      </c>
      <c r="E45" s="193">
        <f>T_2a - 273.15</f>
        <v>599.85</v>
      </c>
      <c r="F45" s="176" t="s">
        <v>263</v>
      </c>
      <c r="G45" s="176" t="s">
        <v>342</v>
      </c>
      <c r="H45" s="206">
        <v>20</v>
      </c>
      <c r="I45" s="206">
        <v>830</v>
      </c>
      <c r="J45" s="194" t="s">
        <v>272</v>
      </c>
      <c r="K45" s="206" t="s">
        <v>383</v>
      </c>
      <c r="L45" s="202" t="s">
        <v>265</v>
      </c>
    </row>
    <row r="46" spans="1:12" ht="14.4" x14ac:dyDescent="0.3">
      <c r="A46" s="192" t="s">
        <v>273</v>
      </c>
      <c r="B46" s="176" t="s">
        <v>165</v>
      </c>
      <c r="C46" s="176" t="s">
        <v>274</v>
      </c>
      <c r="D46" s="176" t="s">
        <v>167</v>
      </c>
      <c r="E46" s="193">
        <f>m_air*cp_air*T_1*Rpa</f>
        <v>1750.5134745412197</v>
      </c>
      <c r="F46" s="176" t="s">
        <v>255</v>
      </c>
      <c r="G46" s="176" t="s">
        <v>354</v>
      </c>
      <c r="H46" s="206">
        <v>0</v>
      </c>
      <c r="I46" s="206">
        <v>600000</v>
      </c>
      <c r="J46" s="194" t="s">
        <v>275</v>
      </c>
      <c r="K46" s="206" t="s">
        <v>383</v>
      </c>
      <c r="L46" s="202" t="s">
        <v>276</v>
      </c>
    </row>
    <row r="47" spans="1:12" ht="14.4" x14ac:dyDescent="0.3">
      <c r="A47" s="192" t="s">
        <v>277</v>
      </c>
      <c r="B47" s="176" t="s">
        <v>165</v>
      </c>
      <c r="C47" s="176" t="s">
        <v>278</v>
      </c>
      <c r="D47" s="176" t="s">
        <v>167</v>
      </c>
      <c r="E47" s="193">
        <f>m_air*(1+1/f)*cp_gas*T_3*Rpg*eta_turb</f>
        <v>2679.7680714827393</v>
      </c>
      <c r="F47" s="176" t="s">
        <v>255</v>
      </c>
      <c r="G47" s="176" t="s">
        <v>355</v>
      </c>
      <c r="H47" s="206">
        <v>0</v>
      </c>
      <c r="I47" s="206">
        <v>1200000</v>
      </c>
      <c r="J47" s="194" t="s">
        <v>279</v>
      </c>
      <c r="K47" s="206" t="s">
        <v>383</v>
      </c>
      <c r="L47" s="202" t="s">
        <v>280</v>
      </c>
    </row>
    <row r="48" spans="1:12" ht="14.4" x14ac:dyDescent="0.3">
      <c r="A48" s="205" t="s">
        <v>334</v>
      </c>
      <c r="B48" s="176" t="s">
        <v>165</v>
      </c>
      <c r="C48" s="176" t="s">
        <v>281</v>
      </c>
      <c r="D48" s="176" t="s">
        <v>167</v>
      </c>
      <c r="E48" s="193">
        <f>m_air*(1+1/f)*cp_gas*(T_4-T_stack)</f>
        <v>2186.5670618505942</v>
      </c>
      <c r="F48" s="176" t="s">
        <v>255</v>
      </c>
      <c r="G48" s="176" t="s">
        <v>356</v>
      </c>
      <c r="H48" s="206">
        <v>0</v>
      </c>
      <c r="I48" s="206">
        <v>1500000</v>
      </c>
      <c r="J48" s="194" t="s">
        <v>282</v>
      </c>
      <c r="K48" s="206" t="s">
        <v>383</v>
      </c>
      <c r="L48" s="202" t="s">
        <v>283</v>
      </c>
    </row>
    <row r="49" spans="1:12" ht="14.4" x14ac:dyDescent="0.3">
      <c r="A49" s="192" t="s">
        <v>284</v>
      </c>
      <c r="B49" s="176" t="s">
        <v>202</v>
      </c>
      <c r="C49" s="176" t="s">
        <v>285</v>
      </c>
      <c r="D49" s="176" t="s">
        <v>167</v>
      </c>
      <c r="E49" s="193">
        <f>m_air/f*LHV</f>
        <v>3333.3333333333335</v>
      </c>
      <c r="F49" s="176" t="s">
        <v>255</v>
      </c>
      <c r="G49" s="176" t="s">
        <v>343</v>
      </c>
      <c r="H49" s="206">
        <v>0</v>
      </c>
      <c r="I49" s="206">
        <v>2500000</v>
      </c>
      <c r="J49" s="194" t="s">
        <v>286</v>
      </c>
      <c r="K49" s="206" t="s">
        <v>383</v>
      </c>
      <c r="L49" s="202" t="s">
        <v>285</v>
      </c>
    </row>
    <row r="50" spans="1:12" ht="14.4" x14ac:dyDescent="0.3">
      <c r="A50" s="192" t="s">
        <v>287</v>
      </c>
      <c r="B50" s="176" t="s">
        <v>202</v>
      </c>
      <c r="C50" s="176" t="s">
        <v>288</v>
      </c>
      <c r="D50" s="176" t="s">
        <v>167</v>
      </c>
      <c r="E50" s="193">
        <f>ng/LHV*3600*44/16</f>
        <v>660</v>
      </c>
      <c r="F50" s="176" t="s">
        <v>289</v>
      </c>
      <c r="G50" s="176" t="s">
        <v>344</v>
      </c>
      <c r="H50" s="206">
        <v>0</v>
      </c>
      <c r="I50" s="206">
        <v>600000</v>
      </c>
      <c r="J50" s="194" t="s">
        <v>290</v>
      </c>
      <c r="K50" s="206" t="s">
        <v>383</v>
      </c>
      <c r="L50" s="202" t="s">
        <v>291</v>
      </c>
    </row>
    <row r="51" spans="1:12" ht="14.4" x14ac:dyDescent="0.3">
      <c r="A51" s="192" t="s">
        <v>292</v>
      </c>
      <c r="B51" s="176" t="s">
        <v>165</v>
      </c>
      <c r="C51" s="176" t="s">
        <v>293</v>
      </c>
      <c r="D51" s="176" t="s">
        <v>167</v>
      </c>
      <c r="E51" s="193">
        <f>work_3_4-work_1_2</f>
        <v>929.25459694151959</v>
      </c>
      <c r="F51" s="176" t="s">
        <v>255</v>
      </c>
      <c r="G51" s="176" t="s">
        <v>345</v>
      </c>
      <c r="H51" s="206">
        <v>-100000</v>
      </c>
      <c r="I51" s="206">
        <v>1000000</v>
      </c>
      <c r="J51" s="194" t="s">
        <v>294</v>
      </c>
      <c r="K51" s="206" t="s">
        <v>383</v>
      </c>
      <c r="L51" s="202" t="s">
        <v>295</v>
      </c>
    </row>
    <row r="52" spans="1:12" ht="14.4" x14ac:dyDescent="0.3">
      <c r="A52" s="192" t="s">
        <v>296</v>
      </c>
      <c r="B52" s="176" t="s">
        <v>221</v>
      </c>
      <c r="C52" s="176" t="s">
        <v>297</v>
      </c>
      <c r="D52" s="176" t="s">
        <v>167</v>
      </c>
      <c r="E52" s="193">
        <f>(i*(i+1)^n)/(((i+1)^n)-1)</f>
        <v>6.6461535920675496E-2</v>
      </c>
      <c r="F52" s="176" t="s">
        <v>27</v>
      </c>
      <c r="G52" s="176" t="s">
        <v>346</v>
      </c>
      <c r="H52" s="206">
        <v>0.02</v>
      </c>
      <c r="I52" s="206">
        <v>0.5</v>
      </c>
      <c r="J52" s="194" t="s">
        <v>298</v>
      </c>
      <c r="K52" s="206" t="s">
        <v>383</v>
      </c>
      <c r="L52" s="202" t="s">
        <v>297</v>
      </c>
    </row>
    <row r="53" spans="1:12" thickBot="1" x14ac:dyDescent="0.35">
      <c r="A53" s="198" t="s">
        <v>299</v>
      </c>
      <c r="B53" s="179" t="s">
        <v>165</v>
      </c>
      <c r="C53" s="179" t="s">
        <v>300</v>
      </c>
      <c r="D53" s="179" t="s">
        <v>167</v>
      </c>
      <c r="E53" s="199">
        <f>500*elec_net_out*an_factor</f>
        <v>30879.843887040821</v>
      </c>
      <c r="F53" s="179" t="s">
        <v>335</v>
      </c>
      <c r="G53" s="179" t="s">
        <v>347</v>
      </c>
      <c r="H53" s="262">
        <v>0</v>
      </c>
      <c r="I53" s="262">
        <v>100000000</v>
      </c>
      <c r="J53" s="200" t="s">
        <v>301</v>
      </c>
      <c r="K53" s="262" t="s">
        <v>383</v>
      </c>
      <c r="L53" s="203" t="s">
        <v>302</v>
      </c>
    </row>
  </sheetData>
  <dataValidations count="3">
    <dataValidation type="list" allowBlank="1" showErrorMessage="1" sqref="B16:B53" xr:uid="{00000000-0002-0000-0300-000000000000}">
      <formula1>"CONTEXT,LITERATURE,MEASURED,DECISION"</formula1>
    </dataValidation>
    <dataValidation type="list" allowBlank="1" showErrorMessage="1" sqref="D16:D53" xr:uid="{00000000-0002-0000-0300-000001000000}">
      <formula1>"MANDATORY,OPTIONAL,PRIVATE"</formula1>
    </dataValidation>
    <dataValidation type="list" errorStyle="information" allowBlank="1" showInputMessage="1" showErrorMessage="1" sqref="F16:F53" xr:uid="{9BA4EB9C-F504-4919-8F95-827FFF0B59AA}">
      <formula1>"-,kg,s,m,K,°C,W,bar,kg/h,t/h,kW,kW/m2K,W/m2K,kJ/kgK,kJ/kg,m3/h,%,eur,eur/y,eur/kW,kWel/kWth,year"</formula1>
    </dataValidation>
  </dataValidations>
  <pageMargins left="0.7" right="0.7" top="0.75" bottom="0.75" header="0" footer="0"/>
  <pageSetup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3"/>
  <sheetViews>
    <sheetView showGridLines="0" topLeftCell="A2" zoomScale="55" zoomScaleNormal="55" workbookViewId="0">
      <selection activeCell="N28" sqref="N28"/>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6" t="s">
        <v>46</v>
      </c>
      <c r="B1" s="84"/>
      <c r="C1" s="84"/>
      <c r="D1" s="37"/>
      <c r="E1" s="38"/>
      <c r="F1" s="38"/>
      <c r="G1" s="38"/>
      <c r="H1" s="38"/>
      <c r="I1" s="6"/>
      <c r="J1" s="6"/>
      <c r="K1" s="7"/>
      <c r="L1" s="7"/>
      <c r="M1" s="7"/>
      <c r="N1" s="7"/>
    </row>
    <row r="2" spans="1:21" ht="91.8" customHeight="1" thickBot="1" x14ac:dyDescent="0.35">
      <c r="A2" s="103" t="s">
        <v>360</v>
      </c>
      <c r="B2" s="84"/>
      <c r="C2" s="84"/>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5"/>
      <c r="B4" s="39"/>
      <c r="C4" s="39"/>
      <c r="D4" s="6"/>
      <c r="E4" s="40"/>
      <c r="F4" s="40"/>
      <c r="G4" s="40"/>
      <c r="H4" s="41"/>
      <c r="I4" s="42"/>
      <c r="J4" s="42"/>
      <c r="K4" s="42"/>
      <c r="L4" s="42"/>
      <c r="M4" s="42"/>
      <c r="N4" s="42"/>
    </row>
    <row r="5" spans="1:21" thickBot="1" x14ac:dyDescent="0.35">
      <c r="A5" s="88" t="s">
        <v>48</v>
      </c>
      <c r="B5" s="89" t="s">
        <v>50</v>
      </c>
      <c r="C5" s="90" t="s">
        <v>49</v>
      </c>
      <c r="D5" s="66" t="s">
        <v>150</v>
      </c>
      <c r="E5" s="45"/>
      <c r="F5" s="45"/>
      <c r="G5" s="45"/>
      <c r="H5" s="44"/>
      <c r="I5" s="7"/>
      <c r="J5" s="7"/>
      <c r="K5" s="7"/>
      <c r="L5" s="7"/>
      <c r="M5" s="7"/>
      <c r="N5" s="7"/>
    </row>
    <row r="6" spans="1:21" thickBot="1" x14ac:dyDescent="0.35">
      <c r="A6" s="140" t="s">
        <v>310</v>
      </c>
      <c r="B6" s="149">
        <v>0</v>
      </c>
      <c r="C6" s="260">
        <v>10</v>
      </c>
      <c r="D6" s="46"/>
      <c r="E6" s="47"/>
      <c r="F6" s="48"/>
      <c r="G6" s="48"/>
      <c r="H6" s="49"/>
      <c r="I6" s="38"/>
      <c r="J6" s="38"/>
      <c r="K6" s="38"/>
      <c r="L6" s="38"/>
      <c r="M6" s="38"/>
      <c r="N6" s="38"/>
    </row>
    <row r="7" spans="1:21" thickBot="1" x14ac:dyDescent="0.35">
      <c r="A7" s="50"/>
      <c r="B7" s="51"/>
      <c r="C7" s="51"/>
      <c r="D7" s="52"/>
      <c r="E7" s="5"/>
      <c r="F7" s="40"/>
      <c r="G7" s="40"/>
      <c r="H7" s="41"/>
      <c r="I7" s="40"/>
      <c r="J7" s="40"/>
      <c r="K7" s="40"/>
      <c r="L7" s="40"/>
      <c r="M7" s="40"/>
      <c r="N7" s="40"/>
    </row>
    <row r="8" spans="1:21" ht="17.25" customHeight="1" thickBot="1" x14ac:dyDescent="0.35">
      <c r="A8" s="102" t="s">
        <v>47</v>
      </c>
      <c r="B8" s="84"/>
      <c r="C8" s="84"/>
      <c r="D8" s="41"/>
      <c r="E8" s="5"/>
      <c r="F8" s="40"/>
      <c r="G8" s="40"/>
      <c r="H8" s="41"/>
      <c r="I8" s="40"/>
      <c r="J8" s="40"/>
      <c r="K8" s="40"/>
      <c r="L8" s="40"/>
      <c r="M8" s="40"/>
      <c r="N8" s="40"/>
    </row>
    <row r="9" spans="1:21" ht="61.2" customHeight="1" thickBot="1" x14ac:dyDescent="0.35">
      <c r="A9" s="229" t="s">
        <v>367</v>
      </c>
      <c r="B9" s="84"/>
      <c r="C9" s="84"/>
      <c r="D9" s="5"/>
      <c r="E9" s="5"/>
      <c r="F9" s="40"/>
      <c r="G9" s="40"/>
      <c r="H9" s="41"/>
      <c r="I9" s="40"/>
      <c r="J9" s="40"/>
      <c r="K9" s="40"/>
      <c r="L9" s="40"/>
      <c r="M9" s="40"/>
      <c r="N9" s="40"/>
    </row>
    <row r="10" spans="1:21" thickBot="1" x14ac:dyDescent="0.35">
      <c r="A10" s="53"/>
      <c r="B10" s="40"/>
      <c r="C10" s="40"/>
      <c r="D10" s="5"/>
      <c r="E10" s="5"/>
      <c r="F10" s="40"/>
      <c r="G10" s="40"/>
      <c r="H10" s="41"/>
      <c r="I10" s="40"/>
      <c r="J10" s="40"/>
      <c r="K10" s="40"/>
      <c r="L10" s="40"/>
      <c r="M10" s="40"/>
      <c r="N10" s="40"/>
    </row>
    <row r="11" spans="1:21" thickBot="1" x14ac:dyDescent="0.35">
      <c r="A11" s="54" t="s">
        <v>59</v>
      </c>
      <c r="B11" s="40"/>
      <c r="C11" s="40"/>
      <c r="D11" s="5"/>
      <c r="E11" s="5"/>
      <c r="F11" s="40"/>
      <c r="G11" s="40"/>
      <c r="H11" s="41"/>
      <c r="I11" s="40"/>
      <c r="J11" s="40"/>
      <c r="K11" s="40"/>
      <c r="L11" s="40"/>
      <c r="M11" s="40"/>
      <c r="N11" s="40"/>
    </row>
    <row r="12" spans="1:21" thickBot="1" x14ac:dyDescent="0.35">
      <c r="A12" s="55" t="s">
        <v>58</v>
      </c>
      <c r="B12" s="56"/>
      <c r="D12" s="56"/>
      <c r="E12" s="56"/>
      <c r="F12" s="56"/>
      <c r="G12" s="56"/>
      <c r="H12" s="56"/>
      <c r="I12" s="57"/>
      <c r="J12" s="56"/>
      <c r="K12" s="56"/>
      <c r="L12" s="56"/>
      <c r="M12" s="43"/>
      <c r="N12" s="43"/>
    </row>
    <row r="13" spans="1:21" ht="19.5" customHeight="1" thickBot="1" x14ac:dyDescent="0.35">
      <c r="A13" s="87" t="s">
        <v>2</v>
      </c>
      <c r="B13" s="91"/>
      <c r="C13" s="91"/>
      <c r="D13" s="91"/>
      <c r="E13" s="91"/>
      <c r="F13" s="91"/>
      <c r="G13" s="91"/>
      <c r="H13" s="91"/>
      <c r="I13" s="91"/>
      <c r="J13" s="91"/>
      <c r="K13" s="91"/>
      <c r="L13" s="94"/>
      <c r="M13" s="94"/>
      <c r="N13" s="101"/>
    </row>
    <row r="14" spans="1:21" thickBot="1" x14ac:dyDescent="0.35">
      <c r="A14" s="110" t="s">
        <v>17</v>
      </c>
      <c r="B14" s="111" t="s">
        <v>18</v>
      </c>
      <c r="C14" s="111" t="s">
        <v>38</v>
      </c>
      <c r="D14" s="111" t="s">
        <v>147</v>
      </c>
      <c r="E14" s="111" t="s">
        <v>148</v>
      </c>
      <c r="F14" s="111" t="s">
        <v>145</v>
      </c>
      <c r="G14" s="112" t="s">
        <v>21</v>
      </c>
      <c r="H14" s="111" t="s">
        <v>146</v>
      </c>
      <c r="I14" s="111" t="s">
        <v>23</v>
      </c>
      <c r="J14" s="111" t="s">
        <v>24</v>
      </c>
      <c r="K14" s="111" t="s">
        <v>25</v>
      </c>
      <c r="L14" s="141" t="s">
        <v>26</v>
      </c>
      <c r="M14" s="141" t="s">
        <v>121</v>
      </c>
      <c r="N14" s="131" t="s">
        <v>15</v>
      </c>
    </row>
    <row r="15" spans="1:21" ht="14.4" x14ac:dyDescent="0.3">
      <c r="A15" s="213" t="s">
        <v>304</v>
      </c>
      <c r="B15" s="182" t="s">
        <v>305</v>
      </c>
      <c r="C15" s="182" t="s">
        <v>311</v>
      </c>
      <c r="D15" s="214">
        <f>ng</f>
        <v>3333.3333333333335</v>
      </c>
      <c r="E15" s="182" t="s">
        <v>255</v>
      </c>
      <c r="F15" s="215">
        <v>25</v>
      </c>
      <c r="G15" s="215" t="s">
        <v>263</v>
      </c>
      <c r="H15" s="215">
        <v>1</v>
      </c>
      <c r="I15" s="215" t="s">
        <v>319</v>
      </c>
      <c r="J15" s="215">
        <v>1</v>
      </c>
      <c r="K15" s="215" t="s">
        <v>318</v>
      </c>
      <c r="L15" s="182" t="s">
        <v>379</v>
      </c>
      <c r="M15" s="231" t="s">
        <v>361</v>
      </c>
      <c r="N15" s="201" t="s">
        <v>321</v>
      </c>
      <c r="O15" s="1"/>
      <c r="P15" s="1"/>
      <c r="Q15" s="1"/>
      <c r="R15" s="1"/>
      <c r="S15" s="1"/>
      <c r="T15" s="1"/>
      <c r="U15" s="1"/>
    </row>
    <row r="16" spans="1:21" ht="14.4" x14ac:dyDescent="0.3">
      <c r="A16" s="210" t="s">
        <v>307</v>
      </c>
      <c r="B16" s="176" t="s">
        <v>306</v>
      </c>
      <c r="C16" s="176" t="s">
        <v>312</v>
      </c>
      <c r="D16" s="211">
        <f>elec_net_out</f>
        <v>929.25459694151959</v>
      </c>
      <c r="E16" s="176" t="s">
        <v>255</v>
      </c>
      <c r="F16" s="212" t="s">
        <v>27</v>
      </c>
      <c r="G16" s="212" t="s">
        <v>27</v>
      </c>
      <c r="H16" s="212" t="s">
        <v>27</v>
      </c>
      <c r="I16" s="212" t="s">
        <v>27</v>
      </c>
      <c r="J16" s="212" t="s">
        <v>27</v>
      </c>
      <c r="K16" s="212" t="s">
        <v>27</v>
      </c>
      <c r="L16" s="176" t="s">
        <v>27</v>
      </c>
      <c r="M16" s="232" t="s">
        <v>362</v>
      </c>
      <c r="N16" s="202" t="s">
        <v>322</v>
      </c>
      <c r="O16" s="209"/>
      <c r="P16" s="209"/>
      <c r="Q16" s="209"/>
      <c r="R16" s="209"/>
      <c r="S16" s="209"/>
      <c r="T16" s="209"/>
      <c r="U16" s="209"/>
    </row>
    <row r="17" spans="1:21" thickBot="1" x14ac:dyDescent="0.35">
      <c r="A17" s="217" t="s">
        <v>309</v>
      </c>
      <c r="B17" s="179" t="s">
        <v>305</v>
      </c>
      <c r="C17" s="179" t="s">
        <v>312</v>
      </c>
      <c r="D17" s="218">
        <f>co2fromNG</f>
        <v>660</v>
      </c>
      <c r="E17" s="179" t="s">
        <v>289</v>
      </c>
      <c r="F17" s="219">
        <v>25</v>
      </c>
      <c r="G17" s="219" t="s">
        <v>263</v>
      </c>
      <c r="H17" s="219">
        <v>1</v>
      </c>
      <c r="I17" s="219" t="s">
        <v>319</v>
      </c>
      <c r="J17" s="219">
        <v>1</v>
      </c>
      <c r="K17" s="219" t="s">
        <v>318</v>
      </c>
      <c r="L17" s="179" t="s">
        <v>320</v>
      </c>
      <c r="M17" s="233" t="s">
        <v>361</v>
      </c>
      <c r="N17" s="203" t="s">
        <v>323</v>
      </c>
      <c r="O17" s="209"/>
      <c r="P17" s="209"/>
      <c r="Q17" s="209"/>
      <c r="R17" s="209"/>
      <c r="S17" s="209"/>
      <c r="T17" s="209"/>
      <c r="U17" s="209"/>
    </row>
    <row r="18" spans="1:21" thickBot="1" x14ac:dyDescent="0.35">
      <c r="A18" s="59"/>
      <c r="B18" s="51"/>
      <c r="C18" s="51"/>
      <c r="D18" s="51"/>
      <c r="E18" s="60"/>
      <c r="F18" s="61"/>
      <c r="G18" s="61"/>
      <c r="H18" s="61"/>
      <c r="I18" s="61"/>
      <c r="J18" s="60"/>
      <c r="K18" s="62"/>
      <c r="L18" s="51"/>
      <c r="M18" s="63"/>
      <c r="N18" s="51"/>
      <c r="O18" s="63"/>
      <c r="P18" s="63"/>
      <c r="Q18" s="63"/>
      <c r="R18" s="63"/>
      <c r="S18" s="63"/>
      <c r="T18" s="63"/>
      <c r="U18" s="63"/>
    </row>
    <row r="19" spans="1:21" ht="14.25" customHeight="1" thickBot="1" x14ac:dyDescent="0.35">
      <c r="A19" s="104" t="s">
        <v>56</v>
      </c>
      <c r="C19" s="84"/>
      <c r="D19" s="37"/>
      <c r="E19" s="38"/>
      <c r="F19" s="38"/>
      <c r="G19" s="38"/>
      <c r="H19" s="38"/>
      <c r="I19" s="6"/>
      <c r="J19" s="6"/>
      <c r="K19" s="7"/>
      <c r="L19" s="7"/>
      <c r="M19" s="7"/>
      <c r="N19" s="7"/>
      <c r="O19" s="38"/>
      <c r="P19" s="38"/>
      <c r="Q19" s="38"/>
      <c r="R19" s="38"/>
      <c r="S19" s="38"/>
      <c r="T19" s="38"/>
      <c r="U19" s="38"/>
    </row>
    <row r="20" spans="1:21" ht="50.4" customHeight="1" thickBot="1" x14ac:dyDescent="0.35">
      <c r="A20" s="229" t="s">
        <v>368</v>
      </c>
      <c r="C20" s="84"/>
      <c r="D20" s="37"/>
      <c r="E20" s="38"/>
      <c r="F20" s="38"/>
      <c r="G20" s="38"/>
      <c r="H20" s="38"/>
      <c r="I20" s="6"/>
      <c r="J20" s="6"/>
      <c r="K20" s="7"/>
      <c r="L20" s="7"/>
      <c r="M20" s="7"/>
      <c r="N20" s="7"/>
      <c r="O20" s="38"/>
      <c r="P20" s="38"/>
      <c r="Q20" s="38"/>
      <c r="R20" s="38"/>
      <c r="S20" s="38"/>
      <c r="U20" s="38"/>
    </row>
    <row r="21" spans="1:21" thickBot="1" x14ac:dyDescent="0.35">
      <c r="A21" s="64"/>
      <c r="B21" s="40"/>
      <c r="C21" s="40"/>
      <c r="D21" s="40"/>
      <c r="E21" s="5"/>
      <c r="F21" s="58"/>
      <c r="G21" s="58"/>
      <c r="H21" s="58"/>
      <c r="I21" s="58"/>
      <c r="J21" s="5"/>
      <c r="K21" s="41"/>
      <c r="L21" s="40"/>
      <c r="M21" s="40"/>
      <c r="N21" s="40"/>
      <c r="O21" s="40"/>
      <c r="P21" s="40"/>
      <c r="Q21" s="40"/>
      <c r="R21" s="40"/>
      <c r="S21" s="40"/>
      <c r="T21" s="40"/>
      <c r="U21" s="40"/>
    </row>
    <row r="22" spans="1:21" thickBot="1" x14ac:dyDescent="0.35">
      <c r="A22" s="92" t="s">
        <v>40</v>
      </c>
      <c r="B22" s="93"/>
      <c r="C22" s="93"/>
      <c r="D22" s="93"/>
      <c r="E22" s="93"/>
      <c r="F22" s="93"/>
      <c r="G22" s="93"/>
      <c r="H22" s="93"/>
      <c r="I22" s="93"/>
      <c r="J22" s="93"/>
      <c r="K22" s="93"/>
      <c r="L22" s="93"/>
      <c r="M22" s="93"/>
      <c r="N22" s="93"/>
      <c r="O22" s="93"/>
      <c r="P22" s="93"/>
      <c r="Q22" s="93"/>
      <c r="R22" s="93"/>
      <c r="S22" s="93"/>
      <c r="T22" s="93"/>
      <c r="U22" s="101"/>
    </row>
    <row r="23" spans="1:21" thickBot="1" x14ac:dyDescent="0.35">
      <c r="A23" s="142" t="s">
        <v>52</v>
      </c>
      <c r="B23" s="143" t="s">
        <v>18</v>
      </c>
      <c r="C23" s="143" t="s">
        <v>109</v>
      </c>
      <c r="D23" s="144" t="s">
        <v>105</v>
      </c>
      <c r="E23" s="143" t="s">
        <v>110</v>
      </c>
      <c r="F23" s="143" t="s">
        <v>106</v>
      </c>
      <c r="G23" s="143" t="s">
        <v>111</v>
      </c>
      <c r="H23" s="143" t="s">
        <v>112</v>
      </c>
      <c r="I23" s="143" t="s">
        <v>113</v>
      </c>
      <c r="J23" s="143" t="s">
        <v>107</v>
      </c>
      <c r="K23" s="143" t="s">
        <v>114</v>
      </c>
      <c r="L23" s="143" t="s">
        <v>108</v>
      </c>
      <c r="M23" s="143" t="s">
        <v>115</v>
      </c>
      <c r="N23" s="143" t="s">
        <v>116</v>
      </c>
      <c r="O23" s="143" t="s">
        <v>117</v>
      </c>
      <c r="P23" s="143" t="s">
        <v>118</v>
      </c>
      <c r="Q23" s="143" t="s">
        <v>119</v>
      </c>
      <c r="R23" s="143" t="s">
        <v>120</v>
      </c>
      <c r="S23" s="145" t="s">
        <v>51</v>
      </c>
      <c r="T23" s="145" t="s">
        <v>121</v>
      </c>
      <c r="U23" s="131" t="s">
        <v>15</v>
      </c>
    </row>
    <row r="24" spans="1:21" ht="15.75" customHeight="1" x14ac:dyDescent="0.3">
      <c r="A24" s="221" t="s">
        <v>313</v>
      </c>
      <c r="B24" s="182" t="s">
        <v>314</v>
      </c>
      <c r="C24" s="222">
        <f>T_4_C</f>
        <v>616.99198526952921</v>
      </c>
      <c r="D24" s="216" t="s">
        <v>263</v>
      </c>
      <c r="E24" s="222">
        <f>T_stack</f>
        <v>423</v>
      </c>
      <c r="F24" s="216" t="s">
        <v>263</v>
      </c>
      <c r="G24" s="196">
        <f>Q_4</f>
        <v>2186.5670618505942</v>
      </c>
      <c r="H24" s="216" t="s">
        <v>255</v>
      </c>
      <c r="I24" s="196">
        <v>0</v>
      </c>
      <c r="J24" s="216" t="s">
        <v>255</v>
      </c>
      <c r="K24" s="207">
        <f>cp_gas</f>
        <v>1.151</v>
      </c>
      <c r="L24" s="223" t="s">
        <v>213</v>
      </c>
      <c r="M24" s="207">
        <f>G24/K24/(C24-E24)*3600</f>
        <v>35253.820691839268</v>
      </c>
      <c r="N24" s="216" t="s">
        <v>289</v>
      </c>
      <c r="O24" s="182">
        <f>dt_min</f>
        <v>5</v>
      </c>
      <c r="P24" s="216" t="s">
        <v>182</v>
      </c>
      <c r="Q24" s="196">
        <v>0.06</v>
      </c>
      <c r="R24" s="223" t="s">
        <v>363</v>
      </c>
      <c r="S24" s="196" t="s">
        <v>315</v>
      </c>
      <c r="T24" s="196" t="s">
        <v>361</v>
      </c>
      <c r="U24" s="227" t="s">
        <v>364</v>
      </c>
    </row>
    <row r="25" spans="1:21" ht="15.75" customHeight="1" thickBot="1" x14ac:dyDescent="0.35">
      <c r="A25" s="224" t="s">
        <v>316</v>
      </c>
      <c r="B25" s="179" t="s">
        <v>317</v>
      </c>
      <c r="C25" s="225">
        <f>T_2_C</f>
        <v>459.86825908081994</v>
      </c>
      <c r="D25" s="220" t="s">
        <v>263</v>
      </c>
      <c r="E25" s="225">
        <f>T_2a_C</f>
        <v>599.85</v>
      </c>
      <c r="F25" s="220" t="s">
        <v>263</v>
      </c>
      <c r="G25" s="199">
        <v>0</v>
      </c>
      <c r="H25" s="220" t="s">
        <v>255</v>
      </c>
      <c r="I25" s="199">
        <f>Q_2a</f>
        <v>563.2865254587806</v>
      </c>
      <c r="J25" s="220" t="s">
        <v>255</v>
      </c>
      <c r="K25" s="208">
        <f>cp_air</f>
        <v>1.006</v>
      </c>
      <c r="L25" s="226" t="s">
        <v>213</v>
      </c>
      <c r="M25" s="208">
        <f>I25/K25/(-C25+E25)*3600</f>
        <v>14400</v>
      </c>
      <c r="N25" s="220" t="s">
        <v>289</v>
      </c>
      <c r="O25" s="179">
        <f>dt_min</f>
        <v>5</v>
      </c>
      <c r="P25" s="220" t="s">
        <v>182</v>
      </c>
      <c r="Q25" s="199">
        <v>0.06</v>
      </c>
      <c r="R25" s="226" t="s">
        <v>363</v>
      </c>
      <c r="S25" s="199" t="s">
        <v>315</v>
      </c>
      <c r="T25" s="199" t="s">
        <v>361</v>
      </c>
      <c r="U25" s="228" t="s">
        <v>365</v>
      </c>
    </row>
    <row r="26" spans="1:21" ht="14.25" customHeight="1" thickBot="1" x14ac:dyDescent="0.35">
      <c r="A26" s="150"/>
      <c r="B26" s="150"/>
      <c r="C26" s="150"/>
      <c r="D26" s="150"/>
      <c r="E26" s="150"/>
      <c r="F26" s="150"/>
      <c r="G26" s="150"/>
      <c r="H26" s="150"/>
      <c r="I26" s="150"/>
      <c r="J26" s="150"/>
      <c r="K26" s="150"/>
      <c r="L26" s="151"/>
      <c r="M26" s="151"/>
      <c r="N26" s="151"/>
      <c r="O26" s="79"/>
      <c r="P26" s="79"/>
      <c r="Q26" s="79"/>
      <c r="R26" s="79"/>
      <c r="S26" s="79"/>
      <c r="T26" s="79"/>
      <c r="U26" s="79"/>
    </row>
    <row r="27" spans="1:21" ht="14.25" customHeight="1" thickBot="1" x14ac:dyDescent="0.35">
      <c r="A27" s="106" t="s">
        <v>44</v>
      </c>
      <c r="B27" s="84"/>
      <c r="C27" s="84"/>
      <c r="D27" s="37"/>
      <c r="E27" s="38"/>
      <c r="F27" s="38"/>
      <c r="G27" s="38"/>
      <c r="H27" s="38"/>
      <c r="I27" s="86"/>
      <c r="J27" s="6"/>
      <c r="K27" s="7"/>
      <c r="L27" s="84"/>
      <c r="M27" s="84"/>
      <c r="N27" s="84"/>
      <c r="O27" s="38"/>
      <c r="P27" s="38"/>
      <c r="Q27" s="38"/>
      <c r="R27" s="38"/>
      <c r="S27" s="38"/>
      <c r="T27" s="38"/>
      <c r="U27" s="38"/>
    </row>
    <row r="28" spans="1:21" ht="57.45" customHeight="1" thickBot="1" x14ac:dyDescent="0.35">
      <c r="A28" s="230" t="s">
        <v>369</v>
      </c>
      <c r="B28" s="84"/>
      <c r="C28" s="84"/>
      <c r="D28" s="37"/>
      <c r="E28" s="38"/>
      <c r="F28" s="38"/>
      <c r="G28" s="38"/>
      <c r="H28" s="38"/>
      <c r="I28" s="6"/>
      <c r="J28" s="6"/>
      <c r="K28" s="7"/>
      <c r="L28" s="84"/>
      <c r="M28" s="84"/>
      <c r="N28" s="84"/>
      <c r="O28" s="38"/>
      <c r="P28" s="38"/>
      <c r="Q28" s="38"/>
      <c r="R28" s="38"/>
      <c r="S28" s="38"/>
      <c r="T28" s="38"/>
      <c r="U28" s="38"/>
    </row>
    <row r="29" spans="1:21" ht="15.75" customHeight="1" thickBot="1" x14ac:dyDescent="0.35">
      <c r="A29" s="67"/>
      <c r="B29" s="56"/>
      <c r="C29" s="56"/>
      <c r="D29" s="56"/>
      <c r="E29" s="68"/>
      <c r="F29" s="43"/>
      <c r="G29" s="43"/>
      <c r="H29" s="43"/>
      <c r="I29" s="43"/>
      <c r="J29" s="45"/>
      <c r="K29" s="45"/>
      <c r="L29" s="45"/>
      <c r="M29" s="65"/>
      <c r="O29" s="45"/>
      <c r="P29" s="45"/>
      <c r="Q29" s="45"/>
      <c r="R29" s="45"/>
      <c r="S29" s="45"/>
      <c r="T29" s="45"/>
      <c r="U29" s="45"/>
    </row>
    <row r="30" spans="1:21" ht="15.75" customHeight="1" thickBot="1" x14ac:dyDescent="0.35">
      <c r="A30" s="126" t="s">
        <v>41</v>
      </c>
      <c r="B30" s="127"/>
      <c r="C30" s="127"/>
      <c r="D30" s="127"/>
      <c r="E30" s="127"/>
      <c r="F30" s="127"/>
      <c r="G30" s="128"/>
      <c r="H30" s="69" t="s">
        <v>122</v>
      </c>
      <c r="I30" s="45"/>
      <c r="J30" s="45"/>
      <c r="K30" s="45"/>
      <c r="L30" s="45"/>
      <c r="M30" s="45"/>
      <c r="N30" s="43"/>
      <c r="O30" s="45"/>
      <c r="P30" s="45"/>
      <c r="Q30" s="45"/>
      <c r="R30" s="45"/>
      <c r="S30" s="45"/>
      <c r="T30" s="45"/>
      <c r="U30" s="45"/>
    </row>
    <row r="31" spans="1:21" ht="15.75" customHeight="1" thickBot="1" x14ac:dyDescent="0.35">
      <c r="A31" s="245" t="s">
        <v>52</v>
      </c>
      <c r="B31" s="246" t="s">
        <v>18</v>
      </c>
      <c r="C31" s="246" t="s">
        <v>103</v>
      </c>
      <c r="D31" s="246" t="s">
        <v>104</v>
      </c>
      <c r="E31" s="246" t="s">
        <v>53</v>
      </c>
      <c r="F31" s="246" t="s">
        <v>39</v>
      </c>
      <c r="G31" s="247" t="s">
        <v>149</v>
      </c>
      <c r="H31" s="71"/>
      <c r="I31" s="70"/>
      <c r="J31" s="72"/>
      <c r="K31" s="48"/>
      <c r="L31" s="48"/>
      <c r="M31" s="48"/>
      <c r="N31" s="45"/>
      <c r="O31" s="45"/>
      <c r="P31" s="45"/>
      <c r="Q31" s="45"/>
      <c r="R31" s="45"/>
      <c r="S31" s="45"/>
      <c r="T31" s="45"/>
      <c r="U31" s="45"/>
    </row>
    <row r="32" spans="1:21" ht="15.75" customHeight="1" x14ac:dyDescent="0.3">
      <c r="A32" s="248" t="s">
        <v>310</v>
      </c>
      <c r="B32" s="249" t="s">
        <v>370</v>
      </c>
      <c r="C32" s="249" t="s">
        <v>371</v>
      </c>
      <c r="D32" s="249" t="s">
        <v>372</v>
      </c>
      <c r="E32" s="249" t="s">
        <v>376</v>
      </c>
      <c r="F32" s="249">
        <f>n</f>
        <v>40</v>
      </c>
      <c r="G32" s="250" t="s">
        <v>373</v>
      </c>
      <c r="H32" s="241"/>
      <c r="I32" s="241"/>
      <c r="J32" s="241"/>
      <c r="K32" s="150"/>
      <c r="L32" s="150"/>
      <c r="M32" s="150"/>
      <c r="N32" s="150"/>
      <c r="O32" s="150"/>
      <c r="P32" s="150"/>
      <c r="Q32" s="150"/>
      <c r="R32" s="150"/>
      <c r="S32" s="150"/>
      <c r="T32" s="150"/>
      <c r="U32" s="150"/>
    </row>
    <row r="33" spans="1:21" ht="15.75" customHeight="1" x14ac:dyDescent="0.3">
      <c r="A33" s="251"/>
      <c r="B33" s="252"/>
      <c r="C33" s="252"/>
      <c r="D33" s="252"/>
      <c r="E33" s="252" t="s">
        <v>377</v>
      </c>
      <c r="F33" s="252">
        <f>i</f>
        <v>0.06</v>
      </c>
      <c r="G33" s="253" t="s">
        <v>27</v>
      </c>
      <c r="H33" s="241"/>
      <c r="I33" s="241"/>
      <c r="J33" s="241"/>
      <c r="K33" s="150"/>
      <c r="L33" s="150"/>
      <c r="M33" s="150"/>
      <c r="N33" s="150"/>
      <c r="O33" s="150"/>
      <c r="P33" s="150"/>
      <c r="Q33" s="150"/>
      <c r="R33" s="150"/>
      <c r="S33" s="150"/>
      <c r="T33" s="150"/>
      <c r="U33" s="150"/>
    </row>
    <row r="34" spans="1:21" ht="15.75" customHeight="1" x14ac:dyDescent="0.3">
      <c r="A34" s="251"/>
      <c r="B34" s="252"/>
      <c r="C34" s="252"/>
      <c r="D34" s="252"/>
      <c r="E34" s="252" t="s">
        <v>374</v>
      </c>
      <c r="F34" s="252">
        <v>500</v>
      </c>
      <c r="G34" s="253" t="s">
        <v>375</v>
      </c>
      <c r="H34" s="241"/>
      <c r="I34" s="241"/>
      <c r="J34" s="241"/>
      <c r="K34" s="150"/>
      <c r="L34" s="150"/>
      <c r="M34" s="150"/>
      <c r="N34" s="150"/>
      <c r="O34" s="150"/>
      <c r="P34" s="150"/>
      <c r="Q34" s="150"/>
      <c r="R34" s="150"/>
      <c r="S34" s="150"/>
      <c r="T34" s="150"/>
      <c r="U34" s="150"/>
    </row>
    <row r="35" spans="1:21" ht="15.6" customHeight="1" thickBot="1" x14ac:dyDescent="0.35">
      <c r="A35" s="254"/>
      <c r="B35" s="255"/>
      <c r="C35" s="255"/>
      <c r="D35" s="255"/>
      <c r="E35" s="255" t="s">
        <v>236</v>
      </c>
      <c r="F35" s="255">
        <f>CEPCI_2008</f>
        <v>575.4</v>
      </c>
      <c r="G35" s="256" t="s">
        <v>27</v>
      </c>
      <c r="H35" s="241"/>
      <c r="I35" s="241"/>
      <c r="J35" s="241"/>
      <c r="K35" s="150"/>
      <c r="L35" s="150"/>
      <c r="M35" s="150"/>
      <c r="N35" s="150"/>
      <c r="O35" s="150"/>
      <c r="P35" s="150"/>
      <c r="Q35" s="150"/>
      <c r="R35" s="150"/>
      <c r="S35" s="150"/>
      <c r="T35" s="150"/>
      <c r="U35" s="150"/>
    </row>
    <row r="36" spans="1:21" ht="15.75" customHeight="1" x14ac:dyDescent="0.3">
      <c r="A36" s="242"/>
      <c r="B36" s="242"/>
      <c r="C36" s="242"/>
      <c r="D36" s="242"/>
      <c r="E36" s="243"/>
      <c r="F36" s="242"/>
      <c r="G36" s="242"/>
      <c r="H36" s="241"/>
      <c r="I36" s="241"/>
      <c r="J36" s="241"/>
      <c r="K36" s="244"/>
      <c r="L36" s="244"/>
      <c r="M36" s="150"/>
      <c r="N36" s="150"/>
      <c r="O36" s="150"/>
      <c r="P36" s="150"/>
      <c r="Q36" s="150"/>
      <c r="R36" s="150"/>
      <c r="S36" s="150"/>
      <c r="T36" s="150"/>
      <c r="U36" s="150"/>
    </row>
    <row r="37" spans="1:21" ht="42" customHeight="1" thickBot="1" x14ac:dyDescent="0.35">
      <c r="A37" s="107"/>
      <c r="B37" s="73"/>
      <c r="C37" s="152"/>
      <c r="D37" s="73"/>
      <c r="E37" s="73"/>
      <c r="F37" s="73"/>
      <c r="G37" s="73"/>
      <c r="H37" s="70"/>
    </row>
    <row r="38" spans="1:21" ht="15.75" customHeight="1" thickBot="1" x14ac:dyDescent="0.35">
      <c r="A38" s="106" t="s">
        <v>45</v>
      </c>
      <c r="B38" s="84"/>
      <c r="C38" s="84"/>
      <c r="D38" s="70"/>
      <c r="E38" s="70"/>
      <c r="F38" s="70"/>
      <c r="G38" s="70"/>
      <c r="H38" s="75"/>
    </row>
    <row r="39" spans="1:21" ht="34.799999999999997" customHeight="1" thickBot="1" x14ac:dyDescent="0.35">
      <c r="A39" s="105" t="s">
        <v>42</v>
      </c>
      <c r="B39" s="84"/>
      <c r="C39" s="84"/>
      <c r="D39" s="70"/>
      <c r="E39" s="70"/>
      <c r="F39" s="70"/>
      <c r="G39" s="70"/>
      <c r="H39" s="70"/>
    </row>
    <row r="40" spans="1:21" ht="15.75" customHeight="1" thickBot="1" x14ac:dyDescent="0.35">
      <c r="A40" s="74"/>
      <c r="B40" s="75"/>
      <c r="C40" s="60"/>
      <c r="D40" s="75"/>
      <c r="E40" s="75"/>
      <c r="F40" s="75"/>
      <c r="G40" s="75"/>
      <c r="H40" s="70"/>
    </row>
    <row r="41" spans="1:21" ht="15.75" customHeight="1" thickBot="1" x14ac:dyDescent="0.35">
      <c r="A41" s="76" t="s">
        <v>57</v>
      </c>
      <c r="B41" s="77"/>
      <c r="C41" s="78"/>
      <c r="D41" s="70"/>
      <c r="E41" s="70"/>
      <c r="F41" s="70"/>
      <c r="G41" s="70"/>
      <c r="H41" s="70"/>
    </row>
    <row r="42" spans="1:21" ht="15.75" customHeight="1" thickBot="1" x14ac:dyDescent="0.35">
      <c r="A42" s="146" t="s">
        <v>54</v>
      </c>
      <c r="B42" s="147" t="s">
        <v>55</v>
      </c>
      <c r="C42" s="70"/>
      <c r="D42" s="70"/>
      <c r="E42" s="70"/>
      <c r="F42" s="70"/>
      <c r="G42" s="70"/>
      <c r="H42" s="70"/>
    </row>
    <row r="43" spans="1:21" ht="15.75" customHeight="1" thickBot="1" x14ac:dyDescent="0.35">
      <c r="A43" s="140">
        <v>0</v>
      </c>
      <c r="B43" s="148">
        <v>0</v>
      </c>
      <c r="C43" s="70"/>
      <c r="D43" s="70"/>
      <c r="E43" s="70"/>
      <c r="F43" s="70"/>
      <c r="G43" s="70"/>
      <c r="H43" s="70"/>
    </row>
  </sheetData>
  <dataValidations count="4">
    <dataValidation type="list" allowBlank="1" showErrorMessage="1" sqref="B24:B25" xr:uid="{00000000-0002-0000-0400-000002000000}">
      <formula1>"Cold,Hot"</formula1>
    </dataValidation>
    <dataValidation type="list" allowBlank="1" showErrorMessage="1" sqref="C15:C17" xr:uid="{00000000-0002-0000-0400-000000000000}">
      <formula1>"IN,OUT"</formula1>
    </dataValidation>
    <dataValidation type="list" allowBlank="1" showErrorMessage="1" sqref="B15:B17" xr:uid="{00000000-0002-0000-0400-000001000000}">
      <formula1>"MASS,ELECTRICITY,EMISSIONS,ENERGY"</formula1>
    </dataValidation>
    <dataValidation type="list" errorStyle="information" allowBlank="1" showInputMessage="1" showErrorMessage="1" sqref="E15:E17 G15:G17 I15:I17 D24:D25 F24:F25 H24:H25 J24:J25 L24:L25 N24:N25 P24:P25 R24:R25 G36" xr:uid="{14EC062B-EAFE-46B5-B6A4-A1A0E56EA33C}">
      <formula1>"-,kg,s,m,K,°C,W,bar,kg/h,t/h,kW,kW/m2K,W/m2K,kJ/kgK,kJ/kg,m3/h,%,eur,eur/y,eur/kW,kWel/kWth,year"</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F26" sqref="F26"/>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14" t="s">
        <v>96</v>
      </c>
      <c r="B1" s="115" t="s">
        <v>39</v>
      </c>
      <c r="C1" s="116" t="s">
        <v>19</v>
      </c>
    </row>
    <row r="2" spans="1:3" thickBot="1" x14ac:dyDescent="0.35">
      <c r="A2" s="154" t="s">
        <v>27</v>
      </c>
      <c r="B2" s="153" t="s">
        <v>27</v>
      </c>
      <c r="C2" s="155" t="s">
        <v>27</v>
      </c>
    </row>
  </sheetData>
  <dataValidations count="1">
    <dataValidation type="list" errorStyle="information" allowBlank="1" showInputMessage="1" showErrorMessage="1" sqref="C2" xr:uid="{33B638D1-F378-421F-B6D2-0202E96C3CEE}">
      <formula1>"-,kg,s,m,K,°C,W,bar,kg/h,t/h,kW,kW/m2K,W/m2K,kJ/kgK,kJ/kg,m3/h,%,eur,eur/y,eur/kW,kWel/kWth,year"</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C2" sqref="C2"/>
    </sheetView>
  </sheetViews>
  <sheetFormatPr defaultColWidth="14.44140625" defaultRowHeight="15" customHeight="1" x14ac:dyDescent="0.3"/>
  <cols>
    <col min="2" max="2" width="29.77734375" bestFit="1" customWidth="1"/>
  </cols>
  <sheetData>
    <row r="1" spans="1:4" thickBot="1" x14ac:dyDescent="0.35">
      <c r="A1" s="114" t="s">
        <v>69</v>
      </c>
      <c r="B1" s="115" t="s">
        <v>93</v>
      </c>
      <c r="C1" s="115" t="s">
        <v>91</v>
      </c>
      <c r="D1" s="116" t="s">
        <v>92</v>
      </c>
    </row>
    <row r="2" spans="1:4" ht="15" customHeight="1" thickBot="1" x14ac:dyDescent="0.35">
      <c r="A2" s="160" t="s">
        <v>94</v>
      </c>
      <c r="B2" s="158" t="s">
        <v>7</v>
      </c>
      <c r="C2" s="161">
        <v>46133</v>
      </c>
      <c r="D2" s="162" t="s">
        <v>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F8" sqref="F8"/>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95" t="s">
        <v>89</v>
      </c>
      <c r="B1" s="94"/>
      <c r="C1" s="94"/>
      <c r="D1" s="94"/>
      <c r="E1" s="94"/>
      <c r="F1" s="94"/>
      <c r="G1" s="101"/>
    </row>
    <row r="2" spans="1:7" ht="15" thickBot="1" x14ac:dyDescent="0.35">
      <c r="A2" s="156" t="s">
        <v>90</v>
      </c>
      <c r="B2" s="141" t="s">
        <v>52</v>
      </c>
      <c r="C2" s="141" t="s">
        <v>18</v>
      </c>
      <c r="D2" s="141" t="s">
        <v>88</v>
      </c>
      <c r="E2" s="141" t="s">
        <v>87</v>
      </c>
      <c r="F2" s="141" t="s">
        <v>86</v>
      </c>
      <c r="G2" s="131" t="s">
        <v>71</v>
      </c>
    </row>
    <row r="3" spans="1:7" ht="15" thickBot="1" x14ac:dyDescent="0.35">
      <c r="A3" s="157">
        <v>1</v>
      </c>
      <c r="B3" s="234" t="s">
        <v>366</v>
      </c>
      <c r="C3" s="158" t="s">
        <v>154</v>
      </c>
      <c r="D3" s="158" t="s">
        <v>155</v>
      </c>
      <c r="E3" s="158" t="s">
        <v>156</v>
      </c>
      <c r="F3" s="158" t="s">
        <v>158</v>
      </c>
      <c r="G3" s="159">
        <v>46133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03731-BD20-4EBD-963F-0A4068A4DF72}">
  <sheetPr codeName="Sheet6"/>
  <dimension ref="A1:A28"/>
  <sheetViews>
    <sheetView showGridLines="0" tabSelected="1" workbookViewId="0">
      <selection activeCell="D7" sqref="D7"/>
    </sheetView>
  </sheetViews>
  <sheetFormatPr defaultRowHeight="14.4" x14ac:dyDescent="0.3"/>
  <cols>
    <col min="1" max="1" width="130.77734375" style="265" customWidth="1"/>
    <col min="2" max="16384" width="8.88671875" style="265"/>
  </cols>
  <sheetData>
    <row r="1" spans="1:1" ht="15.6" thickTop="1" thickBot="1" x14ac:dyDescent="0.35">
      <c r="A1" s="264" t="s">
        <v>385</v>
      </c>
    </row>
    <row r="2" spans="1:1" ht="43.8" thickTop="1" x14ac:dyDescent="0.3">
      <c r="A2" s="265" t="s">
        <v>386</v>
      </c>
    </row>
    <row r="4" spans="1:1" ht="43.2" x14ac:dyDescent="0.3">
      <c r="A4" s="265" t="s">
        <v>387</v>
      </c>
    </row>
    <row r="5" spans="1:1" ht="15" thickBot="1" x14ac:dyDescent="0.35"/>
    <row r="6" spans="1:1" ht="15.6" thickTop="1" thickBot="1" x14ac:dyDescent="0.35">
      <c r="A6" s="264" t="s">
        <v>388</v>
      </c>
    </row>
    <row r="7" spans="1:1" ht="29.4" thickTop="1" x14ac:dyDescent="0.3">
      <c r="A7" s="265" t="str">
        <f>"In this model, air enters at "&amp;TEXT(T_1,"0.0")&amp;" K and is compressed with a pressure ratio (PR) of "&amp;TEXT(PR,"0.0")&amp;". The compressor isentropic efficiency is "&amp;TEXT(eta_comp*100,"0")&amp;"%. After combustion, the gases reach a Turbine Inlet Temperature (TIT) of "&amp;TEXT(T_3,"0.0")&amp;" K before expanding through the turbine (isentropic efficiency: "&amp;TEXT(eta_turb*100,"0")&amp;"%)."</f>
        <v>In this model, air enters at 298.0 K and is compressed with a pressure ratio (PR) of 15.0. The compressor isentropic efficiency is 80%. After combustion, the gases reach a Turbine Inlet Temperature (TIT) of 1462.7 K before expanding through the turbine (isentropic efficiency: 80%).</v>
      </c>
    </row>
    <row r="8" spans="1:1" ht="15" thickBot="1" x14ac:dyDescent="0.35"/>
    <row r="9" spans="1:1" ht="15.6" thickTop="1" thickBot="1" x14ac:dyDescent="0.35">
      <c r="A9" s="264" t="s">
        <v>389</v>
      </c>
    </row>
    <row r="10" spans="1:1" ht="29.4" thickTop="1" x14ac:dyDescent="0.3">
      <c r="A10" s="265" t="str">
        <f>"The system produces a net electrical output of "&amp;TEXT(elec_net_out,"0.00")&amp;" kW. The turbine exhaust gases leave at "&amp;TEXT(T_4,"0.0")&amp;" K, providing "&amp;TEXT(Q_4,"0.00")&amp;" kW of waste heat potentially available for heat recovery. Natural gas consumption is "&amp;TEXT(ng,"0.0")&amp;" kW, resulting in CO2 emissions of approximately "&amp;TEXT(co2fromNG,"0.0")&amp;" kg/h."</f>
        <v>The system produces a net electrical output of 929.25 kW. The turbine exhaust gases leave at 890.1 K, providing 2186.57 kW of waste heat potentially available for heat recovery. Natural gas consumption is 3333.3 kW, resulting in CO2 emissions of approximately 660.0 kg/h.</v>
      </c>
    </row>
    <row r="11" spans="1:1" ht="15" thickBot="1" x14ac:dyDescent="0.35"/>
    <row r="12" spans="1:1" ht="15.6" thickTop="1" thickBot="1" x14ac:dyDescent="0.35">
      <c r="A12" s="264" t="s">
        <v>390</v>
      </c>
    </row>
    <row r="13" spans="1:1" ht="15" thickTop="1" x14ac:dyDescent="0.3">
      <c r="A13" s="265" t="str">
        <f>"Air mass flow rate: "&amp;TEXT(m_air,"0.00")&amp;" kg/s"</f>
        <v>Air mass flow rate: 4.00 kg/s</v>
      </c>
    </row>
    <row r="14" spans="1:1" x14ac:dyDescent="0.3">
      <c r="A14" s="265" t="str">
        <f>"Compressor pressure ratio: "&amp;TEXT(PR,"0.00")&amp;" -"</f>
        <v>Compressor pressure ratio: 15.00 -</v>
      </c>
    </row>
    <row r="15" spans="1:1" x14ac:dyDescent="0.3">
      <c r="A15" s="265" t="str">
        <f>"Air inlet temperature: "&amp;TEXT(T_1,"0.00")&amp;" K"</f>
        <v>Air inlet temperature: 298.00 K</v>
      </c>
    </row>
    <row r="16" spans="1:1" x14ac:dyDescent="0.3">
      <c r="A16" s="265" t="str">
        <f>"Turbine inlet temperature: "&amp;TEXT(T_3,"0.00")&amp;" K"</f>
        <v>Turbine inlet temperature: 1462.65 K</v>
      </c>
    </row>
    <row r="17" spans="1:1" x14ac:dyDescent="0.3">
      <c r="A17" s="265" t="str">
        <f>"Turbine outlet temperature: "&amp;TEXT(T_4,"0.00")&amp;" K"</f>
        <v>Turbine outlet temperature: 890.14 K</v>
      </c>
    </row>
    <row r="18" spans="1:1" x14ac:dyDescent="0.3">
      <c r="A18" s="265" t="str">
        <f>"Compressor isentropic efficiency: "&amp;TEXT(eta_comp,"0.00")&amp;" -"</f>
        <v>Compressor isentropic efficiency: 0.80 -</v>
      </c>
    </row>
    <row r="19" spans="1:1" x14ac:dyDescent="0.3">
      <c r="A19" s="265" t="str">
        <f>"Turbine isentropic efficiency: "&amp;TEXT(eta_turb,"0.00")&amp;" -"</f>
        <v>Turbine isentropic efficiency: 0.80 -</v>
      </c>
    </row>
    <row r="20" spans="1:1" x14ac:dyDescent="0.3">
      <c r="A20" s="265" t="str">
        <f>"Air-to-fuel ratio: "&amp;TEXT(f,"0.00")&amp;" kg/kg"</f>
        <v>Air-to-fuel ratio: 60.00 kg/kg</v>
      </c>
    </row>
    <row r="21" spans="1:1" x14ac:dyDescent="0.3">
      <c r="A21" s="265" t="str">
        <f>"Lower heating value of fuel: "&amp;TEXT(LHV,"0.00")&amp;" kJ/kg"</f>
        <v>Lower heating value of fuel: 50000.00 kJ/kg</v>
      </c>
    </row>
    <row r="22" spans="1:1" x14ac:dyDescent="0.3">
      <c r="A22" s="265" t="str">
        <f>"Net electric output: "&amp;TEXT(elec_net_out,"0.00")&amp;" kW"</f>
        <v>Net electric output: 929.25 kW</v>
      </c>
    </row>
    <row r="23" spans="1:1" x14ac:dyDescent="0.3">
      <c r="A23" s="265" t="str">
        <f>"Waste heat at turbine outlet: "&amp;TEXT(Q_4,"0.00")&amp;" kW"</f>
        <v>Waste heat at turbine outlet: 2186.57 kW</v>
      </c>
    </row>
    <row r="24" spans="1:1" x14ac:dyDescent="0.3">
      <c r="A24" s="265" t="str">
        <f>"CO2 emissions from natural gas: "&amp;TEXT(co2fromNG,"0.00")&amp;" kg/h"</f>
        <v>CO2 emissions from natural gas: 660.00 kg/h</v>
      </c>
    </row>
    <row r="25" spans="1:1" x14ac:dyDescent="0.3">
      <c r="A25" s="265" t="str">
        <f>"Specific investment cost (annualized): "&amp;TEXT(Cinv2_gt,"0.00")&amp;" eur/y"</f>
        <v>Specific investment cost (annualized): 30879.84 eur/y</v>
      </c>
    </row>
    <row r="26" spans="1:1" ht="15" thickBot="1" x14ac:dyDescent="0.35"/>
    <row r="27" spans="1:1" ht="15.6" thickTop="1" thickBot="1" x14ac:dyDescent="0.35">
      <c r="A27" s="264" t="s">
        <v>391</v>
      </c>
    </row>
    <row r="28" spans="1:1" ht="43.8" thickTop="1" x14ac:dyDescent="0.3">
      <c r="A28" s="263" t="s">
        <v>392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114</vt:i4>
      </vt:variant>
    </vt:vector>
  </HeadingPairs>
  <TitlesOfParts>
    <vt:vector size="123" baseType="lpstr">
      <vt:lpstr>README</vt:lpstr>
      <vt:lpstr>METADATA</vt:lpstr>
      <vt:lpstr>CONNECTORS</vt:lpstr>
      <vt:lpstr>VARIABLES</vt:lpstr>
      <vt:lpstr>GasTurbine</vt:lpstr>
      <vt:lpstr>CALCULATIONS</vt:lpstr>
      <vt:lpstr>CHANGELOG</vt:lpstr>
      <vt:lpstr>SUPPL MATERIAL</vt:lpstr>
      <vt:lpstr>DOCUMENTATION</vt:lpstr>
      <vt:lpstr>an_factor</vt:lpstr>
      <vt:lpstr>an_factor_max</vt:lpstr>
      <vt:lpstr>an_factor_min</vt:lpstr>
      <vt:lpstr>CEPCI_2008</vt:lpstr>
      <vt:lpstr>CEPCI_2008_max</vt:lpstr>
      <vt:lpstr>CEPCI_2008_min</vt:lpstr>
      <vt:lpstr>CEPCI_2020</vt:lpstr>
      <vt:lpstr>CEPCI_2020_max</vt:lpstr>
      <vt:lpstr>CEPCI_2020_min</vt:lpstr>
      <vt:lpstr>Cinv2_gt</vt:lpstr>
      <vt:lpstr>Cinv2_gt_max</vt:lpstr>
      <vt:lpstr>Cinv2_gt_min</vt:lpstr>
      <vt:lpstr>co2fromNG</vt:lpstr>
      <vt:lpstr>co2fromNG_max</vt:lpstr>
      <vt:lpstr>co2fromNG_min</vt:lpstr>
      <vt:lpstr>cp_air</vt:lpstr>
      <vt:lpstr>cp_air_max</vt:lpstr>
      <vt:lpstr>cp_air_min</vt:lpstr>
      <vt:lpstr>cp_gas</vt:lpstr>
      <vt:lpstr>cp_gas_max</vt:lpstr>
      <vt:lpstr>cp_gas_min</vt:lpstr>
      <vt:lpstr>dt_min</vt:lpstr>
      <vt:lpstr>dt_min_max</vt:lpstr>
      <vt:lpstr>dt_min_min</vt:lpstr>
      <vt:lpstr>elec_net_out</vt:lpstr>
      <vt:lpstr>elec_net_out_max</vt:lpstr>
      <vt:lpstr>elec_net_out_min</vt:lpstr>
      <vt:lpstr>eta_comp</vt:lpstr>
      <vt:lpstr>eta_comp_max</vt:lpstr>
      <vt:lpstr>eta_comp_min</vt:lpstr>
      <vt:lpstr>eta_turb</vt:lpstr>
      <vt:lpstr>eta_turb_max</vt:lpstr>
      <vt:lpstr>eta_turb_min</vt:lpstr>
      <vt:lpstr>f</vt:lpstr>
      <vt:lpstr>f_max</vt:lpstr>
      <vt:lpstr>f_min</vt:lpstr>
      <vt:lpstr>gamma_a</vt:lpstr>
      <vt:lpstr>gamma_a_max</vt:lpstr>
      <vt:lpstr>gamma_a_min</vt:lpstr>
      <vt:lpstr>gamma_air</vt:lpstr>
      <vt:lpstr>gamma_air_max</vt:lpstr>
      <vt:lpstr>gamma_air_min</vt:lpstr>
      <vt:lpstr>gamma_g</vt:lpstr>
      <vt:lpstr>gamma_g_max</vt:lpstr>
      <vt:lpstr>gamma_g_min</vt:lpstr>
      <vt:lpstr>gamma_gas</vt:lpstr>
      <vt:lpstr>gamma_gas_max</vt:lpstr>
      <vt:lpstr>gamma_gas_min</vt:lpstr>
      <vt:lpstr>i</vt:lpstr>
      <vt:lpstr>i_max</vt:lpstr>
      <vt:lpstr>i_min</vt:lpstr>
      <vt:lpstr>LHV</vt:lpstr>
      <vt:lpstr>LHV_max</vt:lpstr>
      <vt:lpstr>LHV_min</vt:lpstr>
      <vt:lpstr>m_air</vt:lpstr>
      <vt:lpstr>m_air_max</vt:lpstr>
      <vt:lpstr>m_air_min</vt:lpstr>
      <vt:lpstr>n</vt:lpstr>
      <vt:lpstr>n_max</vt:lpstr>
      <vt:lpstr>n_min</vt:lpstr>
      <vt:lpstr>ng</vt:lpstr>
      <vt:lpstr>ng_max</vt:lpstr>
      <vt:lpstr>ng_min</vt:lpstr>
      <vt:lpstr>PR</vt:lpstr>
      <vt:lpstr>PR_max</vt:lpstr>
      <vt:lpstr>PR_min</vt:lpstr>
      <vt:lpstr>Q_2a</vt:lpstr>
      <vt:lpstr>Q_2a_max</vt:lpstr>
      <vt:lpstr>Q_2a_min</vt:lpstr>
      <vt:lpstr>Q_4</vt:lpstr>
      <vt:lpstr>Q_4_max</vt:lpstr>
      <vt:lpstr>Q_4_min</vt:lpstr>
      <vt:lpstr>Rpa</vt:lpstr>
      <vt:lpstr>Rpa_max</vt:lpstr>
      <vt:lpstr>Rpa_min</vt:lpstr>
      <vt:lpstr>Rpg</vt:lpstr>
      <vt:lpstr>Rpg_max</vt:lpstr>
      <vt:lpstr>Rpg_min</vt:lpstr>
      <vt:lpstr>T_1</vt:lpstr>
      <vt:lpstr>T_1_max</vt:lpstr>
      <vt:lpstr>T_1_min</vt:lpstr>
      <vt:lpstr>T_2</vt:lpstr>
      <vt:lpstr>T_2_C</vt:lpstr>
      <vt:lpstr>T_2_C_max</vt:lpstr>
      <vt:lpstr>T_2_C_min</vt:lpstr>
      <vt:lpstr>T_2_max</vt:lpstr>
      <vt:lpstr>T_2_min</vt:lpstr>
      <vt:lpstr>T_2a</vt:lpstr>
      <vt:lpstr>T_2a_C</vt:lpstr>
      <vt:lpstr>T_2a_C_max</vt:lpstr>
      <vt:lpstr>T_2a_C_min</vt:lpstr>
      <vt:lpstr>T_2a_max</vt:lpstr>
      <vt:lpstr>T_2a_min</vt:lpstr>
      <vt:lpstr>T_3</vt:lpstr>
      <vt:lpstr>T_3_max</vt:lpstr>
      <vt:lpstr>T_3_min</vt:lpstr>
      <vt:lpstr>T_4</vt:lpstr>
      <vt:lpstr>T_4_C</vt:lpstr>
      <vt:lpstr>T_4_C_max</vt:lpstr>
      <vt:lpstr>T_4_C_min</vt:lpstr>
      <vt:lpstr>T_4_max</vt:lpstr>
      <vt:lpstr>T_4_min</vt:lpstr>
      <vt:lpstr>T_stack</vt:lpstr>
      <vt:lpstr>T_stack_max</vt:lpstr>
      <vt:lpstr>T_stack_min</vt:lpstr>
      <vt:lpstr>Tstack_C</vt:lpstr>
      <vt:lpstr>Tstack_C_max</vt:lpstr>
      <vt:lpstr>Tstack_C_min</vt:lpstr>
      <vt:lpstr>work_1_2</vt:lpstr>
      <vt:lpstr>work_1_2_max</vt:lpstr>
      <vt:lpstr>work_1_2_min</vt:lpstr>
      <vt:lpstr>work_3_4</vt:lpstr>
      <vt:lpstr>work_3_4_max</vt:lpstr>
      <vt:lpstr>work_3_4_min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2026-05-06T12:12:59Z</dcterms:modified>
</cp:coreProperties>
</file>