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Biodigestion of MSW/"/>
    </mc:Choice>
  </mc:AlternateContent>
  <xr:revisionPtr revIDLastSave="389" documentId="13_ncr:1_{0A48F826-A473-4510-B5C0-F9C33015E645}" xr6:coauthVersionLast="47" xr6:coauthVersionMax="47" xr10:uidLastSave="{4807AF12-6EF9-4C27-BC6F-AFC1A477FC84}"/>
  <bookViews>
    <workbookView xWindow="-108" yWindow="-108" windowWidth="23256" windowHeight="13176" firstSheet="4" activeTab="9" xr2:uid="{00000000-000D-0000-FFFF-FFFF00000000}"/>
  </bookViews>
  <sheets>
    <sheet name="README" sheetId="1" r:id="rId1"/>
    <sheet name="METADATA" sheetId="2" r:id="rId2"/>
    <sheet name="CONNECTORS" sheetId="3" r:id="rId3"/>
    <sheet name="VARIABLES" sheetId="4" r:id="rId4"/>
    <sheet name="Biodigester" sheetId="5" r:id="rId5"/>
    <sheet name="BiogasPurif" sheetId="18" r:id="rId6"/>
    <sheet name="CALCULATIONS" sheetId="10" r:id="rId7"/>
    <sheet name="CHANGELOG" sheetId="9" r:id="rId8"/>
    <sheet name="SUPPL MATERIAL" sheetId="11" r:id="rId9"/>
    <sheet name="DOCUMENTATION" sheetId="21" r:id="rId10"/>
  </sheets>
  <definedNames>
    <definedName name="_xleta.TEXT" hidden="1" xlm="1">#NAME?</definedName>
    <definedName name="Annuity">VARIABLES!$E$60</definedName>
    <definedName name="Annuity_max">VARIABLES!$I$60</definedName>
    <definedName name="Annuity_min">VARIABLES!$H$60</definedName>
    <definedName name="Biogas_kW">VARIABLES!$E$46</definedName>
    <definedName name="Biogas_kW_max">VARIABLES!$I$46</definedName>
    <definedName name="Biogas_kW_min">VARIABLES!$H$46</definedName>
    <definedName name="Biogas_MassFlow">VARIABLES!$E$52</definedName>
    <definedName name="Biogas_MassFlow_max">VARIABLES!$I$52</definedName>
    <definedName name="Biogas_MassFlow_min">VARIABLES!$H$52</definedName>
    <definedName name="Biogas_VolFlow">VARIABLES!$E$45</definedName>
    <definedName name="Biogas_VolFlow_max">VARIABLES!$I$45</definedName>
    <definedName name="Biogas_VolFlow_min">VARIABLES!$H$45</definedName>
    <definedName name="Biogas_VolLHV">VARIABLES!$E$25</definedName>
    <definedName name="Biogas_VolLHV_max">VARIABLES!$I$25</definedName>
    <definedName name="Biogas_VolLHV_min">VARIABLES!$H$25</definedName>
    <definedName name="Biomassflow">VARIABLES!$E$16</definedName>
    <definedName name="Biomassflow_max">VARIABLES!$I$16</definedName>
    <definedName name="Biomassflow_min">VARIABLES!$H$16</definedName>
    <definedName name="BMP">VARIABLES!$E$19</definedName>
    <definedName name="BMP_max">VARIABLES!$I$19</definedName>
    <definedName name="BMP_min">VARIABLES!$H$19</definedName>
    <definedName name="CEPCI_2008">VARIABLES!$E$43</definedName>
    <definedName name="CEPCI_2008_max">VARIABLES!$I$43</definedName>
    <definedName name="CEPCI_2008_min">VARIABLES!$H$43</definedName>
    <definedName name="CEPCI_2020">VARIABLES!$E$42</definedName>
    <definedName name="CEPCI_2020_max">VARIABLES!$I$42</definedName>
    <definedName name="CEPCI_2020_min">VARIABLES!$H$42</definedName>
    <definedName name="CH4_kW">VARIABLES!$E$48</definedName>
    <definedName name="CH4_kW_max">VARIABLES!$I$48</definedName>
    <definedName name="CH4_kW_min">VARIABLES!$H$48</definedName>
    <definedName name="CH4_MassFlow">VARIABLES!$E$49</definedName>
    <definedName name="CH4_MassFlow_max">VARIABLES!$I$49</definedName>
    <definedName name="CH4_MassFlow_min">VARIABLES!$H$49</definedName>
    <definedName name="CH4_massfrac">VARIABLES!$E$50</definedName>
    <definedName name="CH4_massfrac_max">VARIABLES!$I$50</definedName>
    <definedName name="CH4_massfrac_min">VARIABLES!$H$50</definedName>
    <definedName name="CH4_MassLHV">VARIABLES!$E$24</definedName>
    <definedName name="CH4_MassLHV_max">VARIABLES!$I$24</definedName>
    <definedName name="CH4_MassLHV_min">VARIABLES!$H$24</definedName>
    <definedName name="CH4_VolFlow">VARIABLES!$E$47</definedName>
    <definedName name="CH4_VolFlow_max">VARIABLES!$I$47</definedName>
    <definedName name="CH4_VolFlow_min">VARIABLES!$H$47</definedName>
    <definedName name="CH4_VolLHV">VARIABLES!$E$23</definedName>
    <definedName name="CH4_VolLHV_max">VARIABLES!$I$23</definedName>
    <definedName name="CH4_VolLHV_min">VARIABLES!$H$23</definedName>
    <definedName name="CH4inBiogas">VARIABLES!$E$22</definedName>
    <definedName name="CH4inBiogas_max">VARIABLES!$I$22</definedName>
    <definedName name="CH4inBiogas_min">VARIABLES!$H$22</definedName>
    <definedName name="Cinv2_biod">VARIABLES!$E$64</definedName>
    <definedName name="Cinv2_biod_max">VARIABLES!$I$64</definedName>
    <definedName name="Cinv2_biod_min">VARIABLES!$H$64</definedName>
    <definedName name="Cinv2_comp">VARIABLES!$E$61</definedName>
    <definedName name="Cinv2_comp_max">VARIABLES!$I$61</definedName>
    <definedName name="Cinv2_comp_min">VARIABLES!$H$61</definedName>
    <definedName name="Cinv2_scrubcomp">VARIABLES!$E$63</definedName>
    <definedName name="Cinv2_scrubcomp_max">VARIABLES!$I$63</definedName>
    <definedName name="Cinv2_scrubcomp_min">VARIABLES!$H$63</definedName>
    <definedName name="Cinv2_waterscrub">VARIABLES!$E$62</definedName>
    <definedName name="Cinv2_waterscrub_max">VARIABLES!$I$62</definedName>
    <definedName name="Cinv2_waterscrub_min">VARIABLES!$H$62</definedName>
    <definedName name="CmpDutyBiog">VARIABLES!$E$57</definedName>
    <definedName name="CmpDutyBiog_max">VARIABLES!$I$57</definedName>
    <definedName name="CmpDutyBiog_min">VARIABLES!$H$57</definedName>
    <definedName name="CO2_MassFlow">VARIABLES!$E$53</definedName>
    <definedName name="CO2_MassFlow_max">VARIABLES!$I$53</definedName>
    <definedName name="CO2_MassFlow_min">VARIABLES!$H$53</definedName>
    <definedName name="CO2_massfrac">VARIABLES!$E$51</definedName>
    <definedName name="CO2_massfrac_max">VARIABLES!$I$51</definedName>
    <definedName name="CO2_massfrac_min">VARIABLES!$H$51</definedName>
    <definedName name="comprCost">VARIABLES!$E$40</definedName>
    <definedName name="comprCost_max">VARIABLES!$I$40</definedName>
    <definedName name="comprCost_min">VARIABLES!$H$40</definedName>
    <definedName name="DigestateFlow">VARIABLES!$E$54</definedName>
    <definedName name="DigestateFlow_max">VARIABLES!$I$54</definedName>
    <definedName name="DigestateFlow_min">VARIABLES!$H$54</definedName>
    <definedName name="digesterCost">VARIABLES!$E$39</definedName>
    <definedName name="digesterCost_max">VARIABLES!$I$39</definedName>
    <definedName name="digesterCost_min">VARIABLES!$H$39</definedName>
    <definedName name="DigesterQDuty">VARIABLES!$E$56</definedName>
    <definedName name="DigesterQDuty_max">VARIABLES!$I$56</definedName>
    <definedName name="DigesterQDuty_min">VARIABLES!$H$56</definedName>
    <definedName name="dtmin_biod">VARIABLES!$E$28</definedName>
    <definedName name="dtmin_biod_max">VARIABLES!$I$28</definedName>
    <definedName name="dtmin_biod_min">VARIABLES!$H$28</definedName>
    <definedName name="eff_comp">VARIABLES!$E$31</definedName>
    <definedName name="eff_comp_max">VARIABLES!$I$31</definedName>
    <definedName name="eff_comp_min">VARIABLES!$H$31</definedName>
    <definedName name="i">VARIABLES!$E$37</definedName>
    <definedName name="i_max">VARIABLES!$I$37</definedName>
    <definedName name="i_min">VARIABLES!$H$37</definedName>
    <definedName name="k">VARIABLES!$E$20</definedName>
    <definedName name="k_max">VARIABLES!$I$20</definedName>
    <definedName name="k_min">VARIABLES!$H$20</definedName>
    <definedName name="MW_biogas">VARIABLES!$E$55</definedName>
    <definedName name="MW_biogas_max">VARIABLES!$I$55</definedName>
    <definedName name="MW_biogas_min">VARIABLES!$H$55</definedName>
    <definedName name="MW_CH4">VARIABLES!$E$29</definedName>
    <definedName name="MW_CH4_max">VARIABLES!$I$29</definedName>
    <definedName name="MW_CH4_min">VARIABLES!$H$29</definedName>
    <definedName name="MW_CO2">VARIABLES!$E$30</definedName>
    <definedName name="MW_CO2_max">VARIABLES!$I$30</definedName>
    <definedName name="MW_CO2_min">VARIABLES!$H$30</definedName>
    <definedName name="n">VARIABLES!$E$38</definedName>
    <definedName name="n_max">VARIABLES!$I$38</definedName>
    <definedName name="n_min">VARIABLES!$H$38</definedName>
    <definedName name="P_in">VARIABLES!$E$34</definedName>
    <definedName name="P_in_max">VARIABLES!$I$34</definedName>
    <definedName name="P_in_min">VARIABLES!$H$34</definedName>
    <definedName name="P_out">VARIABLES!$E$35</definedName>
    <definedName name="P_out_max">VARIABLES!$I$35</definedName>
    <definedName name="P_out_min">VARIABLES!$H$35</definedName>
    <definedName name="Ru">VARIABLES!$E$32</definedName>
    <definedName name="Ru_max">VARIABLES!$I$32</definedName>
    <definedName name="Ru_min">VARIABLES!$H$32</definedName>
    <definedName name="ScrubDuty">VARIABLES!$E$36</definedName>
    <definedName name="ScrubDuty_max">VARIABLES!$I$36</definedName>
    <definedName name="ScrubDuty_min">VARIABLES!$H$36</definedName>
    <definedName name="SpecHeatDigester">VARIABLES!$E$27</definedName>
    <definedName name="SpecHeatDigester_max">VARIABLES!$I$27</definedName>
    <definedName name="SpecHeatDigester_min">VARIABLES!$H$27</definedName>
    <definedName name="t">VARIABLES!$E$21</definedName>
    <definedName name="T_comp">VARIABLES!$E$33</definedName>
    <definedName name="T_comp_max">VARIABLES!$I$33</definedName>
    <definedName name="T_comp_min">VARIABLES!$H$33</definedName>
    <definedName name="t_max">VARIABLES!$I$21</definedName>
    <definedName name="t_min">VARIABLES!$H$21</definedName>
    <definedName name="Tempin">VARIABLES!$E$26</definedName>
    <definedName name="Tempin_max">VARIABLES!$I$26</definedName>
    <definedName name="Tempin_min">VARIABLES!$H$26</definedName>
    <definedName name="TotalElec">VARIABLES!$E$59</definedName>
    <definedName name="TotalElec_max">VARIABLES!$I$59</definedName>
    <definedName name="TotalElec_min">VARIABLES!$H$59</definedName>
    <definedName name="TS">VARIABLES!$E$17</definedName>
    <definedName name="TS_max">VARIABLES!$I$17</definedName>
    <definedName name="TS_min">VARIABLES!$H$17</definedName>
    <definedName name="VolFlowExp">VARIABLES!$E$44</definedName>
    <definedName name="VS">VARIABLES!$E$18</definedName>
    <definedName name="VS_max">VARIABLES!$I$18</definedName>
    <definedName name="VS_min">VARIABLES!$H$18</definedName>
    <definedName name="waterScrubCost">VARIABLES!$E$41</definedName>
    <definedName name="waterScrubCost_max">VARIABLES!$I$41</definedName>
    <definedName name="waterScrubCost_min">VARIABLES!$H$41</definedName>
    <definedName name="WaterScrubDuty">VARIABLES!$E$58</definedName>
    <definedName name="WaterScrubDuty_max">VARIABLES!$I$58</definedName>
    <definedName name="WaterScrubDuty_min">VARIABLES!$H$58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5" roundtripDataChecksum="bNxJkgama/kYeBi4o0J15qkHQT9g9UA3B49WFr4NTgI="/>
    </ext>
  </extLst>
</workbook>
</file>

<file path=xl/calcChain.xml><?xml version="1.0" encoding="utf-8"?>
<calcChain xmlns="http://schemas.openxmlformats.org/spreadsheetml/2006/main">
  <c r="A26" i="21" l="1"/>
  <c r="A25" i="21"/>
  <c r="A24" i="21"/>
  <c r="A23" i="21"/>
  <c r="A22" i="21"/>
  <c r="A21" i="21"/>
  <c r="A20" i="21"/>
  <c r="A19" i="21"/>
  <c r="A18" i="21"/>
  <c r="A17" i="21"/>
  <c r="A16" i="21"/>
  <c r="A15" i="21"/>
  <c r="A12" i="21"/>
  <c r="A4" i="21"/>
  <c r="E61" i="4"/>
  <c r="B12" i="2"/>
  <c r="G24" i="5" l="1"/>
  <c r="E45" i="4"/>
  <c r="E44" i="4"/>
  <c r="F34" i="18"/>
  <c r="F33" i="18"/>
  <c r="F32" i="18"/>
  <c r="F34" i="5"/>
  <c r="F33" i="5"/>
  <c r="F32" i="5"/>
  <c r="F31" i="5"/>
  <c r="E24" i="5" l="1"/>
  <c r="C24" i="5"/>
  <c r="D15" i="5"/>
  <c r="E55" i="4" l="1"/>
  <c r="E60" i="4" l="1"/>
  <c r="E64" i="4" s="1"/>
  <c r="E56" i="4"/>
  <c r="E50" i="4"/>
  <c r="E51" i="4" s="1"/>
  <c r="E62" i="4" l="1"/>
  <c r="E47" i="4"/>
  <c r="E48" i="4" s="1"/>
  <c r="E46" i="4"/>
  <c r="E58" i="4"/>
  <c r="E49" i="4" l="1"/>
  <c r="E52" i="4" s="1"/>
  <c r="D17" i="18"/>
  <c r="D16" i="18" l="1"/>
  <c r="D16" i="5"/>
  <c r="E54" i="4"/>
  <c r="D17" i="5" s="1"/>
  <c r="E53" i="4"/>
  <c r="D18" i="18" s="1"/>
  <c r="E57" i="4"/>
  <c r="E63" i="4"/>
  <c r="E59" i="4"/>
  <c r="D15"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tc={FF2B4991-D38D-4F1B-87EE-3E0CB536B91F}</author>
  </authors>
  <commentList>
    <comment ref="K8" authorId="0" shapeId="0" xr:uid="{FF2B4991-D38D-4F1B-87EE-3E0CB536B91F}">
      <text>
        <t>[Threaded comment]
Your version of Excel allows you to read this threaded comment; however, any edits to it will get removed if the file is opened in a newer version of Excel. Learn more: https://go.microsoft.com/fwlink/?linkid=870924
Comment:
    Vary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tc={DD3B7356-D0C2-476D-8E6B-08A7205CB190}</author>
  </authors>
  <commentList>
    <comment ref="E39" authorId="0" shapeId="0" xr:uid="{DD3B7356-D0C2-476D-8E6B-08A7205CB190}">
      <text>
        <t>[Threaded comment]
Your version of Excel allows you to read this threaded comment; however, any edits to it will get removed if the file is opened in a newer version of Excel. Learn more: https://go.microsoft.com/fwlink/?linkid=870924
Comment:
    Lua - Rmd inconsistent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tc={0C47027C-DB06-4C55-B0A1-574C9F53A958}</author>
  </authors>
  <commentList>
    <comment ref="K24" authorId="0" shapeId="0" xr:uid="{0C47027C-DB06-4C55-B0A1-574C9F53A958}">
      <text>
        <t>[Threaded comment]
Your version of Excel allows you to read this threaded comment; however, any edits to it will get removed if the file is opened in a newer version of Excel. Learn more: https://go.microsoft.com/fwlink/?linkid=870924
Comment:
    Heat of exothermic reaction, no mass flow</t>
      </text>
    </comment>
  </commentList>
</comments>
</file>

<file path=xl/sharedStrings.xml><?xml version="1.0" encoding="utf-8"?>
<sst xmlns="http://schemas.openxmlformats.org/spreadsheetml/2006/main" count="948" uniqueCount="478">
  <si>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</si>
  <si>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</si>
  <si>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</si>
  <si>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</si>
  <si>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</si>
  <si>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</si>
  <si>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</si>
  <si>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</si>
  <si>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</si>
  <si>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</si>
  <si>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</si>
  <si>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</si>
  <si>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</si>
  <si>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</si>
  <si>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</si>
  <si>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</si>
  <si>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</si>
  <si>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</si>
  <si>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</si>
  <si>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</si>
  <si>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</si>
  <si>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</si>
  <si>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</si>
  <si>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</si>
  <si>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</si>
  <si>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</si>
  <si>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</si>
  <si>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</si>
  <si>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</si>
  <si>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</si>
  <si>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</si>
  <si>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</si>
  <si>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</si>
  <si>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</si>
  <si>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</si>
  <si>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</si>
  <si>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</si>
  <si>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</si>
  <si>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</si>
  <si>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</si>
  <si>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</si>
  <si>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</si>
  <si>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</si>
  <si>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</si>
  <si>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</si>
  <si>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</si>
  <si>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</si>
  <si>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</si>
  <si>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</si>
  <si>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</si>
  <si>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</si>
  <si>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</si>
  <si>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</si>
  <si>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</si>
  <si>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</si>
  <si>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</si>
  <si>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</si>
  <si>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</si>
  <si>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</si>
  <si>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</si>
  <si>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</si>
  <si>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</si>
  <si>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</si>
  <si>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</si>
  <si>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</si>
  <si>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</si>
  <si>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</si>
  <si>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</si>
  <si>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</si>
  <si>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</si>
  <si>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</si>
  <si>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</si>
  <si>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</si>
  <si>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</si>
  <si>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</si>
  <si>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</si>
  <si>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</si>
  <si>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</si>
  <si>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</si>
  <si>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</si>
  <si>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</si>
  <si>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</si>
  <si>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</si>
  <si>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</si>
  <si>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</si>
  <si>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</si>
  <si>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</si>
  <si>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</si>
  <si>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</si>
  <si>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</si>
  <si>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</si>
  <si>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</si>
  <si>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</si>
  <si>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</si>
  <si>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</si>
  <si>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</si>
  <si>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</si>
  <si>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</si>
  <si>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</si>
  <si>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</si>
  <si>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</si>
  <si>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</si>
  <si>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</si>
  <si>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</si>
  <si>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</si>
  <si>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</si>
  <si>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</si>
  <si>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</si>
  <si>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</si>
  <si>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</si>
  <si>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</si>
  <si>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</si>
  <si>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</si>
  <si>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</si>
  <si>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</si>
  <si>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</si>
  <si>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</si>
  <si>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</si>
  <si>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</si>
  <si>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</si>
  <si>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</si>
  <si>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</si>
  <si>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</si>
  <si>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</si>
  <si>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</si>
  <si>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</si>
  <si>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</si>
  <si>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</si>
  <si>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</si>
  <si>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</si>
  <si>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</si>
  <si>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</si>
  <si>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</si>
  <si>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</si>
  <si>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</si>
  <si>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</si>
  <si>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</si>
  <si>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</si>
  <si>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</si>
  <si>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</si>
  <si>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</si>
  <si>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</si>
  <si>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</si>
  <si>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</si>
  <si>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</si>
  <si>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</si>
  <si>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</si>
  <si>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</si>
  <si>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</si>
  <si>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</si>
  <si>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</si>
  <si>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</si>
  <si>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</si>
  <si>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</si>
  <si>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Drawio</t>
  </si>
  <si>
    <t>.svg</t>
  </si>
  <si>
    <t>50 kB</t>
  </si>
  <si>
    <t>Biodigester of MSW with biogas</t>
  </si>
  <si>
    <t>Daniel Florez-Orrego, Meire Domingos</t>
  </si>
  <si>
    <t>2025-11-13</t>
  </si>
  <si>
    <t>Biogas, Biodigestion, Municipal Solid Waste</t>
  </si>
  <si>
    <t>Biodigester of municipal solid waste with biogas purification to natural gaz</t>
  </si>
  <si>
    <t>Figures/biodigester.svg</t>
  </si>
  <si>
    <t>Biomassflow</t>
  </si>
  <si>
    <t>MEASURED</t>
  </si>
  <si>
    <t>Digestible organic waste input</t>
  </si>
  <si>
    <t>MANDATORY</t>
  </si>
  <si>
    <t>$\mathrm{Biomassflow}$</t>
  </si>
  <si>
    <t>Reference digestable organic fraction of municipal solid waste</t>
  </si>
  <si>
    <t>TS</t>
  </si>
  <si>
    <t>Dry matter ratio</t>
  </si>
  <si>
    <t>0</t>
  </si>
  <si>
    <t>1</t>
  </si>
  <si>
    <t>$\mathrm{TS}$</t>
  </si>
  <si>
    <t>VS</t>
  </si>
  <si>
    <t>Volatile solids fraction</t>
  </si>
  <si>
    <t>$\mathrm{VS}$</t>
  </si>
  <si>
    <t>BMP</t>
  </si>
  <si>
    <t>LITERATURE</t>
  </si>
  <si>
    <t>Biomethane potential</t>
  </si>
  <si>
    <t>$\mathrm{BMP}$</t>
  </si>
  <si>
    <t>k</t>
  </si>
  <si>
    <t>Exponential degradation coefficient</t>
  </si>
  <si>
    <t>1/days</t>
  </si>
  <si>
    <t>$\mathrm{k}$</t>
  </si>
  <si>
    <t>Exponential coefficient</t>
  </si>
  <si>
    <t>t</t>
  </si>
  <si>
    <t>Retention time</t>
  </si>
  <si>
    <t>days</t>
  </si>
  <si>
    <t>$\mathrm{t}$</t>
  </si>
  <si>
    <t>CH4inBiogas</t>
  </si>
  <si>
    <t>Methane fraction in biogas</t>
  </si>
  <si>
    <t>$\mathrm{CH4inBiogas}$</t>
  </si>
  <si>
    <t>CH4_VolLHV</t>
  </si>
  <si>
    <t>Volumetric LHV of CH4</t>
  </si>
  <si>
    <t>9.5</t>
  </si>
  <si>
    <t>10.5</t>
  </si>
  <si>
    <t>$\mathrm{CH4\_VolLHV}$</t>
  </si>
  <si>
    <t>CH4_MassLHV</t>
  </si>
  <si>
    <t>Mass LHV of CH4</t>
  </si>
  <si>
    <t>49900</t>
  </si>
  <si>
    <t>50100</t>
  </si>
  <si>
    <t>$\mathrm{CH4\_MassLHV}$</t>
  </si>
  <si>
    <t>Biogas_VolLHV</t>
  </si>
  <si>
    <t>Volumetric LHV of biogas</t>
  </si>
  <si>
    <t>$\mathrm{Biogas\_VolLHV}$</t>
  </si>
  <si>
    <t>Volumetric lower heating value of biogas</t>
  </si>
  <si>
    <t>Tempin</t>
  </si>
  <si>
    <t>DECISION</t>
  </si>
  <si>
    <t>Thermophilic digester temperature</t>
  </si>
  <si>
    <t>°C</t>
  </si>
  <si>
    <t>50</t>
  </si>
  <si>
    <t>65</t>
  </si>
  <si>
    <t>$\mathrm{Tempin}$</t>
  </si>
  <si>
    <t>Thermophilic anaerobic reactor temperature</t>
  </si>
  <si>
    <t>SpecHeatDigester</t>
  </si>
  <si>
    <t>Specific heating duty</t>
  </si>
  <si>
    <t>$\mathrm{SpecHeatDigester}$</t>
  </si>
  <si>
    <t>Specific heating duty of biowaste in the digester</t>
  </si>
  <si>
    <t>dtmin_biod</t>
  </si>
  <si>
    <t>Minimum ΔT for digester heating</t>
  </si>
  <si>
    <t>$\mathrm{dtmin\_biod}$</t>
  </si>
  <si>
    <t>Minimum temperature difference contribution of biodigester heating</t>
  </si>
  <si>
    <t>MW_CH4</t>
  </si>
  <si>
    <t>Molecular weight of CH4</t>
  </si>
  <si>
    <t>16</t>
  </si>
  <si>
    <t>$\mathrm{MW\_CH4}$</t>
  </si>
  <si>
    <t>Molecular weight of methane</t>
  </si>
  <si>
    <t>MW_CO2</t>
  </si>
  <si>
    <t>Molecular weight of CO2</t>
  </si>
  <si>
    <t>44</t>
  </si>
  <si>
    <t>$\mathrm{MW\_CO2}$</t>
  </si>
  <si>
    <t>Molecular weight of carbon dioxide</t>
  </si>
  <si>
    <t>eff_comp</t>
  </si>
  <si>
    <t>Biogas compressor efficiency</t>
  </si>
  <si>
    <t>$\mathrm{eff\_comp}$</t>
  </si>
  <si>
    <t>Ru</t>
  </si>
  <si>
    <t>Universal gas constant</t>
  </si>
  <si>
    <t>kJ/kmolK</t>
  </si>
  <si>
    <t>8.314</t>
  </si>
  <si>
    <t>$\mathrm{Ru}$</t>
  </si>
  <si>
    <t>T_comp</t>
  </si>
  <si>
    <t>Intercooler outlet temperature</t>
  </si>
  <si>
    <t>K</t>
  </si>
  <si>
    <t>$\mathrm{T\_comp}$</t>
  </si>
  <si>
    <t>Temperature of compressor intercooling</t>
  </si>
  <si>
    <t>P_in</t>
  </si>
  <si>
    <t>Compressor inlet pressure</t>
  </si>
  <si>
    <t>bar</t>
  </si>
  <si>
    <t>$\mathrm{P\_in}$</t>
  </si>
  <si>
    <t>Pressure in before the compressor</t>
  </si>
  <si>
    <t>P_out</t>
  </si>
  <si>
    <t>Compressor outlet pressure</t>
  </si>
  <si>
    <t>$\mathrm{P\_out}$</t>
  </si>
  <si>
    <t>ScrubDuty</t>
  </si>
  <si>
    <t>Water scrubbing power duty</t>
  </si>
  <si>
    <t>$\mathrm{ScrubDuty}$</t>
  </si>
  <si>
    <t>i</t>
  </si>
  <si>
    <t>CONTEXT</t>
  </si>
  <si>
    <t>Interest rate</t>
  </si>
  <si>
    <t>$\mathrm{i}$</t>
  </si>
  <si>
    <t>n</t>
  </si>
  <si>
    <t>Lifetime of digester</t>
  </si>
  <si>
    <t>$\mathrm{n}$</t>
  </si>
  <si>
    <t>Lifetime of the biodigester</t>
  </si>
  <si>
    <t>digesterCost</t>
  </si>
  <si>
    <t>Biodigester CAPEX (specific)</t>
  </si>
  <si>
    <t>$\mathrm{digesterCost}$</t>
  </si>
  <si>
    <t>comprCost</t>
  </si>
  <si>
    <t>Compressor CAPEX (specific)</t>
  </si>
  <si>
    <t>$\mathrm{comprCost}$</t>
  </si>
  <si>
    <t>Linearized investment for 450-3000 kW centrifugal compressor</t>
  </si>
  <si>
    <t>waterScrubCost</t>
  </si>
  <si>
    <t>Water scrubbing CAPEX (specific)</t>
  </si>
  <si>
    <t>$\mathrm{waterScrubCost}$</t>
  </si>
  <si>
    <t>CEPCI_2020</t>
  </si>
  <si>
    <t>$\mathrm{CEPCI\_2020}$</t>
  </si>
  <si>
    <t>CEPCI_2008</t>
  </si>
  <si>
    <t>CEPCI 2008 index</t>
  </si>
  <si>
    <t>$\mathrm{CEPCI\_2008}$</t>
  </si>
  <si>
    <t>CEPCI 2008</t>
  </si>
  <si>
    <t>Biogas_VolFlow</t>
  </si>
  <si>
    <t>Biogas volumetric flow rate</t>
  </si>
  <si>
    <t>$\mathrm{Biogas\_VolFlow}$</t>
  </si>
  <si>
    <t>Biogas_kW</t>
  </si>
  <si>
    <t>Biogas energy flow</t>
  </si>
  <si>
    <t>kW</t>
  </si>
  <si>
    <t>$\mathrm{Biogas\_kW}$</t>
  </si>
  <si>
    <t>Energy flow rate of biogas</t>
  </si>
  <si>
    <t>CH4_VolFlow</t>
  </si>
  <si>
    <t>Methane volumetric flow rate</t>
  </si>
  <si>
    <t>$\mathrm{CH4\_VolFlow}$</t>
  </si>
  <si>
    <t>Volumetric flow rate of biomethane in biogas</t>
  </si>
  <si>
    <t>CH4_kW</t>
  </si>
  <si>
    <t>Methane energy flow</t>
  </si>
  <si>
    <t>$\mathrm{CH4\_kW}$</t>
  </si>
  <si>
    <t>Energy flow rate of biomethane in biogas</t>
  </si>
  <si>
    <t>CH4_MassFlow</t>
  </si>
  <si>
    <t>Methane mass flow</t>
  </si>
  <si>
    <t>$\mathrm{CH4\_MassFlow}$</t>
  </si>
  <si>
    <t>Mass flow rate of biomethane in biogas</t>
  </si>
  <si>
    <t>CH4_massfrac</t>
  </si>
  <si>
    <t>Methane mass fraction</t>
  </si>
  <si>
    <t>$\mathrm{CH4\_massfrac}$</t>
  </si>
  <si>
    <t>CO2_massfrac</t>
  </si>
  <si>
    <t>CO2 mass fraction in biogas</t>
  </si>
  <si>
    <t>$\mathrm{CO2\_massfrac}$</t>
  </si>
  <si>
    <t>Biogas_MassFlow</t>
  </si>
  <si>
    <t>Biogas mass flow</t>
  </si>
  <si>
    <t>$\mathrm{Biogas\_MassFlow}$</t>
  </si>
  <si>
    <t>Biogas mass flow rate</t>
  </si>
  <si>
    <t>CO2_MassFlow</t>
  </si>
  <si>
    <t>CO2 mass flow</t>
  </si>
  <si>
    <t>kg/h</t>
  </si>
  <si>
    <t>$\mathrm{CO2\_MassFlow}$</t>
  </si>
  <si>
    <t>CO2 mass flow rate</t>
  </si>
  <si>
    <t>DigestateFlow</t>
  </si>
  <si>
    <t>Digestate mass flow</t>
  </si>
  <si>
    <t>$\mathrm{DigestateFlow}$</t>
  </si>
  <si>
    <t>MW_biogas</t>
  </si>
  <si>
    <t>Molecular weight of biogas</t>
  </si>
  <si>
    <t>$\mathrm{MW\_biogas}$</t>
  </si>
  <si>
    <t>DigesterQDuty</t>
  </si>
  <si>
    <t>Digester heating duty</t>
  </si>
  <si>
    <t>$\mathrm{DigesterQDuty}$</t>
  </si>
  <si>
    <t>Heating supply to thermophilic anaerobic digester</t>
  </si>
  <si>
    <t>CmpDutyBiog</t>
  </si>
  <si>
    <t>Biogas compressor duty</t>
  </si>
  <si>
    <t>$\mathrm{CmpDutyBiog}$</t>
  </si>
  <si>
    <t>Biogas compressor duty, with 3.4011 = ln(P_out/P_in)</t>
  </si>
  <si>
    <t>WaterScrubDuty</t>
  </si>
  <si>
    <t>Water scrubbing power consumption</t>
  </si>
  <si>
    <t>$\mathrm{WaterScrubDuty}$</t>
  </si>
  <si>
    <t>Power consumption in water scrubbing</t>
  </si>
  <si>
    <t>TotalElec</t>
  </si>
  <si>
    <t>Total electricity demand</t>
  </si>
  <si>
    <t>$\mathrm{TotalElec}$</t>
  </si>
  <si>
    <t>Total electricity needed for compresor and water scrubber</t>
  </si>
  <si>
    <t>Annuity</t>
  </si>
  <si>
    <t>Annualization factor</t>
  </si>
  <si>
    <t>$\mathrm{Annuity}$</t>
  </si>
  <si>
    <t>Cinv2_comp</t>
  </si>
  <si>
    <t>Annualized compressor CAPEX</t>
  </si>
  <si>
    <t>$\mathrm{Cinv2\_comp}$</t>
  </si>
  <si>
    <t>Investment cost of compressor</t>
  </si>
  <si>
    <t>Cinv2_waterscrub</t>
  </si>
  <si>
    <t>Annualized water scrubber CAPEX</t>
  </si>
  <si>
    <t>$\mathrm{Cinv2\_waterscrub}$</t>
  </si>
  <si>
    <t>Investment of biogas scrubbing unit</t>
  </si>
  <si>
    <t>Cinv2_scrubcomp</t>
  </si>
  <si>
    <t>Total upgrading CAPEX</t>
  </si>
  <si>
    <t>$\mathrm{Cinv2\_scrubcomp}$</t>
  </si>
  <si>
    <t>Total investment cost scrubber and compressor systems</t>
  </si>
  <si>
    <t>Cinv2_biod</t>
  </si>
  <si>
    <t>Biodigester CAPEX</t>
  </si>
  <si>
    <t>$\mathrm{Cinv2\_biod}$</t>
  </si>
  <si>
    <t>Investment cost of biodigester</t>
  </si>
  <si>
    <t>CO2</t>
  </si>
  <si>
    <t>MASS</t>
  </si>
  <si>
    <t>NATGAS</t>
  </si>
  <si>
    <t>CH4</t>
  </si>
  <si>
    <t>ELECTRICITY</t>
  </si>
  <si>
    <t>Elec</t>
  </si>
  <si>
    <t>BIOMSW</t>
  </si>
  <si>
    <t>BioMSW</t>
  </si>
  <si>
    <t>DIGESTATE</t>
  </si>
  <si>
    <t>Digestate</t>
  </si>
  <si>
    <t>BIOGAS</t>
  </si>
  <si>
    <t>Biogas</t>
  </si>
  <si>
    <t>Nm3/h</t>
  </si>
  <si>
    <t>Biodigester</t>
  </si>
  <si>
    <t>IN</t>
  </si>
  <si>
    <t>OUT</t>
  </si>
  <si>
    <t>qt_biod</t>
  </si>
  <si>
    <t>DEFAULT</t>
  </si>
  <si>
    <t>BiogasPurif</t>
  </si>
  <si>
    <t>t/h</t>
  </si>
  <si>
    <t>(V)</t>
  </si>
  <si>
    <t>(S)</t>
  </si>
  <si>
    <t>(L)</t>
  </si>
  <si>
    <t>MASSFRAC:CO2[1]</t>
  </si>
  <si>
    <t>MASSFRAC:CH4[1]</t>
  </si>
  <si>
    <t>Biomass from municipal solid waste</t>
  </si>
  <si>
    <t>Digestate output of the biodigestion</t>
  </si>
  <si>
    <t>Biogas going from biodigestion to purification</t>
  </si>
  <si>
    <t>CO2 output after the purification process</t>
  </si>
  <si>
    <t>Natural gaz (CH4) output after the purification process</t>
  </si>
  <si>
    <t>Biogas_VolLHV*Biogas_VolFlow</t>
  </si>
  <si>
    <t>CH4inBiogas*Biogas_VolFlow</t>
  </si>
  <si>
    <t>CH4_VolFlow*CH4_VolLHV</t>
  </si>
  <si>
    <t>CH4_kW/CH4_MassLHV*3600</t>
  </si>
  <si>
    <t>(CH4inBiogas*MW_CH4)/((CH4inBiogas*MW_CH4)+((1-CH4inBiogas)*MW_CO2))</t>
  </si>
  <si>
    <t>1-CH4_massfrac</t>
  </si>
  <si>
    <t>CH4_MassFlow/CH4_massfrac</t>
  </si>
  <si>
    <t>Biogas_MassFlow-CH4_MassFlow</t>
  </si>
  <si>
    <t>Biomassflow-Biogas_MassFlow/1000</t>
  </si>
  <si>
    <t>SpecHeatDigester*Biomassflow</t>
  </si>
  <si>
    <t>Biogas_MassFlow*(1/eff_comp)*Ru/MW_biogas*T_comp*3.4011/3600</t>
  </si>
  <si>
    <t>ScrubDuty*Biogas_VolFlow</t>
  </si>
  <si>
    <t>CmpDutyBiog+WaterScrubDuty</t>
  </si>
  <si>
    <t>(i*(1+i)^n)/((1+i)^n-1)</t>
  </si>
  <si>
    <t>CmpDutyBiog*comprCost*(CEPCI_2020/CEPCI_2008)*Annuity</t>
  </si>
  <si>
    <t>Biogas_VolFlow*waterScrubCost*(CEPCI_2020/CEPCI_2008)*Annuity</t>
  </si>
  <si>
    <t>Cinv2_waterscrub+Cinv2_comp</t>
  </si>
  <si>
    <t>Biomassflow*digesterCost*(CEPCI_2020/CEPCI_2008)*Annuity</t>
  </si>
  <si>
    <t>Methane fraction in biogas, Nm3CH4/Nm3Biogas</t>
  </si>
  <si>
    <t>Dry matter ratio of wastes, tTS/twaste</t>
  </si>
  <si>
    <t>Volatile solids, tVS/tTS</t>
  </si>
  <si>
    <t>Nm3/t</t>
  </si>
  <si>
    <t>Biomethane potential, Nm3/tVS</t>
  </si>
  <si>
    <t>kWh/Nm3</t>
  </si>
  <si>
    <t>Volumetric lower heating value of methane, kWh/Nm3CH4</t>
  </si>
  <si>
    <t>kJ/kg</t>
  </si>
  <si>
    <t>Mass lower heating value of methane, kJ/kg_CH4</t>
  </si>
  <si>
    <t>kWh/t</t>
  </si>
  <si>
    <t>kg/kmol</t>
  </si>
  <si>
    <t>Water scrubbing power duty, kWh/Nm3biogas</t>
  </si>
  <si>
    <t>year</t>
  </si>
  <si>
    <t>eurh/t</t>
  </si>
  <si>
    <t>Biodigester specific investment cost - Upper bound estimated, Eur/tphWaste</t>
  </si>
  <si>
    <t>eur/kW</t>
  </si>
  <si>
    <t>eurh/Nm3</t>
  </si>
  <si>
    <t>Water scrubbing specific cost, Eur/(Nm3biogas/h)</t>
  </si>
  <si>
    <t>2020 CEPCI index</t>
  </si>
  <si>
    <t>2020 CEPCI</t>
  </si>
  <si>
    <t>Biomethane mass fraction in biogas, kgCH4/kgbiogas</t>
  </si>
  <si>
    <t>Mass fraction of CO2 in biogas, kgCO2/kgbiogas</t>
  </si>
  <si>
    <t>eur/year</t>
  </si>
  <si>
    <t>ECOS2105, Florez-Orrego, et al.</t>
  </si>
  <si>
    <t>MOLEFRAC:CH4[0.553]&amp;CO2[0.447]</t>
  </si>
  <si>
    <t>Electricity for biogas compression and water scrubbing.</t>
  </si>
  <si>
    <t>ENERGY</t>
  </si>
  <si>
    <t>(CH4inBiogas * MW_CH4) + ((1 - CH4inBiogas) * MW_CO2)</t>
  </si>
  <si>
    <t>kW/m2K</t>
  </si>
  <si>
    <t>No</t>
  </si>
  <si>
    <t>Yes</t>
  </si>
  <si>
    <t>Thermophilic anaerobic reactor converting organic waste into raw biogas via first-order kinetics.</t>
  </si>
  <si>
    <t>Isothermal thermal duty required to maintain 55°C</t>
  </si>
  <si>
    <t>The connectors are digestible organic fraction of municipal solid waste, raw gas mixture (CH4/CO2) produced from biological degradation and stabilized organic-rich slurry residue, leaves at process temperature.</t>
  </si>
  <si>
    <t>There is one heat streams that represent the heat duty to keep the reaction at 55°C.</t>
  </si>
  <si>
    <t>A complete anaerobic digestion vessel and primary auxiliary systems (asset) are required for capital cost estimation and annualization.</t>
  </si>
  <si>
    <t>Biodigester_Vessel</t>
  </si>
  <si>
    <t>Asset</t>
  </si>
  <si>
    <t>Anaerobic Digester</t>
  </si>
  <si>
    <t>Lifetime</t>
  </si>
  <si>
    <t>Specific investment cost</t>
  </si>
  <si>
    <t>This unit performs biogas upgrading via pressurized water scrubbing. It includes a multi-stage compressor to reach scrubbing pressure and a separation column to remove CO2​, yielding high-purity biomethane (CH4​).</t>
  </si>
  <si>
    <t>The unit consumes electricity for compression and solvent circulation. It receives raw biogas at 55°C and splits it into a biomethane product stream (defined by energy content) and a gaseous CO2​ vent stream, both cooled to 25°C.</t>
  </si>
  <si>
    <t>This unit does not have heat streams</t>
  </si>
  <si>
    <t>Capital investment for the purification block, comprising the biogas compressor and the water scrubbing absorption/desorption columns.</t>
  </si>
  <si>
    <t>Purif_System</t>
  </si>
  <si>
    <t>Water Scrubber</t>
  </si>
  <si>
    <t>Variable Sheet</t>
  </si>
  <si>
    <t>1. Process Overview: Anaerobic Digestion (AD)</t>
  </si>
  <si>
    <t>1-exp(-kt)</t>
  </si>
  <si>
    <t>Volumetric flow rate exponential</t>
  </si>
  <si>
    <t>VolFlowExp</t>
  </si>
  <si>
    <t>$\mathrm{VolFlowExp}$</t>
  </si>
  <si>
    <t>Volumetric flow rate exponential factor</t>
  </si>
  <si>
    <t>Volumetric flow rate of biogas</t>
  </si>
  <si>
    <t>Biomassflow*TS*VS*BMP*VolFlowExp/CH4inBiogas</t>
  </si>
  <si>
    <t>Hot</t>
  </si>
  <si>
    <t>MASSFRAC:CH4[0.31]&amp;CO2[0.69]</t>
  </si>
  <si>
    <t>EPFL IPESE research group</t>
  </si>
  <si>
    <t>[1] Remy, F. (2018). Potential for the anaerobic digestion of municipal solid waste (MSW) in the city of Curitiba, Brazil;
[2] Bauer, F., Hulteberg, C., Persson, T., &amp; Tamm, D. (2013). Biogas upgrading-Review of commercial technologies;
[3] Hamzah et al. 2019. Comparative start-up between mesophilic and thermophilic for acidified palm oil mill effluent treatment. IOP Conf. Ser.: Earth Environ. Sci. 268 012028;
[4] Mesophilic and thermophilic systems 2023 https://www.walesadcentre.org.uk/ad-information/technologies/mesophilic-and-thermophilic-systems/</t>
  </si>
  <si>
    <t>[2]</t>
  </si>
  <si>
    <t>[1]</t>
  </si>
  <si>
    <t>eur/tph</t>
  </si>
  <si>
    <t>Turton (2008)</t>
  </si>
  <si>
    <t>Anaerobic digestion is a biological process where microorganisms decompose organic matter in an oxygen-free environment. This model focuses on the transformation of BioMSW (Organic Fraction of Municipal Solid Waste) into renewable energy. The process occurs in a biodigester, breaking down complex organic substrates into a methane-rich gas.</t>
  </si>
  <si>
    <t>2. The Production Chain</t>
  </si>
  <si>
    <t>3. System Energy &amp; Performance</t>
  </si>
  <si>
    <t>4. Key Model Parameters</t>
  </si>
  <si>
    <t>5. References</t>
  </si>
  <si>
    <t>A. Loading &amp; Digestion: Organic matter (Biomassflow) is processed in the digester, where volatile solids (VS) are converted into gas through microbial action.</t>
  </si>
  <si>
    <t>B. Purification &amp; Upgrading: To reach pipeline quality (Biomethane), the raw biogas is processed through a Water Scrubber. The gas is pressurized (P_out) to facilitate CO2 absorption, isolating methane for the natural gas network.</t>
  </si>
  <si>
    <t>C. Digestate Management: The non-gaseous residue (DigestateFlow) remains available as a nutrient-rich byproduct.</t>
  </si>
  <si>
    <t>[1] Remy, F. (2018). Potential for the anaerobic digestion of municipal solid waste (MSW) in the city of Curitiba, Brazil
[2] Bauer, F., Hulteberg, C., Persson, T., &amp; Tamm, D. (2013). Biogas upgrading-Review of commercial technologies
[3] Hamzah et al. 2019. Comparative start-up between mesophilic and thermophilic for acidified palm oil mill effluent treatment. IOP Conf. Ser.: Earth Environ. Sci. 268 012028
[4] Mesophilic and thermophilic systems 2023 https://www.walesadcentre.org.uk/ad-information/technologies/mesophilic-and-thermophilic-systems/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</si>
</sst>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s>
  <fills count="13">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BDD6EE"/>
        <bgColor indexed="64"/>
      </patternFill>
    </fill>
  </fills>
  <borders count="81">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style="medium">
        <color indexed="64"/>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right/>
      <top/>
      <bottom style="medium">
        <color indexed="64"/>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19" fillId="0" borderId="46"/>
    <xf numFmtId="0" fontId="6" fillId="0" borderId="46"/>
  </cellStyleXfs>
  <cellXfs count="275">
    <xf numFmtId="0" fontId="0" fillId="0" borderId="0" xfId="0"/>
    <xf numFmtId="0" fontId="15" fillId="3" borderId="4" xfId="0" applyFont="1" applyFill="1" applyBorder="1" applyAlignment="1">
      <alignment horizontal="center" vertical="center"/>
    </xf>
    <xf numFmtId="0" fontId="15" fillId="3" borderId="5" xfId="0" applyFont="1" applyFill="1" applyBorder="1" applyAlignment="1">
      <alignment horizontal="left" vertical="center"/>
    </xf>
    <xf numFmtId="0" fontId="15" fillId="3" borderId="7" xfId="0" applyFont="1" applyFill="1" applyBorder="1"/>
    <xf numFmtId="0" fontId="15" fillId="3" borderId="3" xfId="0" applyFont="1" applyFill="1" applyBorder="1"/>
    <xf numFmtId="0" fontId="12" fillId="0" borderId="8" xfId="0" applyFont="1" applyBorder="1"/>
    <xf numFmtId="0" fontId="12" fillId="4" borderId="8" xfId="0" applyFont="1" applyFill="1" applyBorder="1"/>
    <xf numFmtId="0" fontId="14" fillId="4" borderId="8" xfId="0" applyFont="1" applyFill="1" applyBorder="1" applyAlignment="1">
      <alignment horizontal="center"/>
    </xf>
    <xf numFmtId="0" fontId="12" fillId="0" borderId="13" xfId="0" applyFont="1" applyBorder="1"/>
    <xf numFmtId="0" fontId="15" fillId="3" borderId="14" xfId="0" applyFont="1" applyFill="1" applyBorder="1"/>
    <xf numFmtId="0" fontId="15" fillId="3" borderId="15" xfId="0" applyFont="1" applyFill="1" applyBorder="1"/>
    <xf numFmtId="0" fontId="13" fillId="0" borderId="17" xfId="0" applyFont="1" applyBorder="1"/>
    <xf numFmtId="0" fontId="12" fillId="0" borderId="17" xfId="0" applyFont="1" applyBorder="1"/>
    <xf numFmtId="0" fontId="15" fillId="3" borderId="18" xfId="0" applyFont="1" applyFill="1" applyBorder="1"/>
    <xf numFmtId="0" fontId="15" fillId="4" borderId="19" xfId="0" applyFont="1" applyFill="1" applyBorder="1"/>
    <xf numFmtId="0" fontId="12" fillId="4" borderId="20" xfId="0" applyFont="1" applyFill="1" applyBorder="1"/>
    <xf numFmtId="0" fontId="15" fillId="3" borderId="13" xfId="0" applyFont="1" applyFill="1" applyBorder="1"/>
    <xf numFmtId="0" fontId="15" fillId="3" borderId="21" xfId="0" applyFont="1" applyFill="1" applyBorder="1"/>
    <xf numFmtId="0" fontId="15" fillId="3" borderId="17" xfId="0" applyFont="1" applyFill="1" applyBorder="1"/>
    <xf numFmtId="0" fontId="15" fillId="3" borderId="25" xfId="0" applyFont="1" applyFill="1" applyBorder="1"/>
    <xf numFmtId="0" fontId="15" fillId="3" borderId="19" xfId="0" applyFont="1" applyFill="1" applyBorder="1"/>
    <xf numFmtId="0" fontId="12" fillId="0" borderId="19" xfId="0" applyFont="1" applyBorder="1"/>
    <xf numFmtId="0" fontId="12" fillId="4" borderId="19" xfId="0" applyFont="1" applyFill="1" applyBorder="1"/>
    <xf numFmtId="0" fontId="17" fillId="4" borderId="1" xfId="0" applyFont="1" applyFill="1" applyBorder="1" applyAlignment="1">
      <alignment horizontal="left"/>
    </xf>
    <xf numFmtId="0" fontId="15" fillId="4" borderId="1" xfId="0" applyFont="1" applyFill="1" applyBorder="1"/>
    <xf numFmtId="0" fontId="15" fillId="4" borderId="1" xfId="0" applyFont="1" applyFill="1" applyBorder="1" applyAlignment="1">
      <alignment horizontal="left"/>
    </xf>
    <xf numFmtId="0" fontId="12" fillId="4" borderId="1" xfId="0" applyFont="1" applyFill="1" applyBorder="1" applyAlignment="1">
      <alignment horizontal="left"/>
    </xf>
    <xf numFmtId="0" fontId="12" fillId="4" borderId="1" xfId="0" applyFont="1" applyFill="1" applyBorder="1"/>
    <xf numFmtId="0" fontId="13" fillId="4" borderId="1" xfId="0" applyFont="1" applyFill="1" applyBorder="1"/>
    <xf numFmtId="0" fontId="11" fillId="4" borderId="17" xfId="0" applyFont="1" applyFill="1" applyBorder="1"/>
    <xf numFmtId="0" fontId="12" fillId="4" borderId="17" xfId="0" applyFont="1" applyFill="1" applyBorder="1"/>
    <xf numFmtId="0" fontId="15" fillId="4" borderId="17" xfId="0" applyFont="1" applyFill="1" applyBorder="1"/>
    <xf numFmtId="0" fontId="11" fillId="4" borderId="1" xfId="0" applyFont="1" applyFill="1" applyBorder="1"/>
    <xf numFmtId="0" fontId="15" fillId="4" borderId="30" xfId="0" applyFont="1" applyFill="1" applyBorder="1" applyAlignment="1">
      <alignment horizontal="center"/>
    </xf>
    <xf numFmtId="0" fontId="15" fillId="4" borderId="24" xfId="0" applyFont="1" applyFill="1" applyBorder="1" applyAlignment="1">
      <alignment horizontal="center"/>
    </xf>
    <xf numFmtId="0" fontId="15" fillId="4" borderId="31" xfId="0" applyFont="1" applyFill="1" applyBorder="1" applyAlignment="1">
      <alignment horizontal="center"/>
    </xf>
    <xf numFmtId="0" fontId="15" fillId="4" borderId="19" xfId="0" applyFont="1" applyFill="1" applyBorder="1" applyAlignment="1">
      <alignment horizontal="center"/>
    </xf>
    <xf numFmtId="0" fontId="17" fillId="4" borderId="20" xfId="0" applyFont="1" applyFill="1" applyBorder="1" applyAlignment="1">
      <alignment horizontal="left"/>
    </xf>
    <xf numFmtId="0" fontId="15" fillId="4" borderId="8" xfId="0" applyFont="1" applyFill="1" applyBorder="1" applyAlignment="1">
      <alignment horizontal="center"/>
    </xf>
    <xf numFmtId="0" fontId="14" fillId="4" borderId="19" xfId="0" applyFont="1" applyFill="1" applyBorder="1" applyAlignment="1">
      <alignment horizontal="center" vertical="center" wrapText="1"/>
    </xf>
    <xf numFmtId="0" fontId="15" fillId="3" borderId="8" xfId="0" applyFont="1" applyFill="1" applyBorder="1" applyAlignment="1">
      <alignment horizontal="center"/>
    </xf>
    <xf numFmtId="0" fontId="17" fillId="3" borderId="8" xfId="0" applyFont="1" applyFill="1" applyBorder="1" applyAlignment="1">
      <alignment horizontal="left"/>
    </xf>
    <xf numFmtId="0" fontId="14" fillId="4" borderId="0" xfId="0" applyFont="1" applyFill="1" applyAlignment="1">
      <alignment horizontal="center"/>
    </xf>
    <xf numFmtId="0" fontId="15" fillId="3" borderId="6" xfId="0" applyFont="1" applyFill="1" applyBorder="1" applyAlignment="1">
      <alignment horizontal="center"/>
    </xf>
    <xf numFmtId="0" fontId="17" fillId="3" borderId="6" xfId="0" applyFont="1" applyFill="1" applyBorder="1" applyAlignment="1">
      <alignment horizontal="left"/>
    </xf>
    <xf numFmtId="0" fontId="15" fillId="3" borderId="4" xfId="0" applyFont="1" applyFill="1" applyBorder="1" applyAlignment="1">
      <alignment horizontal="center"/>
    </xf>
    <xf numFmtId="0" fontId="17" fillId="3" borderId="35" xfId="0" quotePrefix="1" applyFont="1" applyFill="1" applyBorder="1" applyAlignment="1">
      <alignment horizontal="left"/>
    </xf>
    <xf numFmtId="0" fontId="15" fillId="3" borderId="35" xfId="0" applyFont="1" applyFill="1" applyBorder="1" applyAlignment="1">
      <alignment horizontal="center"/>
    </xf>
    <xf numFmtId="0" fontId="15" fillId="3" borderId="3" xfId="0" applyFont="1" applyFill="1" applyBorder="1" applyAlignment="1">
      <alignment horizontal="center"/>
    </xf>
    <xf numFmtId="0" fontId="17" fillId="3" borderId="3" xfId="0" applyFont="1" applyFill="1" applyBorder="1" applyAlignment="1">
      <alignment horizontal="left"/>
    </xf>
    <xf numFmtId="0" fontId="17" fillId="3" borderId="24" xfId="0" applyFont="1" applyFill="1" applyBorder="1" applyAlignment="1">
      <alignment horizontal="left" vertical="center"/>
    </xf>
    <xf numFmtId="0" fontId="15" fillId="3" borderId="24" xfId="0" applyFont="1" applyFill="1" applyBorder="1" applyAlignment="1">
      <alignment horizontal="center"/>
    </xf>
    <xf numFmtId="0" fontId="17" fillId="3" borderId="8" xfId="0" quotePrefix="1" applyFont="1" applyFill="1" applyBorder="1" applyAlignment="1">
      <alignment horizontal="left"/>
    </xf>
    <xf numFmtId="0" fontId="17" fillId="3" borderId="8" xfId="0" applyFont="1" applyFill="1" applyBorder="1" applyAlignment="1">
      <alignment horizontal="left" vertical="center"/>
    </xf>
    <xf numFmtId="0" fontId="17" fillId="3" borderId="14" xfId="0" applyFont="1" applyFill="1" applyBorder="1" applyAlignment="1">
      <alignment horizontal="left" vertical="center"/>
    </xf>
    <xf numFmtId="0" fontId="17" fillId="3" borderId="15" xfId="0" applyFont="1" applyFill="1" applyBorder="1" applyAlignment="1">
      <alignment horizontal="left"/>
    </xf>
    <xf numFmtId="0" fontId="15" fillId="3" borderId="15" xfId="0" applyFont="1" applyFill="1" applyBorder="1" applyAlignment="1">
      <alignment horizontal="center"/>
    </xf>
    <xf numFmtId="0" fontId="15" fillId="3" borderId="15" xfId="0" applyFont="1" applyFill="1" applyBorder="1" applyAlignment="1">
      <alignment horizontal="left"/>
    </xf>
    <xf numFmtId="0" fontId="15" fillId="3" borderId="8" xfId="0" applyFont="1" applyFill="1" applyBorder="1" applyAlignment="1">
      <alignment horizontal="center" vertical="center"/>
    </xf>
    <xf numFmtId="0" fontId="15" fillId="3" borderId="16" xfId="0" applyFont="1" applyFill="1" applyBorder="1" applyAlignment="1">
      <alignment horizontal="center" vertical="center"/>
    </xf>
    <xf numFmtId="0" fontId="12" fillId="0" borderId="24" xfId="0" applyFont="1" applyBorder="1"/>
    <xf numFmtId="0" fontId="15" fillId="3" borderId="24" xfId="0" applyFont="1" applyFill="1" applyBorder="1" applyAlignment="1">
      <alignment horizontal="center" vertical="center"/>
    </xf>
    <xf numFmtId="0" fontId="17" fillId="3" borderId="24" xfId="0" applyFont="1" applyFill="1" applyBorder="1" applyAlignment="1">
      <alignment horizontal="left"/>
    </xf>
    <xf numFmtId="0" fontId="15" fillId="3" borderId="36" xfId="0" applyFont="1" applyFill="1" applyBorder="1" applyAlignment="1">
      <alignment horizontal="center"/>
    </xf>
    <xf numFmtId="0" fontId="15" fillId="3" borderId="20" xfId="0" applyFont="1" applyFill="1" applyBorder="1" applyAlignment="1">
      <alignment horizontal="center" vertical="center"/>
    </xf>
    <xf numFmtId="0" fontId="15" fillId="3" borderId="39" xfId="0" applyFont="1" applyFill="1" applyBorder="1" applyAlignment="1">
      <alignment horizontal="center"/>
    </xf>
    <xf numFmtId="0" fontId="17" fillId="3" borderId="5" xfId="0" quotePrefix="1" applyFont="1" applyFill="1" applyBorder="1" applyAlignment="1">
      <alignment horizontal="left"/>
    </xf>
    <xf numFmtId="0" fontId="15" fillId="3" borderId="22" xfId="0" applyFont="1" applyFill="1" applyBorder="1" applyAlignment="1">
      <alignment horizontal="center"/>
    </xf>
    <xf numFmtId="0" fontId="15" fillId="3" borderId="23" xfId="0" applyFont="1" applyFill="1" applyBorder="1" applyAlignment="1">
      <alignment horizontal="center"/>
    </xf>
    <xf numFmtId="0" fontId="17" fillId="3" borderId="14" xfId="0" quotePrefix="1" applyFont="1" applyFill="1" applyBorder="1" applyAlignment="1">
      <alignment horizontal="left"/>
    </xf>
    <xf numFmtId="0" fontId="15" fillId="4" borderId="4" xfId="0" applyFont="1" applyFill="1" applyBorder="1" applyAlignment="1">
      <alignment horizontal="center"/>
    </xf>
    <xf numFmtId="0" fontId="15" fillId="4" borderId="5" xfId="0" applyFont="1" applyFill="1" applyBorder="1" applyAlignment="1">
      <alignment horizontal="center"/>
    </xf>
    <xf numFmtId="0" fontId="15" fillId="4" borderId="3" xfId="0" applyFont="1" applyFill="1" applyBorder="1" applyAlignment="1">
      <alignment horizontal="center"/>
    </xf>
    <xf numFmtId="0" fontId="15" fillId="4" borderId="13" xfId="0" applyFont="1" applyFill="1" applyBorder="1" applyAlignment="1">
      <alignment horizontal="center" vertical="center"/>
    </xf>
    <xf numFmtId="0" fontId="15" fillId="4" borderId="16" xfId="0" applyFont="1" applyFill="1" applyBorder="1" applyAlignment="1">
      <alignment horizontal="center" vertical="center"/>
    </xf>
    <xf numFmtId="0" fontId="15" fillId="4" borderId="24" xfId="0" applyFont="1" applyFill="1" applyBorder="1" applyAlignment="1">
      <alignment horizontal="center" vertical="center"/>
    </xf>
    <xf numFmtId="0" fontId="17" fillId="4" borderId="0" xfId="0" applyFont="1" applyFill="1" applyAlignment="1">
      <alignment horizontal="left"/>
    </xf>
    <xf numFmtId="0" fontId="15" fillId="4" borderId="0" xfId="0" applyFont="1" applyFill="1" applyAlignment="1">
      <alignment horizontal="center"/>
    </xf>
    <xf numFmtId="0" fontId="15" fillId="4" borderId="6" xfId="0" applyFont="1" applyFill="1" applyBorder="1" applyAlignment="1">
      <alignment horizontal="center"/>
    </xf>
    <xf numFmtId="0" fontId="15" fillId="4" borderId="36" xfId="0" applyFont="1" applyFill="1" applyBorder="1" applyAlignment="1">
      <alignment horizontal="center"/>
    </xf>
    <xf numFmtId="0" fontId="15" fillId="4" borderId="47" xfId="0" applyFont="1" applyFill="1" applyBorder="1" applyAlignment="1">
      <alignment horizontal="center"/>
    </xf>
    <xf numFmtId="0" fontId="0" fillId="6" borderId="0" xfId="0" applyFill="1"/>
    <xf numFmtId="0" fontId="11" fillId="0" borderId="1" xfId="0" applyFont="1" applyBorder="1" applyAlignment="1">
      <alignment horizontal="left" vertical="top"/>
    </xf>
    <xf numFmtId="0" fontId="15" fillId="3" borderId="46" xfId="0" applyFont="1" applyFill="1" applyBorder="1" applyAlignment="1">
      <alignment horizontal="left" vertical="center"/>
    </xf>
    <xf numFmtId="0" fontId="0" fillId="7" borderId="0" xfId="0" applyFill="1"/>
    <xf numFmtId="0" fontId="14" fillId="4" borderId="19" xfId="0" applyFont="1" applyFill="1" applyBorder="1" applyAlignment="1">
      <alignment horizontal="center" vertical="center"/>
    </xf>
    <xf numFmtId="2" fontId="12" fillId="4" borderId="8" xfId="0" applyNumberFormat="1" applyFont="1" applyFill="1" applyBorder="1"/>
    <xf numFmtId="0" fontId="14" fillId="2" borderId="27" xfId="0" applyFont="1" applyFill="1" applyBorder="1" applyAlignment="1">
      <alignment horizontal="left" vertical="top"/>
    </xf>
    <xf numFmtId="0" fontId="14" fillId="2" borderId="32" xfId="0" applyFont="1" applyFill="1" applyBorder="1" applyAlignment="1">
      <alignment horizontal="left" vertical="top"/>
    </xf>
    <xf numFmtId="0" fontId="14" fillId="2" borderId="33" xfId="0" applyFont="1" applyFill="1" applyBorder="1" applyAlignment="1">
      <alignment horizontal="left" vertical="top" wrapText="1"/>
    </xf>
    <xf numFmtId="0" fontId="14" fillId="2" borderId="34" xfId="0" applyFont="1" applyFill="1" applyBorder="1" applyAlignment="1">
      <alignment horizontal="left" vertical="top" wrapText="1"/>
    </xf>
    <xf numFmtId="0" fontId="14" fillId="2" borderId="28" xfId="0" applyFont="1" applyFill="1" applyBorder="1" applyAlignment="1">
      <alignment horizontal="left" vertical="top"/>
    </xf>
    <xf numFmtId="0" fontId="14" fillId="2" borderId="37" xfId="0" applyFont="1" applyFill="1" applyBorder="1" applyAlignment="1">
      <alignment horizontal="left" vertical="top"/>
    </xf>
    <xf numFmtId="0" fontId="14" fillId="2" borderId="38" xfId="0" applyFont="1" applyFill="1" applyBorder="1" applyAlignment="1">
      <alignment horizontal="left" vertical="top"/>
    </xf>
    <xf numFmtId="0" fontId="14" fillId="2" borderId="41" xfId="0" applyFont="1" applyFill="1" applyBorder="1" applyAlignment="1">
      <alignment horizontal="left" vertical="top"/>
    </xf>
    <xf numFmtId="0" fontId="14" fillId="2" borderId="40" xfId="0" applyFont="1" applyFill="1" applyBorder="1" applyAlignment="1">
      <alignment horizontal="left" vertical="top"/>
    </xf>
    <xf numFmtId="0" fontId="15" fillId="2" borderId="41" xfId="0" applyFont="1" applyFill="1" applyBorder="1" applyAlignment="1">
      <alignment horizontal="left" vertical="top"/>
    </xf>
    <xf numFmtId="0" fontId="14" fillId="2" borderId="9" xfId="0" applyFont="1" applyFill="1" applyBorder="1" applyAlignment="1">
      <alignment horizontal="left" vertical="top"/>
    </xf>
    <xf numFmtId="0" fontId="14" fillId="2" borderId="10" xfId="0" applyFont="1" applyFill="1" applyBorder="1" applyAlignment="1">
      <alignment horizontal="left" vertical="top"/>
    </xf>
    <xf numFmtId="0" fontId="12" fillId="8" borderId="20" xfId="0" applyFont="1" applyFill="1" applyBorder="1"/>
    <xf numFmtId="0" fontId="12" fillId="8" borderId="26" xfId="0" applyFont="1" applyFill="1" applyBorder="1"/>
    <xf numFmtId="0" fontId="14" fillId="2" borderId="42" xfId="0" applyFont="1" applyFill="1" applyBorder="1" applyAlignment="1">
      <alignment horizontal="left" vertical="top"/>
    </xf>
    <xf numFmtId="0" fontId="14" fillId="2" borderId="48" xfId="0" applyFont="1" applyFill="1" applyBorder="1" applyAlignment="1">
      <alignment horizontal="left" vertical="top"/>
    </xf>
    <xf numFmtId="0" fontId="14" fillId="2" borderId="50" xfId="0" applyFont="1" applyFill="1" applyBorder="1" applyAlignment="1">
      <alignment horizontal="left" vertical="top"/>
    </xf>
    <xf numFmtId="0" fontId="15" fillId="8" borderId="49" xfId="0" applyFont="1" applyFill="1" applyBorder="1" applyAlignment="1">
      <alignment horizontal="left" vertical="top" wrapText="1"/>
    </xf>
    <xf numFmtId="0" fontId="14" fillId="2" borderId="49" xfId="0" applyFont="1" applyFill="1" applyBorder="1" applyAlignment="1">
      <alignment horizontal="left" vertical="top"/>
    </xf>
    <xf numFmtId="0" fontId="15" fillId="4" borderId="21" xfId="0" applyFont="1" applyFill="1" applyBorder="1" applyAlignment="1">
      <alignment horizontal="center" vertical="center"/>
    </xf>
    <xf numFmtId="0" fontId="15" fillId="2" borderId="28" xfId="0" applyFont="1" applyFill="1" applyBorder="1" applyAlignment="1">
      <alignment horizontal="left" vertical="top"/>
    </xf>
    <xf numFmtId="0" fontId="15" fillId="2" borderId="29" xfId="0" applyFont="1" applyFill="1" applyBorder="1" applyAlignment="1">
      <alignment horizontal="left" vertical="top"/>
    </xf>
    <xf numFmtId="0" fontId="15" fillId="2" borderId="11" xfId="0" applyFont="1" applyFill="1" applyBorder="1" applyAlignment="1">
      <alignment horizontal="left" vertical="top"/>
    </xf>
    <xf numFmtId="0" fontId="15" fillId="2" borderId="46" xfId="0" applyFont="1" applyFill="1" applyBorder="1" applyAlignment="1">
      <alignment horizontal="left" vertical="top"/>
    </xf>
    <xf numFmtId="0" fontId="10" fillId="2" borderId="46" xfId="0" applyFont="1" applyFill="1" applyBorder="1" applyAlignment="1">
      <alignment horizontal="left" vertical="top"/>
    </xf>
    <xf numFmtId="0" fontId="15" fillId="2" borderId="12" xfId="0" applyFont="1" applyFill="1" applyBorder="1" applyAlignment="1">
      <alignment horizontal="left" vertical="top"/>
    </xf>
    <xf numFmtId="0" fontId="14" fillId="2" borderId="54" xfId="0" applyFont="1" applyFill="1" applyBorder="1" applyAlignment="1">
      <alignment horizontal="left" vertical="top"/>
    </xf>
    <xf numFmtId="0" fontId="14" fillId="2" borderId="55" xfId="0" applyFont="1" applyFill="1" applyBorder="1" applyAlignment="1">
      <alignment horizontal="left" vertical="top"/>
    </xf>
    <xf numFmtId="0" fontId="14" fillId="2" borderId="56" xfId="0" applyFont="1" applyFill="1" applyBorder="1" applyAlignment="1">
      <alignment horizontal="left" vertical="top"/>
    </xf>
    <xf numFmtId="0" fontId="0" fillId="6" borderId="52" xfId="0" applyFill="1" applyBorder="1"/>
    <xf numFmtId="0" fontId="14" fillId="2" borderId="57" xfId="0" applyFont="1" applyFill="1" applyBorder="1" applyAlignment="1">
      <alignment horizontal="left" vertical="center"/>
    </xf>
    <xf numFmtId="0" fontId="14" fillId="2" borderId="51" xfId="0" applyFont="1" applyFill="1" applyBorder="1" applyAlignment="1">
      <alignment horizontal="left" vertical="center"/>
    </xf>
    <xf numFmtId="0" fontId="15" fillId="3" borderId="52" xfId="0" applyFont="1" applyFill="1" applyBorder="1" applyAlignment="1">
      <alignment horizontal="right"/>
    </xf>
    <xf numFmtId="164" fontId="15" fillId="3" borderId="52" xfId="0" applyNumberFormat="1" applyFont="1" applyFill="1" applyBorder="1" applyAlignment="1">
      <alignment horizontal="right"/>
    </xf>
    <xf numFmtId="0" fontId="14" fillId="2" borderId="51" xfId="0" applyFont="1" applyFill="1" applyBorder="1" applyAlignment="1">
      <alignment horizontal="left" vertical="center" wrapText="1"/>
    </xf>
    <xf numFmtId="0" fontId="14" fillId="2" borderId="59" xfId="0" applyFont="1" applyFill="1" applyBorder="1" applyAlignment="1">
      <alignment horizontal="left" vertical="center" wrapText="1"/>
    </xf>
    <xf numFmtId="0" fontId="15" fillId="3" borderId="60" xfId="0" applyFont="1" applyFill="1" applyBorder="1" applyAlignment="1">
      <alignment horizontal="right"/>
    </xf>
    <xf numFmtId="0" fontId="14" fillId="2" borderId="54" xfId="0" applyFont="1" applyFill="1" applyBorder="1" applyAlignment="1">
      <alignment vertical="top"/>
    </xf>
    <xf numFmtId="0" fontId="14" fillId="2" borderId="55" xfId="0" applyFont="1" applyFill="1" applyBorder="1" applyAlignment="1">
      <alignment vertical="top"/>
    </xf>
    <xf numFmtId="0" fontId="14" fillId="2" borderId="56" xfId="0" applyFont="1" applyFill="1" applyBorder="1" applyAlignment="1">
      <alignment vertical="top"/>
    </xf>
    <xf numFmtId="0" fontId="14" fillId="2" borderId="53" xfId="0" applyFont="1" applyFill="1" applyBorder="1" applyAlignment="1">
      <alignment horizontal="left" vertical="top"/>
    </xf>
    <xf numFmtId="0" fontId="14" fillId="2" borderId="61" xfId="0" applyFont="1" applyFill="1" applyBorder="1" applyAlignment="1">
      <alignment horizontal="left" vertical="top"/>
    </xf>
    <xf numFmtId="0" fontId="15" fillId="2" borderId="45" xfId="0" applyFont="1" applyFill="1" applyBorder="1" applyAlignment="1">
      <alignment horizontal="left" vertical="top"/>
    </xf>
    <xf numFmtId="0" fontId="12" fillId="2" borderId="2" xfId="0" applyFont="1" applyFill="1" applyBorder="1" applyAlignment="1">
      <alignment vertical="top"/>
    </xf>
    <xf numFmtId="0" fontId="12" fillId="2" borderId="2" xfId="0" applyFont="1" applyFill="1" applyBorder="1" applyAlignment="1" applyProtection="1">
      <alignment vertical="top"/>
      <protection locked="0"/>
    </xf>
    <xf numFmtId="0" fontId="0" fillId="0" borderId="0" xfId="0" applyProtection="1">
      <protection locked="0"/>
    </xf>
    <xf numFmtId="0" fontId="10" fillId="0" borderId="1" xfId="0" applyFont="1" applyBorder="1" applyAlignment="1" applyProtection="1">
      <alignment horizontal="left" vertical="top" wrapText="1"/>
      <protection locked="0"/>
    </xf>
    <xf numFmtId="0" fontId="9" fillId="0" borderId="1" xfId="0" applyFont="1" applyBorder="1" applyAlignment="1" applyProtection="1">
      <alignment horizontal="left" vertical="top" wrapText="1"/>
      <protection locked="0"/>
    </xf>
    <xf numFmtId="0" fontId="10" fillId="6" borderId="0" xfId="0" applyFont="1" applyFill="1" applyAlignment="1">
      <alignment horizontal="left" vertical="center"/>
    </xf>
    <xf numFmtId="0" fontId="8" fillId="6" borderId="0" xfId="0" applyFont="1" applyFill="1" applyAlignment="1">
      <alignment horizontal="left" vertical="center"/>
    </xf>
    <xf numFmtId="0" fontId="8" fillId="4" borderId="1" xfId="0" applyFont="1" applyFill="1" applyBorder="1"/>
    <xf numFmtId="0" fontId="15" fillId="3" borderId="54" xfId="0" applyFont="1" applyFill="1" applyBorder="1" applyAlignment="1">
      <alignment horizontal="right"/>
    </xf>
    <xf numFmtId="0" fontId="15" fillId="2" borderId="44" xfId="0" applyFont="1" applyFill="1" applyBorder="1" applyAlignment="1">
      <alignment horizontal="left" vertical="top"/>
    </xf>
    <xf numFmtId="0" fontId="15" fillId="2" borderId="62" xfId="0" applyFont="1" applyFill="1" applyBorder="1" applyAlignment="1">
      <alignment horizontal="left" vertical="top"/>
    </xf>
    <xf numFmtId="0" fontId="15" fillId="2" borderId="63" xfId="0" applyFont="1" applyFill="1" applyBorder="1" applyAlignment="1">
      <alignment horizontal="left" vertical="top"/>
    </xf>
    <xf numFmtId="0" fontId="15" fillId="2" borderId="64" xfId="0" applyFont="1" applyFill="1" applyBorder="1" applyAlignment="1">
      <alignment horizontal="left" vertical="top"/>
    </xf>
    <xf numFmtId="0" fontId="15" fillId="2" borderId="65" xfId="0" applyFont="1" applyFill="1" applyBorder="1" applyAlignment="1">
      <alignment horizontal="left" vertical="top"/>
    </xf>
    <xf numFmtId="0" fontId="14" fillId="5" borderId="57" xfId="0" applyFont="1" applyFill="1" applyBorder="1" applyAlignment="1">
      <alignment horizontal="left" vertical="top"/>
    </xf>
    <xf numFmtId="0" fontId="14" fillId="5" borderId="58" xfId="0" applyFont="1" applyFill="1" applyBorder="1" applyAlignment="1">
      <alignment horizontal="left" vertical="top"/>
    </xf>
    <xf numFmtId="0" fontId="15" fillId="3" borderId="56" xfId="0" applyFont="1" applyFill="1" applyBorder="1" applyAlignment="1">
      <alignment horizontal="right"/>
    </xf>
    <xf numFmtId="0" fontId="15" fillId="3" borderId="55" xfId="0" applyFont="1" applyFill="1" applyBorder="1" applyAlignment="1">
      <alignment horizontal="right"/>
    </xf>
    <xf numFmtId="0" fontId="15" fillId="3" borderId="46" xfId="0" applyFont="1" applyFill="1" applyBorder="1" applyAlignment="1">
      <alignment horizontal="center"/>
    </xf>
    <xf numFmtId="0" fontId="0" fillId="7" borderId="46" xfId="0" applyFill="1" applyBorder="1"/>
    <xf numFmtId="0" fontId="0" fillId="0" borderId="46" xfId="0" applyBorder="1"/>
    <xf numFmtId="2" fontId="16" fillId="6" borderId="55" xfId="0" applyNumberFormat="1" applyFont="1" applyFill="1" applyBorder="1" applyAlignment="1">
      <alignment horizontal="right"/>
    </xf>
    <xf numFmtId="0" fontId="16" fillId="6" borderId="54" xfId="0" applyFont="1" applyFill="1" applyBorder="1" applyAlignment="1">
      <alignment horizontal="right"/>
    </xf>
    <xf numFmtId="0" fontId="16" fillId="6" borderId="56" xfId="0" applyFont="1" applyFill="1" applyBorder="1" applyAlignment="1">
      <alignment horizontal="right"/>
    </xf>
    <xf numFmtId="0" fontId="15" fillId="2" borderId="43" xfId="0" applyFont="1" applyFill="1" applyBorder="1" applyAlignment="1">
      <alignment horizontal="left" vertical="top"/>
    </xf>
    <xf numFmtId="0" fontId="0" fillId="7" borderId="54" xfId="0" applyFill="1" applyBorder="1" applyAlignment="1">
      <alignment horizontal="right"/>
    </xf>
    <xf numFmtId="0" fontId="10" fillId="7" borderId="55" xfId="0" applyFont="1" applyFill="1" applyBorder="1" applyAlignment="1">
      <alignment horizontal="right"/>
    </xf>
    <xf numFmtId="14" fontId="0" fillId="7" borderId="56" xfId="0" applyNumberFormat="1" applyFill="1" applyBorder="1" applyAlignment="1">
      <alignment horizontal="right"/>
    </xf>
    <xf numFmtId="164" fontId="10" fillId="7" borderId="54" xfId="0" applyNumberFormat="1" applyFont="1" applyFill="1" applyBorder="1" applyAlignment="1">
      <alignment horizontal="right"/>
    </xf>
    <xf numFmtId="14" fontId="0" fillId="7" borderId="55" xfId="0" applyNumberFormat="1" applyFill="1" applyBorder="1" applyAlignment="1">
      <alignment horizontal="right"/>
    </xf>
    <xf numFmtId="0" fontId="10" fillId="7" borderId="56" xfId="0" applyFont="1" applyFill="1" applyBorder="1" applyAlignment="1">
      <alignment horizontal="right"/>
    </xf>
    <xf numFmtId="14" fontId="15" fillId="3" borderId="52" xfId="0" applyNumberFormat="1" applyFont="1" applyFill="1" applyBorder="1" applyAlignment="1">
      <alignment horizontal="right"/>
    </xf>
    <xf numFmtId="0" fontId="15" fillId="9" borderId="58" xfId="0" applyFont="1" applyFill="1" applyBorder="1" applyAlignment="1">
      <alignment horizontal="right"/>
    </xf>
    <xf numFmtId="0" fontId="6" fillId="0" borderId="0" xfId="0" applyFont="1"/>
    <xf numFmtId="0" fontId="15" fillId="9" borderId="52" xfId="0" applyFont="1" applyFill="1" applyBorder="1" applyAlignment="1">
      <alignment horizontal="right" vertical="center"/>
    </xf>
    <xf numFmtId="0" fontId="15" fillId="9" borderId="52" xfId="0" applyFont="1" applyFill="1" applyBorder="1" applyAlignment="1">
      <alignment horizontal="right" wrapText="1"/>
    </xf>
    <xf numFmtId="0" fontId="0" fillId="10" borderId="52" xfId="0" applyFill="1" applyBorder="1" applyAlignment="1">
      <alignment horizontal="right"/>
    </xf>
    <xf numFmtId="0" fontId="15" fillId="9" borderId="52" xfId="0" applyFont="1" applyFill="1" applyBorder="1" applyAlignment="1">
      <alignment horizontal="right"/>
    </xf>
    <xf numFmtId="0" fontId="15" fillId="0" borderId="46" xfId="0" applyFont="1" applyBorder="1" applyAlignment="1">
      <alignment horizontal="right"/>
    </xf>
    <xf numFmtId="0" fontId="16" fillId="0" borderId="46" xfId="0" applyFont="1" applyBorder="1" applyAlignment="1">
      <alignment horizontal="right"/>
    </xf>
    <xf numFmtId="0" fontId="7" fillId="0" borderId="46" xfId="0" applyFont="1" applyBorder="1" applyAlignment="1">
      <alignment horizontal="right"/>
    </xf>
    <xf numFmtId="0" fontId="15" fillId="0" borderId="46" xfId="0" quotePrefix="1" applyFont="1" applyBorder="1" applyAlignment="1">
      <alignment horizontal="right"/>
    </xf>
    <xf numFmtId="0" fontId="15" fillId="2" borderId="57" xfId="0" applyFont="1" applyFill="1" applyBorder="1" applyAlignment="1">
      <alignment horizontal="left" vertical="top"/>
    </xf>
    <xf numFmtId="0" fontId="15" fillId="2" borderId="66" xfId="0" applyFont="1" applyFill="1" applyBorder="1" applyAlignment="1">
      <alignment horizontal="left" vertical="top"/>
    </xf>
    <xf numFmtId="0" fontId="10" fillId="2" borderId="66" xfId="0" applyFont="1" applyFill="1" applyBorder="1" applyAlignment="1">
      <alignment horizontal="left" vertical="top"/>
    </xf>
    <xf numFmtId="0" fontId="15" fillId="2" borderId="58" xfId="0" applyFont="1" applyFill="1" applyBorder="1" applyAlignment="1">
      <alignment horizontal="left" vertical="top"/>
    </xf>
    <xf numFmtId="0" fontId="15" fillId="0" borderId="67" xfId="0" applyFont="1" applyBorder="1" applyAlignment="1">
      <alignment horizontal="right"/>
    </xf>
    <xf numFmtId="0" fontId="16" fillId="0" borderId="68" xfId="0" applyFont="1" applyBorder="1" applyAlignment="1">
      <alignment horizontal="right"/>
    </xf>
    <xf numFmtId="0" fontId="15" fillId="0" borderId="68" xfId="0" applyFont="1" applyBorder="1" applyAlignment="1">
      <alignment horizontal="right"/>
    </xf>
    <xf numFmtId="0" fontId="7" fillId="0" borderId="68" xfId="0" applyFont="1" applyBorder="1" applyAlignment="1">
      <alignment horizontal="right"/>
    </xf>
    <xf numFmtId="0" fontId="15" fillId="0" borderId="70" xfId="0" applyFont="1" applyBorder="1" applyAlignment="1">
      <alignment horizontal="right"/>
    </xf>
    <xf numFmtId="0" fontId="16" fillId="0" borderId="71" xfId="0" applyFont="1" applyBorder="1" applyAlignment="1">
      <alignment horizontal="right"/>
    </xf>
    <xf numFmtId="0" fontId="15" fillId="0" borderId="71" xfId="0" applyFont="1" applyBorder="1" applyAlignment="1">
      <alignment horizontal="right"/>
    </xf>
    <xf numFmtId="0" fontId="7" fillId="0" borderId="71" xfId="0" applyFont="1" applyBorder="1" applyAlignment="1">
      <alignment horizontal="right"/>
    </xf>
    <xf numFmtId="0" fontId="15" fillId="0" borderId="73" xfId="0" applyFont="1" applyBorder="1" applyAlignment="1">
      <alignment horizontal="right"/>
    </xf>
    <xf numFmtId="0" fontId="16" fillId="0" borderId="74" xfId="0" applyFont="1" applyBorder="1" applyAlignment="1">
      <alignment horizontal="right"/>
    </xf>
    <xf numFmtId="0" fontId="15" fillId="0" borderId="74" xfId="0" applyFont="1" applyBorder="1" applyAlignment="1">
      <alignment horizontal="right"/>
    </xf>
    <xf numFmtId="0" fontId="7" fillId="0" borderId="74" xfId="0" applyFont="1" applyBorder="1" applyAlignment="1">
      <alignment horizontal="right"/>
    </xf>
    <xf numFmtId="0" fontId="15" fillId="3" borderId="46" xfId="0" applyFont="1" applyFill="1" applyBorder="1"/>
    <xf numFmtId="0" fontId="15" fillId="4" borderId="36" xfId="0" applyFont="1" applyFill="1" applyBorder="1"/>
    <xf numFmtId="0" fontId="12" fillId="4" borderId="36" xfId="0" applyFont="1" applyFill="1" applyBorder="1"/>
    <xf numFmtId="0" fontId="12" fillId="0" borderId="76" xfId="0" applyFont="1" applyBorder="1" applyAlignment="1">
      <alignment horizontal="right"/>
    </xf>
    <xf numFmtId="0" fontId="12" fillId="0" borderId="77" xfId="0" applyFont="1" applyBorder="1" applyAlignment="1">
      <alignment horizontal="right" vertical="center"/>
    </xf>
    <xf numFmtId="0" fontId="15" fillId="0" borderId="77" xfId="0" applyFont="1" applyBorder="1" applyAlignment="1">
      <alignment horizontal="right" vertical="center"/>
    </xf>
    <xf numFmtId="0" fontId="10" fillId="0" borderId="77" xfId="0" applyFont="1" applyBorder="1" applyAlignment="1">
      <alignment horizontal="right" vertical="center"/>
    </xf>
    <xf numFmtId="0" fontId="12" fillId="0" borderId="77" xfId="0" applyFont="1" applyBorder="1" applyAlignment="1">
      <alignment horizontal="right"/>
    </xf>
    <xf numFmtId="0" fontId="6" fillId="0" borderId="77" xfId="0" applyFont="1" applyBorder="1" applyAlignment="1">
      <alignment horizontal="right" vertical="center"/>
    </xf>
    <xf numFmtId="0" fontId="15" fillId="10" borderId="68" xfId="0" applyFont="1" applyFill="1" applyBorder="1" applyAlignment="1">
      <alignment horizontal="right"/>
    </xf>
    <xf numFmtId="0" fontId="15" fillId="10" borderId="71" xfId="0" applyFont="1" applyFill="1" applyBorder="1" applyAlignment="1">
      <alignment horizontal="right"/>
    </xf>
    <xf numFmtId="0" fontId="15" fillId="10" borderId="75" xfId="0" quotePrefix="1" applyFont="1" applyFill="1" applyBorder="1" applyAlignment="1">
      <alignment horizontal="right"/>
    </xf>
    <xf numFmtId="0" fontId="15" fillId="10" borderId="69" xfId="0" quotePrefix="1" applyFont="1" applyFill="1" applyBorder="1" applyAlignment="1">
      <alignment horizontal="right"/>
    </xf>
    <xf numFmtId="0" fontId="15" fillId="10" borderId="72" xfId="0" quotePrefix="1" applyFont="1" applyFill="1" applyBorder="1" applyAlignment="1">
      <alignment horizontal="right"/>
    </xf>
    <xf numFmtId="0" fontId="15" fillId="10" borderId="78" xfId="0" applyFont="1" applyFill="1" applyBorder="1" applyAlignment="1">
      <alignment horizontal="right"/>
    </xf>
    <xf numFmtId="0" fontId="10" fillId="0" borderId="67" xfId="0" applyFont="1" applyBorder="1" applyAlignment="1">
      <alignment horizontal="right"/>
    </xf>
    <xf numFmtId="2" fontId="15" fillId="0" borderId="68" xfId="0" applyNumberFormat="1" applyFont="1" applyBorder="1" applyAlignment="1">
      <alignment horizontal="right"/>
    </xf>
    <xf numFmtId="0" fontId="18" fillId="0" borderId="68" xfId="0" applyFont="1" applyBorder="1" applyAlignment="1">
      <alignment horizontal="right"/>
    </xf>
    <xf numFmtId="0" fontId="10" fillId="0" borderId="73" xfId="0" applyFont="1" applyBorder="1" applyAlignment="1">
      <alignment horizontal="right"/>
    </xf>
    <xf numFmtId="2" fontId="15" fillId="0" borderId="74" xfId="0" applyNumberFormat="1" applyFont="1" applyBorder="1" applyAlignment="1">
      <alignment horizontal="right"/>
    </xf>
    <xf numFmtId="0" fontId="18" fillId="0" borderId="74" xfId="0" applyFont="1" applyBorder="1" applyAlignment="1">
      <alignment horizontal="right"/>
    </xf>
    <xf numFmtId="0" fontId="10" fillId="0" borderId="70" xfId="0" applyFont="1" applyBorder="1" applyAlignment="1">
      <alignment horizontal="right"/>
    </xf>
    <xf numFmtId="0" fontId="18" fillId="0" borderId="71" xfId="0" applyFont="1" applyBorder="1" applyAlignment="1">
      <alignment horizontal="right"/>
    </xf>
    <xf numFmtId="0" fontId="15" fillId="0" borderId="75" xfId="0" applyFont="1" applyBorder="1" applyAlignment="1">
      <alignment horizontal="right"/>
    </xf>
    <xf numFmtId="0" fontId="15" fillId="0" borderId="69" xfId="0" applyFont="1" applyBorder="1" applyAlignment="1">
      <alignment horizontal="right"/>
    </xf>
    <xf numFmtId="0" fontId="15" fillId="0" borderId="72" xfId="0" applyFont="1" applyBorder="1" applyAlignment="1">
      <alignment horizontal="right"/>
    </xf>
    <xf numFmtId="2" fontId="15" fillId="10" borderId="68" xfId="0" applyNumberFormat="1" applyFont="1" applyFill="1" applyBorder="1" applyAlignment="1">
      <alignment horizontal="right"/>
    </xf>
    <xf numFmtId="0" fontId="15" fillId="3" borderId="46" xfId="0" applyFont="1" applyFill="1" applyBorder="1" applyAlignment="1">
      <alignment horizontal="center" vertical="center"/>
    </xf>
    <xf numFmtId="0" fontId="12" fillId="0" borderId="67" xfId="0" applyFont="1" applyBorder="1" applyAlignment="1">
      <alignment horizontal="right"/>
    </xf>
    <xf numFmtId="2" fontId="12" fillId="0" borderId="68" xfId="0" applyNumberFormat="1" applyFont="1" applyBorder="1" applyAlignment="1">
      <alignment horizontal="right"/>
    </xf>
    <xf numFmtId="0" fontId="12" fillId="0" borderId="68" xfId="0" applyFont="1" applyBorder="1" applyAlignment="1">
      <alignment horizontal="right"/>
    </xf>
    <xf numFmtId="0" fontId="12" fillId="0" borderId="73" xfId="0" applyFont="1" applyBorder="1" applyAlignment="1">
      <alignment horizontal="right"/>
    </xf>
    <xf numFmtId="2" fontId="12" fillId="0" borderId="74" xfId="0" applyNumberFormat="1" applyFont="1" applyBorder="1" applyAlignment="1">
      <alignment horizontal="right"/>
    </xf>
    <xf numFmtId="0" fontId="12" fillId="0" borderId="74" xfId="0" applyFont="1" applyBorder="1" applyAlignment="1">
      <alignment horizontal="right"/>
    </xf>
    <xf numFmtId="0" fontId="12" fillId="0" borderId="70" xfId="0" applyFont="1" applyBorder="1" applyAlignment="1">
      <alignment horizontal="right"/>
    </xf>
    <xf numFmtId="2" fontId="12" fillId="0" borderId="71" xfId="0" applyNumberFormat="1" applyFont="1" applyBorder="1" applyAlignment="1">
      <alignment horizontal="right"/>
    </xf>
    <xf numFmtId="0" fontId="12" fillId="0" borderId="71" xfId="0" applyFont="1" applyBorder="1" applyAlignment="1">
      <alignment horizontal="right"/>
    </xf>
    <xf numFmtId="0" fontId="15" fillId="0" borderId="76" xfId="0" applyFont="1" applyBorder="1" applyAlignment="1">
      <alignment horizontal="right" vertical="top"/>
    </xf>
    <xf numFmtId="0" fontId="15" fillId="0" borderId="77" xfId="0" applyFont="1" applyBorder="1" applyAlignment="1">
      <alignment horizontal="right"/>
    </xf>
    <xf numFmtId="164" fontId="15" fillId="0" borderId="77" xfId="0" applyNumberFormat="1" applyFont="1" applyBorder="1" applyAlignment="1">
      <alignment horizontal="right"/>
    </xf>
    <xf numFmtId="0" fontId="9" fillId="0" borderId="77" xfId="0" applyFont="1" applyBorder="1" applyAlignment="1">
      <alignment horizontal="right"/>
    </xf>
    <xf numFmtId="2" fontId="15" fillId="0" borderId="77" xfId="0" applyNumberFormat="1" applyFont="1" applyBorder="1" applyAlignment="1">
      <alignment horizontal="right"/>
    </xf>
    <xf numFmtId="0" fontId="0" fillId="0" borderId="77" xfId="0" applyBorder="1" applyAlignment="1">
      <alignment horizontal="right"/>
    </xf>
    <xf numFmtId="0" fontId="15" fillId="0" borderId="78" xfId="0" applyFont="1" applyBorder="1" applyAlignment="1">
      <alignment horizontal="right" vertical="top"/>
    </xf>
    <xf numFmtId="0" fontId="15" fillId="10" borderId="74" xfId="0" applyFont="1" applyFill="1" applyBorder="1" applyAlignment="1">
      <alignment horizontal="right"/>
    </xf>
    <xf numFmtId="0" fontId="5" fillId="0" borderId="74" xfId="0" applyFont="1" applyBorder="1" applyAlignment="1">
      <alignment horizontal="right"/>
    </xf>
    <xf numFmtId="0" fontId="5" fillId="0" borderId="68" xfId="0" applyFont="1" applyBorder="1" applyAlignment="1">
      <alignment horizontal="right"/>
    </xf>
    <xf numFmtId="0" fontId="5" fillId="0" borderId="71" xfId="0" applyFont="1" applyBorder="1" applyAlignment="1">
      <alignment horizontal="right"/>
    </xf>
    <xf numFmtId="0" fontId="15" fillId="10" borderId="78" xfId="0" applyFont="1" applyFill="1" applyBorder="1" applyAlignment="1">
      <alignment horizontal="right" vertical="top"/>
    </xf>
    <xf numFmtId="0" fontId="15" fillId="10" borderId="75" xfId="0" applyFont="1" applyFill="1" applyBorder="1" applyAlignment="1">
      <alignment horizontal="right"/>
    </xf>
    <xf numFmtId="0" fontId="15" fillId="10" borderId="69" xfId="0" applyFont="1" applyFill="1" applyBorder="1" applyAlignment="1">
      <alignment horizontal="right"/>
    </xf>
    <xf numFmtId="0" fontId="15" fillId="10" borderId="72" xfId="0" applyFont="1" applyFill="1" applyBorder="1" applyAlignment="1">
      <alignment horizontal="right"/>
    </xf>
    <xf numFmtId="0" fontId="15" fillId="0" borderId="46" xfId="0" applyFont="1" applyBorder="1" applyAlignment="1">
      <alignment horizontal="center"/>
    </xf>
    <xf numFmtId="0" fontId="15" fillId="11" borderId="49" xfId="0" applyFont="1" applyFill="1" applyBorder="1" applyAlignment="1">
      <alignment vertical="top" wrapText="1"/>
    </xf>
    <xf numFmtId="0" fontId="15" fillId="11" borderId="49" xfId="0" applyFont="1" applyFill="1" applyBorder="1" applyAlignment="1">
      <alignment horizontal="left" vertical="top" wrapText="1"/>
    </xf>
    <xf numFmtId="0" fontId="15" fillId="4" borderId="46" xfId="0" applyFont="1" applyFill="1" applyBorder="1" applyAlignment="1">
      <alignment horizontal="center"/>
    </xf>
    <xf numFmtId="0" fontId="12" fillId="0" borderId="46" xfId="0" applyFont="1" applyBorder="1"/>
    <xf numFmtId="0" fontId="15" fillId="2" borderId="54" xfId="0" applyFont="1" applyFill="1" applyBorder="1" applyAlignment="1">
      <alignment horizontal="left" vertical="top"/>
    </xf>
    <xf numFmtId="0" fontId="15" fillId="2" borderId="55" xfId="0" applyFont="1" applyFill="1" applyBorder="1" applyAlignment="1">
      <alignment horizontal="left" vertical="top"/>
    </xf>
    <xf numFmtId="0" fontId="15" fillId="2" borderId="56" xfId="0" applyFont="1" applyFill="1" applyBorder="1" applyAlignment="1">
      <alignment horizontal="left" vertical="top"/>
    </xf>
    <xf numFmtId="0" fontId="15" fillId="11" borderId="57" xfId="0" applyFont="1" applyFill="1" applyBorder="1" applyAlignment="1">
      <alignment horizontal="right"/>
    </xf>
    <xf numFmtId="0" fontId="15" fillId="11" borderId="66" xfId="0" applyFont="1" applyFill="1" applyBorder="1" applyAlignment="1">
      <alignment horizontal="right"/>
    </xf>
    <xf numFmtId="0" fontId="12" fillId="11" borderId="66" xfId="0" applyFont="1" applyFill="1" applyBorder="1" applyAlignment="1">
      <alignment horizontal="right"/>
    </xf>
    <xf numFmtId="0" fontId="15" fillId="11" borderId="58" xfId="0" applyFont="1" applyFill="1" applyBorder="1" applyAlignment="1">
      <alignment horizontal="right"/>
    </xf>
    <xf numFmtId="0" fontId="15" fillId="11" borderId="51" xfId="0" applyFont="1" applyFill="1" applyBorder="1" applyAlignment="1">
      <alignment horizontal="right"/>
    </xf>
    <xf numFmtId="0" fontId="15" fillId="11" borderId="46" xfId="0" applyFont="1" applyFill="1" applyBorder="1" applyAlignment="1">
      <alignment horizontal="right"/>
    </xf>
    <xf numFmtId="0" fontId="12" fillId="11" borderId="46" xfId="0" applyFont="1" applyFill="1" applyBorder="1" applyAlignment="1">
      <alignment horizontal="right"/>
    </xf>
    <xf numFmtId="0" fontId="15" fillId="11" borderId="52" xfId="0" applyFont="1" applyFill="1" applyBorder="1" applyAlignment="1">
      <alignment horizontal="right"/>
    </xf>
    <xf numFmtId="0" fontId="5" fillId="11" borderId="46" xfId="0" applyFont="1" applyFill="1" applyBorder="1" applyAlignment="1">
      <alignment horizontal="right"/>
    </xf>
    <xf numFmtId="0" fontId="15" fillId="11" borderId="59" xfId="0" applyFont="1" applyFill="1" applyBorder="1" applyAlignment="1">
      <alignment horizontal="right"/>
    </xf>
    <xf numFmtId="0" fontId="15" fillId="11" borderId="79" xfId="0" applyFont="1" applyFill="1" applyBorder="1" applyAlignment="1">
      <alignment horizontal="right"/>
    </xf>
    <xf numFmtId="0" fontId="12" fillId="11" borderId="79" xfId="0" applyFont="1" applyFill="1" applyBorder="1" applyAlignment="1">
      <alignment horizontal="right"/>
    </xf>
    <xf numFmtId="0" fontId="15" fillId="11" borderId="60" xfId="0" applyFont="1" applyFill="1" applyBorder="1" applyAlignment="1">
      <alignment horizontal="right"/>
    </xf>
    <xf numFmtId="0" fontId="5" fillId="0" borderId="73" xfId="0" applyFont="1" applyBorder="1" applyAlignment="1">
      <alignment horizontal="right"/>
    </xf>
    <xf numFmtId="0" fontId="5" fillId="0" borderId="67" xfId="0" applyFont="1" applyBorder="1" applyAlignment="1">
      <alignment horizontal="right"/>
    </xf>
    <xf numFmtId="0" fontId="4" fillId="6" borderId="0" xfId="0" applyFont="1" applyFill="1"/>
    <xf numFmtId="0" fontId="15" fillId="9" borderId="56" xfId="0" applyFont="1" applyFill="1" applyBorder="1" applyAlignment="1">
      <alignment horizontal="right"/>
    </xf>
    <xf numFmtId="0" fontId="15" fillId="0" borderId="24" xfId="0" applyFont="1" applyBorder="1" applyAlignment="1">
      <alignment horizontal="center"/>
    </xf>
    <xf numFmtId="0" fontId="3" fillId="0" borderId="67" xfId="0" applyFont="1" applyBorder="1" applyAlignment="1">
      <alignment horizontal="right"/>
    </xf>
    <xf numFmtId="2" fontId="15" fillId="0" borderId="71" xfId="0" applyNumberFormat="1" applyFont="1" applyBorder="1" applyAlignment="1">
      <alignment horizontal="right"/>
    </xf>
    <xf numFmtId="2" fontId="15" fillId="10" borderId="77" xfId="0" applyNumberFormat="1" applyFont="1" applyFill="1" applyBorder="1" applyAlignment="1">
      <alignment horizontal="right"/>
    </xf>
    <xf numFmtId="0" fontId="0" fillId="10" borderId="77" xfId="0" applyFill="1" applyBorder="1" applyAlignment="1">
      <alignment horizontal="right"/>
    </xf>
    <xf numFmtId="0" fontId="9" fillId="10" borderId="77" xfId="0" applyFont="1" applyFill="1" applyBorder="1" applyAlignment="1">
      <alignment horizontal="right"/>
    </xf>
    <xf numFmtId="0" fontId="2" fillId="0" borderId="0" xfId="0" applyFont="1" applyAlignment="1">
      <alignment wrapText="1"/>
    </xf>
    <xf numFmtId="0" fontId="2" fillId="0" borderId="0" xfId="0" applyFont="1" applyAlignment="1">
      <alignment vertical="top" wrapText="1"/>
    </xf>
    <xf numFmtId="0" fontId="11" fillId="12" borderId="80" xfId="0" applyFont="1" applyFill="1" applyBorder="1" applyAlignment="1">
      <alignment wrapText="1"/>
    </xf>
    <xf numFmtId="0" fontId="15" fillId="0" borderId="52" xfId="0" applyFont="1" applyFill="1" applyBorder="1" applyAlignment="1">
      <alignment horizontal="right" wrapText="1"/>
    </xf>
  </cellXfs>
  <cellStyles count="3">
    <cellStyle name="Normal" xfId="0" builtinId="0"/>
    <cellStyle name="Normal 2" xfId="1" xr:uid="{15B5984B-4EE4-4A35-88CA-1D33B63AE2B6}"/>
    <cellStyle name="Normal 3" xfId="2" xr:uid="{735FB08F-37A0-4EDB-979F-3F5E2D58FF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26</xdr:row>
      <xdr:rowOff>0</xdr:rowOff>
    </xdr:from>
    <xdr:to>
      <xdr:col>13</xdr:col>
      <xdr:colOff>742950</xdr:colOff>
      <xdr:row>41</xdr:row>
      <xdr:rowOff>114300</xdr:rowOff>
    </xdr:to>
    <xdr:pic>
      <xdr:nvPicPr>
        <xdr:cNvPr id="3" name="Picture 2">
          <a:extLst>
            <a:ext uri="{FF2B5EF4-FFF2-40B4-BE49-F238E27FC236}">
              <a16:creationId xmlns:a16="http://schemas.microsoft.com/office/drawing/2014/main" id="{06A52BA1-222F-25E5-21EC-D3039F4288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832550" y="6248400"/>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5288280</xdr:colOff>
      <xdr:row>15</xdr:row>
      <xdr:rowOff>152400</xdr:rowOff>
    </xdr:from>
    <xdr:to>
      <xdr:col>5</xdr:col>
      <xdr:colOff>100965</xdr:colOff>
      <xdr:row>23</xdr:row>
      <xdr:rowOff>175260</xdr:rowOff>
    </xdr:to>
    <xdr:pic>
      <xdr:nvPicPr>
        <xdr:cNvPr id="3" name="Graphic 2">
          <a:extLst>
            <a:ext uri="{FF2B5EF4-FFF2-40B4-BE49-F238E27FC236}">
              <a16:creationId xmlns:a16="http://schemas.microsoft.com/office/drawing/2014/main" id="{51D942D9-CAE7-BD65-A544-F115CB3296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88280" y="3924300"/>
          <a:ext cx="6219825" cy="14859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471D60D6-4252-4CFE-B430-0A55661FC80B}"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8" dT="2026-05-05T09:18:03.22" personId="{471D60D6-4252-4CFE-B430-0A55661FC80B}" id="{FF2B4991-D38D-4F1B-87EE-3E0CB536B91F}">
    <text>Vary</text>
  </threadedComment>
</ThreadedComments>
</file>

<file path=xl/threadedComments/threadedComment2.xml><?xml version="1.0" encoding="utf-8"?>
<ThreadedComments xmlns="http://schemas.microsoft.com/office/spreadsheetml/2018/threadedcomments" xmlns:x="http://schemas.openxmlformats.org/spreadsheetml/2006/main">
  <threadedComment ref="E39" dT="2026-05-05T09:24:42.51" personId="{471D60D6-4252-4CFE-B430-0A55661FC80B}" id="{DD3B7356-D0C2-476D-8E6B-08A7205CB190}">
    <text>Lua - Rmd inconsistent</text>
  </threadedComment>
</ThreadedComments>
</file>

<file path=xl/threadedComments/threadedComment3.xml><?xml version="1.0" encoding="utf-8"?>
<ThreadedComments xmlns="http://schemas.microsoft.com/office/spreadsheetml/2018/threadedcomments" xmlns:x="http://schemas.openxmlformats.org/spreadsheetml/2006/main">
  <threadedComment ref="K24" dT="2026-05-05T10:04:58.16" personId="{471D60D6-4252-4CFE-B430-0A55661FC80B}" id="{0C47027C-DB06-4C55-B0A1-574C9F53A958}">
    <text>Heat of exothermic reaction, no mass flow</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defaultColWidth="14.44140625" defaultRowHeight="15" customHeight="1" x14ac:dyDescent="0.3"/>
  <cols>
    <col min="1" max="1" width="18.109375" bestFit="1" customWidth="1"/>
    <col min="2" max="2" width="255.77734375" style="132" customWidth="1"/>
    <col min="3" max="3" width="29.44140625" customWidth="1"/>
  </cols>
  <sheetData>
    <row r="2" spans="1:2" ht="37.799999999999997" customHeight="1" x14ac:dyDescent="0.3">
      <c r="A2" s="82" t="s">
        <v>0</v>
      </c>
      <c r="B2" s="133" t="s">
        <v>1</v>
      </c>
    </row>
    <row r="3" spans="1:2" ht="15" customHeight="1" x14ac:dyDescent="0.3">
      <c r="A3" s="130"/>
      <c r="B3" s="131"/>
    </row>
    <row r="4" spans="1:2" ht="23.55" customHeight="1" x14ac:dyDescent="0.3">
      <c r="A4" s="82" t="s">
        <v>123</v>
      </c>
      <c r="B4" s="134" t="s">
        <v>124</v>
      </c>
    </row>
    <row r="5" spans="1:2" ht="14.4" x14ac:dyDescent="0.3">
      <c r="A5" s="130"/>
      <c r="B5" s="131"/>
    </row>
    <row r="6" spans="1:2" ht="72.45" customHeight="1" x14ac:dyDescent="0.3">
      <c r="A6" s="82" t="s">
        <v>2</v>
      </c>
      <c r="B6" s="134" t="s">
        <v>125</v>
      </c>
    </row>
    <row r="7" spans="1:2" ht="14.4" x14ac:dyDescent="0.3">
      <c r="A7" s="130"/>
      <c r="B7" s="131"/>
    </row>
    <row r="8" spans="1:2" ht="39.450000000000003" customHeight="1" x14ac:dyDescent="0.3">
      <c r="A8" s="82" t="s">
        <v>3</v>
      </c>
      <c r="B8" s="133" t="s">
        <v>4</v>
      </c>
    </row>
    <row r="9" spans="1:2" ht="14.4" x14ac:dyDescent="0.3">
      <c r="A9" s="130"/>
      <c r="B9" s="131"/>
    </row>
    <row r="10" spans="1:2" ht="55.8" customHeight="1" x14ac:dyDescent="0.3">
      <c r="A10" s="82" t="s">
        <v>5</v>
      </c>
      <c r="B10" s="134"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31"/>
  <sheetViews>
    <sheetView showGridLines="0" zoomScale="70" zoomScaleNormal="70"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84"/>
  </cols>
  <sheetData>
    <row r="1" spans="1:4" ht="14.4" x14ac:dyDescent="0.3">
      <c r="A1" s="117" t="s">
        <v>66</v>
      </c>
      <c r="B1" s="162"/>
      <c r="C1" s="2"/>
      <c r="D1" s="11" t="s">
        <v>101</v>
      </c>
    </row>
    <row r="2" spans="1:4" ht="14.4" x14ac:dyDescent="0.3">
      <c r="A2" s="118" t="s">
        <v>67</v>
      </c>
      <c r="B2" s="119" t="s">
        <v>157</v>
      </c>
      <c r="D2" s="135" t="s">
        <v>6</v>
      </c>
    </row>
    <row r="3" spans="1:4" ht="14.4" x14ac:dyDescent="0.3">
      <c r="A3" s="118" t="s">
        <v>68</v>
      </c>
      <c r="B3" s="119" t="s">
        <v>158</v>
      </c>
      <c r="C3" s="84"/>
      <c r="D3" s="136" t="s">
        <v>132</v>
      </c>
    </row>
    <row r="4" spans="1:4" ht="14.4" x14ac:dyDescent="0.3">
      <c r="A4" s="118" t="s">
        <v>80</v>
      </c>
      <c r="B4" s="119" t="s">
        <v>81</v>
      </c>
      <c r="C4" s="84"/>
      <c r="D4" s="136" t="s">
        <v>133</v>
      </c>
    </row>
    <row r="5" spans="1:4" ht="14.4" x14ac:dyDescent="0.3">
      <c r="A5" s="118" t="s">
        <v>71</v>
      </c>
      <c r="B5" s="161" t="s">
        <v>159</v>
      </c>
      <c r="C5" s="84"/>
      <c r="D5" s="135" t="s">
        <v>9</v>
      </c>
    </row>
    <row r="6" spans="1:4" ht="14.4" x14ac:dyDescent="0.3">
      <c r="A6" s="118" t="s">
        <v>75</v>
      </c>
      <c r="B6" s="161" t="s">
        <v>159</v>
      </c>
      <c r="C6" s="84"/>
      <c r="D6" s="135" t="s">
        <v>13</v>
      </c>
    </row>
    <row r="7" spans="1:4" ht="14.4" x14ac:dyDescent="0.3">
      <c r="A7" s="118" t="s">
        <v>83</v>
      </c>
      <c r="B7" s="119" t="s">
        <v>84</v>
      </c>
      <c r="D7" s="136" t="s">
        <v>134</v>
      </c>
    </row>
    <row r="8" spans="1:4" ht="14.4" x14ac:dyDescent="0.3">
      <c r="A8" s="118" t="s">
        <v>69</v>
      </c>
      <c r="B8" s="120" t="s">
        <v>94</v>
      </c>
      <c r="C8" s="84"/>
      <c r="D8" s="136" t="s">
        <v>130</v>
      </c>
    </row>
    <row r="9" spans="1:4" ht="14.4" x14ac:dyDescent="0.3">
      <c r="A9" s="118" t="s">
        <v>70</v>
      </c>
      <c r="B9" s="119" t="s">
        <v>8</v>
      </c>
      <c r="C9" s="84"/>
      <c r="D9" s="136" t="s">
        <v>131</v>
      </c>
    </row>
    <row r="10" spans="1:4" ht="14.4" x14ac:dyDescent="0.3">
      <c r="A10" s="118" t="s">
        <v>102</v>
      </c>
      <c r="B10" s="116">
        <v>1</v>
      </c>
      <c r="D10" s="136" t="s">
        <v>135</v>
      </c>
    </row>
    <row r="11" spans="1:4" ht="14.4" x14ac:dyDescent="0.3">
      <c r="A11" s="118" t="s">
        <v>73</v>
      </c>
      <c r="B11" s="119" t="s">
        <v>10</v>
      </c>
      <c r="C11" s="84"/>
      <c r="D11" s="136" t="s">
        <v>136</v>
      </c>
    </row>
    <row r="12" spans="1:4" ht="28.8" x14ac:dyDescent="0.3">
      <c r="A12" s="121" t="s">
        <v>77</v>
      </c>
      <c r="B12" s="164" t="str">
        <f>TEXT(CH4_kW,0)&amp;"kW of produced biogas"</f>
        <v>154407kW of produced biogas</v>
      </c>
      <c r="C12" s="1"/>
      <c r="D12" s="136" t="s">
        <v>137</v>
      </c>
    </row>
    <row r="13" spans="1:4" ht="21.45" customHeight="1" x14ac:dyDescent="0.3">
      <c r="A13" s="121" t="s">
        <v>43</v>
      </c>
      <c r="B13" s="119">
        <v>9</v>
      </c>
      <c r="C13" s="1"/>
      <c r="D13" s="136" t="s">
        <v>138</v>
      </c>
    </row>
    <row r="14" spans="1:4" ht="14.4" x14ac:dyDescent="0.3">
      <c r="A14" s="118" t="s">
        <v>76</v>
      </c>
      <c r="B14" s="167" t="s">
        <v>160</v>
      </c>
      <c r="C14" s="83"/>
      <c r="D14" s="135" t="s">
        <v>14</v>
      </c>
    </row>
    <row r="15" spans="1:4" ht="14.4" x14ac:dyDescent="0.3">
      <c r="A15" s="121" t="s">
        <v>15</v>
      </c>
      <c r="B15" s="274" t="s">
        <v>161</v>
      </c>
      <c r="C15" s="1"/>
      <c r="D15" s="135" t="s">
        <v>128</v>
      </c>
    </row>
    <row r="16" spans="1:4" ht="14.4" x14ac:dyDescent="0.3">
      <c r="A16" s="121" t="s">
        <v>78</v>
      </c>
      <c r="B16" s="166"/>
      <c r="C16" s="1"/>
      <c r="D16" s="135" t="s">
        <v>127</v>
      </c>
    </row>
    <row r="17" spans="1:4" ht="14.4" x14ac:dyDescent="0.3">
      <c r="A17" s="121" t="s">
        <v>82</v>
      </c>
      <c r="B17" s="166"/>
      <c r="C17" s="1"/>
      <c r="D17" s="136" t="s">
        <v>139</v>
      </c>
    </row>
    <row r="18" spans="1:4" ht="20.55" customHeight="1" x14ac:dyDescent="0.3">
      <c r="A18" s="118" t="s">
        <v>72</v>
      </c>
      <c r="B18" s="165" t="s">
        <v>464</v>
      </c>
      <c r="C18" s="84"/>
      <c r="D18" s="136" t="s">
        <v>140</v>
      </c>
    </row>
    <row r="19" spans="1:4" ht="14.4" x14ac:dyDescent="0.3">
      <c r="A19" s="118" t="s">
        <v>74</v>
      </c>
      <c r="B19" s="119" t="s">
        <v>153</v>
      </c>
      <c r="C19" s="84"/>
      <c r="D19" s="135" t="s">
        <v>11</v>
      </c>
    </row>
    <row r="20" spans="1:4" ht="14.4" x14ac:dyDescent="0.3">
      <c r="A20" s="118" t="s">
        <v>99</v>
      </c>
      <c r="B20" s="119" t="s">
        <v>153</v>
      </c>
      <c r="C20" s="84"/>
      <c r="D20" s="136" t="s">
        <v>141</v>
      </c>
    </row>
    <row r="21" spans="1:4" ht="15.75" customHeight="1" x14ac:dyDescent="0.3">
      <c r="A21" s="121" t="s">
        <v>79</v>
      </c>
      <c r="B21" s="167" t="s">
        <v>162</v>
      </c>
      <c r="C21" s="1"/>
      <c r="D21" s="136" t="s">
        <v>142</v>
      </c>
    </row>
    <row r="22" spans="1:4" ht="14.4" x14ac:dyDescent="0.3">
      <c r="A22" s="118" t="s">
        <v>12</v>
      </c>
      <c r="B22" s="166"/>
      <c r="C22" s="84"/>
      <c r="D22" s="136" t="s">
        <v>143</v>
      </c>
    </row>
    <row r="23" spans="1:4" ht="15.75" customHeight="1" thickBot="1" x14ac:dyDescent="0.35">
      <c r="A23" s="122" t="s">
        <v>85</v>
      </c>
      <c r="B23" s="123" t="s">
        <v>97</v>
      </c>
      <c r="C23" s="1"/>
      <c r="D23" s="136" t="s">
        <v>129</v>
      </c>
    </row>
    <row r="31" spans="1:4" ht="15" customHeight="1" x14ac:dyDescent="0.3">
      <c r="B31" s="163"/>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58"/>
  <sheetViews>
    <sheetView showGridLines="0" topLeftCell="B1" zoomScale="55" zoomScaleNormal="55" workbookViewId="0">
      <selection activeCell="K22" sqref="K22"/>
    </sheetView>
  </sheetViews>
  <sheetFormatPr defaultColWidth="14.44140625" defaultRowHeight="15" customHeight="1" x14ac:dyDescent="0.3"/>
  <cols>
    <col min="1" max="1" width="42.6640625" style="81" customWidth="1"/>
    <col min="2" max="2" width="19.44140625" style="81" bestFit="1" customWidth="1"/>
    <col min="3" max="3" width="17.33203125" style="81" customWidth="1"/>
    <col min="4" max="4" width="20.109375" style="81" bestFit="1" customWidth="1"/>
    <col min="5" max="5" width="19.44140625" style="81" bestFit="1" customWidth="1"/>
    <col min="6" max="6" width="23.44140625" style="81" customWidth="1"/>
    <col min="7" max="7" width="27" style="81" customWidth="1"/>
    <col min="8" max="8" width="23.44140625" style="81" customWidth="1"/>
    <col min="9" max="9" width="33.109375" style="81" bestFit="1" customWidth="1"/>
    <col min="10" max="10" width="27" style="81"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1" spans="1:16" ht="15" customHeight="1" thickBot="1" x14ac:dyDescent="0.35"/>
    <row r="2" spans="1:16" thickBot="1" x14ac:dyDescent="0.35">
      <c r="A2" s="11" t="s">
        <v>65</v>
      </c>
      <c r="B2" s="4"/>
      <c r="C2" s="4"/>
      <c r="D2" s="4"/>
      <c r="E2" s="4"/>
      <c r="F2" s="4"/>
      <c r="G2" s="4"/>
      <c r="H2" s="4"/>
      <c r="I2" s="4"/>
      <c r="J2" s="4"/>
      <c r="K2" s="3"/>
      <c r="L2" s="5"/>
      <c r="M2" s="6"/>
      <c r="N2" s="6"/>
      <c r="O2" s="6"/>
      <c r="P2" s="6"/>
    </row>
    <row r="3" spans="1:16" thickBot="1" x14ac:dyDescent="0.35">
      <c r="A3" s="97" t="s">
        <v>16</v>
      </c>
      <c r="B3" s="98"/>
      <c r="C3" s="98"/>
      <c r="D3" s="98"/>
      <c r="E3" s="98"/>
      <c r="F3" s="98"/>
      <c r="G3" s="98"/>
      <c r="H3" s="98"/>
      <c r="I3" s="98"/>
      <c r="J3" s="98"/>
      <c r="K3" s="127"/>
      <c r="L3" s="128"/>
      <c r="M3" s="6"/>
      <c r="N3" s="6"/>
      <c r="O3" s="6"/>
      <c r="P3" s="6"/>
    </row>
    <row r="4" spans="1:16" thickBot="1" x14ac:dyDescent="0.35">
      <c r="A4" s="172" t="s">
        <v>100</v>
      </c>
      <c r="B4" s="173" t="s">
        <v>17</v>
      </c>
      <c r="C4" s="173" t="s">
        <v>18</v>
      </c>
      <c r="D4" s="173" t="s">
        <v>148</v>
      </c>
      <c r="E4" s="173" t="s">
        <v>20</v>
      </c>
      <c r="F4" s="174" t="s">
        <v>21</v>
      </c>
      <c r="G4" s="173" t="s">
        <v>22</v>
      </c>
      <c r="H4" s="173" t="s">
        <v>23</v>
      </c>
      <c r="I4" s="173" t="s">
        <v>24</v>
      </c>
      <c r="J4" s="173" t="s">
        <v>25</v>
      </c>
      <c r="K4" s="173" t="s">
        <v>26</v>
      </c>
      <c r="L4" s="175" t="s">
        <v>15</v>
      </c>
      <c r="M4" s="5"/>
      <c r="N4" s="6"/>
      <c r="O4" s="6"/>
      <c r="P4" s="6"/>
    </row>
    <row r="5" spans="1:16" thickBot="1" x14ac:dyDescent="0.35">
      <c r="A5" s="184" t="s">
        <v>357</v>
      </c>
      <c r="B5" s="185" t="s">
        <v>357</v>
      </c>
      <c r="C5" s="185" t="s">
        <v>358</v>
      </c>
      <c r="D5" s="185" t="s">
        <v>313</v>
      </c>
      <c r="E5" s="186">
        <v>25</v>
      </c>
      <c r="F5" s="187" t="s">
        <v>210</v>
      </c>
      <c r="G5" s="186">
        <v>1</v>
      </c>
      <c r="H5" s="186" t="s">
        <v>248</v>
      </c>
      <c r="I5" s="186">
        <v>-1</v>
      </c>
      <c r="J5" s="186" t="s">
        <v>377</v>
      </c>
      <c r="K5" s="186" t="s">
        <v>380</v>
      </c>
      <c r="L5" s="199" t="s">
        <v>385</v>
      </c>
      <c r="M5" s="81"/>
      <c r="N5" s="6"/>
      <c r="O5" s="6"/>
      <c r="P5" s="6"/>
    </row>
    <row r="6" spans="1:16" thickBot="1" x14ac:dyDescent="0.35">
      <c r="A6" s="176" t="s">
        <v>359</v>
      </c>
      <c r="B6" s="177" t="s">
        <v>360</v>
      </c>
      <c r="C6" s="177" t="s">
        <v>431</v>
      </c>
      <c r="D6" s="177" t="s">
        <v>286</v>
      </c>
      <c r="E6" s="178">
        <v>25</v>
      </c>
      <c r="F6" s="179" t="s">
        <v>210</v>
      </c>
      <c r="G6" s="178">
        <v>1</v>
      </c>
      <c r="H6" s="178" t="s">
        <v>248</v>
      </c>
      <c r="I6" s="178">
        <v>-1</v>
      </c>
      <c r="J6" s="178" t="s">
        <v>377</v>
      </c>
      <c r="K6" s="178" t="s">
        <v>381</v>
      </c>
      <c r="L6" s="200" t="s">
        <v>386</v>
      </c>
      <c r="M6" s="81"/>
      <c r="N6" s="6"/>
      <c r="O6" s="6"/>
      <c r="P6" s="6"/>
    </row>
    <row r="7" spans="1:16" thickBot="1" x14ac:dyDescent="0.35">
      <c r="A7" s="176" t="s">
        <v>361</v>
      </c>
      <c r="B7" s="177" t="s">
        <v>362</v>
      </c>
      <c r="C7" s="177" t="s">
        <v>361</v>
      </c>
      <c r="D7" s="177" t="s">
        <v>286</v>
      </c>
      <c r="E7" s="178" t="s">
        <v>27</v>
      </c>
      <c r="F7" s="179" t="s">
        <v>27</v>
      </c>
      <c r="G7" s="178" t="s">
        <v>27</v>
      </c>
      <c r="H7" s="178" t="s">
        <v>27</v>
      </c>
      <c r="I7" s="178" t="s">
        <v>27</v>
      </c>
      <c r="J7" s="178" t="s">
        <v>27</v>
      </c>
      <c r="K7" s="178" t="s">
        <v>27</v>
      </c>
      <c r="L7" s="200" t="s">
        <v>430</v>
      </c>
      <c r="M7" s="81"/>
      <c r="N7" s="6"/>
      <c r="O7" s="6"/>
      <c r="P7" s="6"/>
    </row>
    <row r="8" spans="1:16" thickBot="1" x14ac:dyDescent="0.35">
      <c r="A8" s="176" t="s">
        <v>363</v>
      </c>
      <c r="B8" s="177" t="s">
        <v>364</v>
      </c>
      <c r="C8" s="177" t="s">
        <v>358</v>
      </c>
      <c r="D8" s="177" t="s">
        <v>376</v>
      </c>
      <c r="E8" s="178">
        <v>25</v>
      </c>
      <c r="F8" s="179" t="s">
        <v>210</v>
      </c>
      <c r="G8" s="178">
        <v>1</v>
      </c>
      <c r="H8" s="178" t="s">
        <v>248</v>
      </c>
      <c r="I8" s="178">
        <v>-1</v>
      </c>
      <c r="J8" s="178" t="s">
        <v>378</v>
      </c>
      <c r="K8" s="197" t="s">
        <v>27</v>
      </c>
      <c r="L8" s="200" t="s">
        <v>382</v>
      </c>
      <c r="M8" s="81"/>
      <c r="N8" s="6"/>
      <c r="O8" s="6"/>
      <c r="P8" s="6"/>
    </row>
    <row r="9" spans="1:16" thickBot="1" x14ac:dyDescent="0.35">
      <c r="A9" s="180" t="s">
        <v>365</v>
      </c>
      <c r="B9" s="181" t="s">
        <v>366</v>
      </c>
      <c r="C9" s="181" t="s">
        <v>358</v>
      </c>
      <c r="D9" s="181" t="s">
        <v>376</v>
      </c>
      <c r="E9" s="182">
        <v>25</v>
      </c>
      <c r="F9" s="183" t="s">
        <v>210</v>
      </c>
      <c r="G9" s="182">
        <v>1</v>
      </c>
      <c r="H9" s="182" t="s">
        <v>248</v>
      </c>
      <c r="I9" s="182">
        <v>-1</v>
      </c>
      <c r="J9" s="182" t="s">
        <v>379</v>
      </c>
      <c r="K9" s="198" t="s">
        <v>27</v>
      </c>
      <c r="L9" s="201" t="s">
        <v>383</v>
      </c>
      <c r="M9" s="81"/>
      <c r="N9" s="6"/>
      <c r="O9" s="6"/>
      <c r="P9" s="6"/>
    </row>
    <row r="10" spans="1:16" thickBot="1" x14ac:dyDescent="0.35">
      <c r="A10" s="168"/>
      <c r="B10" s="169"/>
      <c r="C10" s="169"/>
      <c r="D10" s="169"/>
      <c r="E10" s="168"/>
      <c r="F10" s="170"/>
      <c r="G10" s="168"/>
      <c r="H10" s="168"/>
      <c r="I10" s="168"/>
      <c r="J10" s="168"/>
      <c r="K10" s="168"/>
      <c r="L10" s="171"/>
      <c r="M10" s="81"/>
      <c r="N10" s="6"/>
      <c r="O10" s="6"/>
      <c r="P10" s="6"/>
    </row>
    <row r="11" spans="1:16" thickBot="1" x14ac:dyDescent="0.35">
      <c r="A11" s="8"/>
      <c r="B11" s="8"/>
      <c r="C11" s="8"/>
      <c r="D11" s="8"/>
      <c r="E11" s="8"/>
      <c r="F11" s="8"/>
      <c r="G11" s="8"/>
      <c r="H11" s="8"/>
      <c r="I11" s="9"/>
      <c r="J11" s="10"/>
      <c r="K11" s="10"/>
      <c r="L11" s="10"/>
      <c r="N11" s="6"/>
      <c r="O11" s="6"/>
      <c r="P11" s="6"/>
    </row>
    <row r="12" spans="1:16" thickBot="1" x14ac:dyDescent="0.35">
      <c r="A12" s="11" t="s">
        <v>64</v>
      </c>
      <c r="B12" s="12"/>
      <c r="C12" s="12"/>
      <c r="D12" s="12"/>
      <c r="E12" s="12"/>
      <c r="F12" s="12"/>
      <c r="G12" s="12"/>
      <c r="H12" s="12"/>
      <c r="I12" s="13"/>
      <c r="J12" s="14"/>
      <c r="K12" s="14"/>
      <c r="L12" s="14"/>
      <c r="M12" s="6"/>
      <c r="N12" s="6"/>
      <c r="O12" s="6"/>
      <c r="P12" s="6"/>
    </row>
    <row r="13" spans="1:16" thickBot="1" x14ac:dyDescent="0.35">
      <c r="A13" s="97" t="s">
        <v>28</v>
      </c>
      <c r="B13" s="98"/>
      <c r="C13" s="98"/>
      <c r="D13" s="98"/>
      <c r="E13" s="98"/>
      <c r="F13" s="98"/>
      <c r="G13" s="98"/>
      <c r="H13" s="98"/>
      <c r="I13" s="98"/>
      <c r="J13" s="98"/>
      <c r="K13" s="127"/>
      <c r="L13" s="128"/>
      <c r="M13" s="5"/>
      <c r="N13" s="6"/>
      <c r="O13" s="6"/>
      <c r="P13" s="6"/>
    </row>
    <row r="14" spans="1:16" thickBot="1" x14ac:dyDescent="0.35">
      <c r="A14" s="172" t="s">
        <v>100</v>
      </c>
      <c r="B14" s="173" t="s">
        <v>17</v>
      </c>
      <c r="C14" s="173" t="s">
        <v>18</v>
      </c>
      <c r="D14" s="173" t="s">
        <v>148</v>
      </c>
      <c r="E14" s="173" t="s">
        <v>20</v>
      </c>
      <c r="F14" s="174" t="s">
        <v>21</v>
      </c>
      <c r="G14" s="173" t="s">
        <v>22</v>
      </c>
      <c r="H14" s="173" t="s">
        <v>23</v>
      </c>
      <c r="I14" s="173" t="s">
        <v>24</v>
      </c>
      <c r="J14" s="173" t="s">
        <v>25</v>
      </c>
      <c r="K14" s="173" t="s">
        <v>26</v>
      </c>
      <c r="L14" s="175" t="s">
        <v>15</v>
      </c>
      <c r="M14" s="5"/>
      <c r="N14" s="6"/>
      <c r="O14" s="6"/>
      <c r="P14" s="6"/>
    </row>
    <row r="15" spans="1:16" thickBot="1" x14ac:dyDescent="0.35">
      <c r="A15" s="191" t="s">
        <v>367</v>
      </c>
      <c r="B15" s="192" t="s">
        <v>368</v>
      </c>
      <c r="C15" s="193" t="s">
        <v>358</v>
      </c>
      <c r="D15" s="193" t="s">
        <v>313</v>
      </c>
      <c r="E15" s="192">
        <v>55</v>
      </c>
      <c r="F15" s="194" t="s">
        <v>210</v>
      </c>
      <c r="G15" s="192">
        <v>1</v>
      </c>
      <c r="H15" s="195" t="s">
        <v>248</v>
      </c>
      <c r="I15" s="192">
        <v>-1</v>
      </c>
      <c r="J15" s="196" t="s">
        <v>377</v>
      </c>
      <c r="K15" s="193" t="s">
        <v>462</v>
      </c>
      <c r="L15" s="202" t="s">
        <v>384</v>
      </c>
      <c r="M15" s="15"/>
      <c r="N15" s="6"/>
      <c r="O15" s="6"/>
      <c r="P15" s="6"/>
    </row>
    <row r="16" spans="1:16" ht="15.75" customHeight="1" thickBot="1" x14ac:dyDescent="0.35">
      <c r="A16" s="16"/>
      <c r="B16" s="16"/>
      <c r="C16" s="16"/>
      <c r="D16" s="16"/>
      <c r="E16" s="16"/>
      <c r="F16" s="16"/>
      <c r="G16" s="17"/>
      <c r="H16" s="188"/>
      <c r="I16" s="188"/>
      <c r="J16" s="189"/>
      <c r="K16" s="190"/>
      <c r="L16" s="190"/>
      <c r="M16" s="6"/>
      <c r="N16" s="6"/>
      <c r="O16" s="6"/>
      <c r="P16" s="6"/>
    </row>
    <row r="17" spans="1:16" ht="15.75" customHeight="1" thickBot="1" x14ac:dyDescent="0.35">
      <c r="A17" s="18"/>
      <c r="B17" s="18"/>
      <c r="C17" s="18"/>
      <c r="D17" s="18"/>
      <c r="E17" s="18"/>
      <c r="F17" s="19"/>
      <c r="G17" s="20"/>
      <c r="H17" s="21"/>
      <c r="I17" s="20"/>
      <c r="J17" s="14"/>
      <c r="K17" s="22"/>
      <c r="L17" s="6"/>
      <c r="M17" s="6"/>
      <c r="N17" s="6"/>
      <c r="O17" s="6"/>
      <c r="P17" s="6"/>
    </row>
    <row r="18" spans="1:16" ht="15.75" customHeight="1" thickBot="1" x14ac:dyDescent="0.35">
      <c r="K18" s="15"/>
      <c r="L18" s="15"/>
      <c r="M18" s="6"/>
      <c r="N18" s="6"/>
      <c r="O18" s="6"/>
      <c r="P18" s="6"/>
    </row>
    <row r="19" spans="1:16" ht="15.75" customHeight="1" thickBot="1" x14ac:dyDescent="0.35">
      <c r="L19" s="15"/>
      <c r="M19" s="6"/>
      <c r="N19" s="6"/>
      <c r="O19" s="6"/>
      <c r="P19" s="6"/>
    </row>
    <row r="20" spans="1:16" ht="15.75" customHeight="1" thickBot="1" x14ac:dyDescent="0.35">
      <c r="J20" s="84"/>
      <c r="K20" s="84"/>
      <c r="L20" s="99"/>
      <c r="M20" s="6"/>
      <c r="N20" s="6"/>
      <c r="O20" s="6"/>
      <c r="P20" s="6"/>
    </row>
    <row r="21" spans="1:16" ht="15.75" customHeight="1" thickBot="1" x14ac:dyDescent="0.35">
      <c r="J21" s="84"/>
      <c r="K21" s="84"/>
      <c r="L21" s="100"/>
      <c r="M21" s="6"/>
      <c r="N21" s="6"/>
      <c r="O21" s="6"/>
      <c r="P21" s="6"/>
    </row>
    <row r="22" spans="1:16" ht="15.75" customHeight="1" thickBot="1" x14ac:dyDescent="0.35">
      <c r="J22" s="84"/>
      <c r="K22" s="84"/>
      <c r="L22" s="81"/>
      <c r="M22" s="6"/>
      <c r="N22" s="6"/>
      <c r="O22" s="6"/>
      <c r="P22" s="6"/>
    </row>
    <row r="23" spans="1:16" ht="15.75" customHeight="1" thickBot="1" x14ac:dyDescent="0.35">
      <c r="J23" s="84"/>
      <c r="K23" s="84"/>
      <c r="L23" s="81"/>
      <c r="M23" s="6"/>
      <c r="N23" s="6"/>
      <c r="O23" s="6"/>
      <c r="P23" s="6"/>
    </row>
    <row r="24" spans="1:16" ht="15.75" customHeight="1" thickBot="1" x14ac:dyDescent="0.35">
      <c r="J24" s="84"/>
      <c r="K24" s="84"/>
      <c r="L24" s="81"/>
      <c r="M24" s="6"/>
      <c r="N24" s="6"/>
      <c r="O24" s="6"/>
      <c r="P24" s="6"/>
    </row>
    <row r="25" spans="1:16" ht="15.75" customHeight="1" thickBot="1" x14ac:dyDescent="0.35">
      <c r="J25" s="84"/>
      <c r="K25" s="84"/>
      <c r="L25" s="81"/>
      <c r="M25" s="6"/>
      <c r="N25" s="6"/>
      <c r="O25" s="6"/>
      <c r="P25" s="6"/>
    </row>
    <row r="26" spans="1:16" ht="15.75" customHeight="1" thickBot="1" x14ac:dyDescent="0.35">
      <c r="J26" s="84"/>
      <c r="K26" s="84"/>
      <c r="L26" s="81"/>
      <c r="M26" s="6"/>
      <c r="N26" s="6"/>
      <c r="O26" s="6"/>
      <c r="P26" s="6"/>
    </row>
    <row r="27" spans="1:16" ht="15.75" customHeight="1" x14ac:dyDescent="0.3"/>
    <row r="28" spans="1:16" ht="15.75" customHeight="1" x14ac:dyDescent="0.3"/>
    <row r="29" spans="1:16" ht="15.75" customHeight="1" x14ac:dyDescent="0.3"/>
    <row r="30" spans="1:16" ht="15.75" customHeight="1" x14ac:dyDescent="0.3"/>
    <row r="31" spans="1:16" ht="15.75" customHeight="1" x14ac:dyDescent="0.3"/>
    <row r="32" spans="1: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sheetData>
  <dataValidations count="3">
    <dataValidation type="list" allowBlank="1" showErrorMessage="1" sqref="C5:C10" xr:uid="{00000000-0002-0000-0200-000000000000}">
      <formula1>"ELECTRICITY,EMISSIONS,MASS,ENERGY"</formula1>
    </dataValidation>
    <dataValidation type="list" allowBlank="1" showErrorMessage="1" sqref="C15" xr:uid="{00000000-0002-0000-0200-000001000000}">
      <formula1>"MASS,ELECTRICITY,EMISSIONS,ENERGY"</formula1>
    </dataValidation>
    <dataValidation type="list" errorStyle="information" allowBlank="1" showInputMessage="1" showErrorMessage="1" sqref="D5:D9 F5:F9 H5:H9 D15 F15 H15" xr:uid="{FF7D5E3A-141E-413C-BC4A-DF3F84BA6DED}">
      <formula1>"-,kg,s,m,K,°C,W,bar,kg/h,t/h,kW,kW/m2K,W/m2K,kJ/kgK,kJ/kg,m3/h,Nm3/t,kWh/Nm3,Nm3/h,%,kg/kmol,eur,eur/year,eur/kW,kWel/kWth,year, days"</formula1>
    </dataValidation>
  </dataValidations>
  <pageMargins left="0.7" right="0.7" top="0.75" bottom="0.75" header="0" footer="0"/>
  <pageSetup orientation="landscape"/>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65"/>
  <sheetViews>
    <sheetView showGridLines="0" zoomScale="40" zoomScaleNormal="40" workbookViewId="0">
      <selection activeCell="A31" sqref="A31"/>
    </sheetView>
  </sheetViews>
  <sheetFormatPr defaultColWidth="14.44140625" defaultRowHeight="15" customHeight="1" x14ac:dyDescent="0.3"/>
  <cols>
    <col min="1" max="1" width="188.33203125" style="81" customWidth="1"/>
    <col min="2" max="2" width="13.6640625" style="81" customWidth="1"/>
    <col min="3" max="3" width="36.44140625" style="81" bestFit="1" customWidth="1"/>
    <col min="4" max="4" width="14" style="81" customWidth="1"/>
    <col min="5" max="5" width="17.6640625" style="81" bestFit="1" customWidth="1"/>
    <col min="6" max="6" width="13.109375" style="81" bestFit="1" customWidth="1"/>
    <col min="7" max="7" width="79.5546875" style="81" bestFit="1" customWidth="1"/>
    <col min="8" max="8" width="10.33203125" style="81" bestFit="1" customWidth="1"/>
    <col min="9" max="9" width="10.6640625" style="81" bestFit="1" customWidth="1"/>
    <col min="10" max="10" width="24.33203125" style="81" bestFit="1" customWidth="1"/>
    <col min="11" max="11" width="20.109375" style="81" bestFit="1" customWidth="1"/>
    <col min="12" max="12" width="96" style="81" bestFit="1" customWidth="1"/>
    <col min="13" max="13" width="29.77734375" style="81" customWidth="1"/>
    <col min="14" max="39" width="10.6640625" style="81" customWidth="1"/>
    <col min="40" max="16384" width="14.44140625" style="81"/>
  </cols>
  <sheetData>
    <row r="1" spans="1:12" customFormat="1" ht="14.4" x14ac:dyDescent="0.3">
      <c r="A1" s="23" t="s">
        <v>29</v>
      </c>
      <c r="B1" s="24"/>
      <c r="C1" s="24"/>
      <c r="D1" s="24"/>
      <c r="E1" s="24"/>
      <c r="F1" s="24"/>
      <c r="G1" s="24"/>
      <c r="H1" s="24"/>
      <c r="I1" s="24"/>
      <c r="J1" s="24"/>
      <c r="K1" s="24"/>
      <c r="L1" s="24"/>
    </row>
    <row r="2" spans="1:12" ht="14.4" x14ac:dyDescent="0.3">
      <c r="A2" s="25" t="s">
        <v>30</v>
      </c>
      <c r="B2" s="24"/>
      <c r="C2" s="24"/>
      <c r="D2" s="24"/>
      <c r="E2" s="24"/>
      <c r="F2" s="24"/>
      <c r="G2" s="24"/>
      <c r="H2" s="24"/>
      <c r="I2" s="24"/>
      <c r="J2" s="24"/>
      <c r="K2" s="24"/>
      <c r="L2" s="24"/>
    </row>
    <row r="3" spans="1:12" ht="14.4" x14ac:dyDescent="0.3">
      <c r="A3" s="26" t="s">
        <v>31</v>
      </c>
      <c r="B3" s="27"/>
      <c r="C3" s="27"/>
      <c r="D3" s="27"/>
      <c r="E3" s="27"/>
      <c r="F3" s="27"/>
      <c r="G3" s="27"/>
      <c r="H3" s="27"/>
      <c r="I3" s="27"/>
      <c r="J3" s="27"/>
      <c r="K3" s="24"/>
      <c r="L3" s="24"/>
    </row>
    <row r="4" spans="1:12" ht="14.4" x14ac:dyDescent="0.3">
      <c r="A4" s="26" t="s">
        <v>32</v>
      </c>
      <c r="B4" s="27"/>
      <c r="C4" s="27"/>
      <c r="D4" s="27"/>
      <c r="E4" s="27"/>
      <c r="F4" s="27"/>
      <c r="G4" s="27"/>
      <c r="H4" s="27"/>
      <c r="I4" s="27"/>
      <c r="J4" s="27"/>
      <c r="K4" s="24"/>
      <c r="L4" s="24"/>
    </row>
    <row r="5" spans="1:12" ht="14.4" x14ac:dyDescent="0.3">
      <c r="A5" s="26" t="s">
        <v>33</v>
      </c>
      <c r="B5" s="27"/>
      <c r="C5" s="27"/>
      <c r="D5" s="27"/>
      <c r="E5" s="27"/>
      <c r="F5" s="27"/>
      <c r="G5" s="27"/>
      <c r="H5" s="27"/>
      <c r="I5" s="27"/>
      <c r="J5" s="27"/>
      <c r="K5" s="24"/>
      <c r="L5" s="24"/>
    </row>
    <row r="6" spans="1:12" ht="14.4" x14ac:dyDescent="0.3">
      <c r="A6" s="137" t="s">
        <v>144</v>
      </c>
      <c r="B6" s="27"/>
      <c r="C6" s="27"/>
      <c r="D6" s="27"/>
      <c r="E6" s="27"/>
      <c r="F6" s="27"/>
      <c r="G6" s="27"/>
      <c r="H6" s="27"/>
      <c r="I6" s="27"/>
      <c r="J6" s="27"/>
      <c r="K6" s="24"/>
      <c r="L6" s="24"/>
    </row>
    <row r="7" spans="1:12" ht="14.4" x14ac:dyDescent="0.3">
      <c r="A7" s="28" t="s">
        <v>34</v>
      </c>
      <c r="B7" s="27"/>
      <c r="C7" s="27"/>
      <c r="D7" s="27"/>
      <c r="E7" s="27"/>
      <c r="F7" s="27"/>
      <c r="G7" s="27"/>
      <c r="H7" s="27"/>
      <c r="I7" s="27"/>
      <c r="J7" s="27"/>
      <c r="K7" s="24"/>
      <c r="L7" s="24"/>
    </row>
    <row r="8" spans="1:12" ht="14.4" x14ac:dyDescent="0.3">
      <c r="A8" s="27" t="s">
        <v>35</v>
      </c>
      <c r="B8" s="27"/>
      <c r="C8" s="27"/>
      <c r="D8" s="27"/>
      <c r="E8" s="27"/>
      <c r="F8" s="27"/>
      <c r="G8" s="27"/>
      <c r="H8" s="27"/>
      <c r="I8" s="27"/>
      <c r="J8" s="27"/>
      <c r="K8" s="24"/>
      <c r="L8" s="24"/>
    </row>
    <row r="9" spans="1:12" ht="14.4" x14ac:dyDescent="0.3">
      <c r="A9" s="29" t="s">
        <v>36</v>
      </c>
      <c r="B9" s="30"/>
      <c r="C9" s="30"/>
      <c r="D9" s="30"/>
      <c r="E9" s="30"/>
      <c r="F9" s="30"/>
      <c r="G9" s="30"/>
      <c r="H9" s="30"/>
      <c r="I9" s="30"/>
      <c r="J9" s="30"/>
      <c r="K9" s="31"/>
      <c r="L9" s="31"/>
    </row>
    <row r="10" spans="1:12" ht="14.4" x14ac:dyDescent="0.3">
      <c r="A10" s="32" t="s">
        <v>37</v>
      </c>
      <c r="B10" s="30"/>
      <c r="C10" s="30"/>
      <c r="D10" s="30"/>
      <c r="E10" s="30"/>
      <c r="F10" s="30"/>
      <c r="G10" s="30"/>
      <c r="H10" s="30"/>
      <c r="I10" s="30"/>
      <c r="J10" s="30"/>
      <c r="K10" s="31"/>
      <c r="L10" s="31"/>
    </row>
    <row r="11" spans="1:12" ht="14.4" x14ac:dyDescent="0.3">
      <c r="A11" s="27"/>
      <c r="B11" s="30"/>
      <c r="C11" s="30"/>
      <c r="D11" s="30"/>
      <c r="E11" s="30"/>
      <c r="F11" s="30"/>
      <c r="G11" s="30"/>
      <c r="H11" s="30"/>
      <c r="I11" s="30"/>
      <c r="J11" s="30"/>
      <c r="K11" s="31"/>
      <c r="L11" s="31"/>
    </row>
    <row r="12" spans="1:12" ht="17.25" customHeight="1" thickBot="1" x14ac:dyDescent="0.35">
      <c r="A12" s="33"/>
      <c r="B12" s="34"/>
      <c r="C12" s="34"/>
      <c r="D12" s="34"/>
      <c r="E12" s="34"/>
      <c r="F12" s="34"/>
      <c r="G12" s="79"/>
      <c r="H12" s="34"/>
      <c r="I12" s="34"/>
      <c r="J12" s="34"/>
      <c r="K12" s="34"/>
      <c r="L12" s="34"/>
    </row>
    <row r="13" spans="1:12" ht="14.4" x14ac:dyDescent="0.3">
      <c r="A13" s="35"/>
      <c r="B13" s="36"/>
      <c r="C13" s="36"/>
      <c r="D13" s="36"/>
      <c r="E13" s="36"/>
      <c r="F13" s="36"/>
      <c r="G13" s="80"/>
      <c r="H13" s="36"/>
      <c r="I13" s="36"/>
      <c r="J13" s="36"/>
      <c r="K13" s="36"/>
      <c r="L13" s="36"/>
    </row>
    <row r="14" spans="1:12" thickBot="1" x14ac:dyDescent="0.35">
      <c r="A14" s="87" t="s">
        <v>3</v>
      </c>
      <c r="B14" s="107"/>
      <c r="C14" s="107"/>
      <c r="D14" s="107"/>
      <c r="E14" s="107"/>
      <c r="F14" s="107"/>
      <c r="G14" s="96"/>
      <c r="H14" s="107"/>
      <c r="I14" s="107"/>
      <c r="J14" s="107"/>
      <c r="K14" s="107"/>
      <c r="L14" s="108"/>
    </row>
    <row r="15" spans="1:12" thickBot="1" x14ac:dyDescent="0.35">
      <c r="A15" s="109" t="s">
        <v>98</v>
      </c>
      <c r="B15" s="110" t="s">
        <v>18</v>
      </c>
      <c r="C15" s="110" t="s">
        <v>60</v>
      </c>
      <c r="D15" s="110" t="s">
        <v>34</v>
      </c>
      <c r="E15" s="110" t="s">
        <v>152</v>
      </c>
      <c r="F15" s="110" t="s">
        <v>19</v>
      </c>
      <c r="G15" s="110" t="s">
        <v>151</v>
      </c>
      <c r="H15" s="111" t="s">
        <v>61</v>
      </c>
      <c r="I15" s="110" t="s">
        <v>62</v>
      </c>
      <c r="J15" s="110" t="s">
        <v>63</v>
      </c>
      <c r="K15" s="139" t="s">
        <v>104</v>
      </c>
      <c r="L15" s="112" t="s">
        <v>15</v>
      </c>
    </row>
    <row r="16" spans="1:12" ht="14.4" x14ac:dyDescent="0.3">
      <c r="A16" s="206" t="s">
        <v>163</v>
      </c>
      <c r="B16" s="186" t="s">
        <v>164</v>
      </c>
      <c r="C16" s="186" t="s">
        <v>165</v>
      </c>
      <c r="D16" s="186" t="s">
        <v>166</v>
      </c>
      <c r="E16" s="207">
        <v>270</v>
      </c>
      <c r="F16" s="186" t="s">
        <v>376</v>
      </c>
      <c r="G16" s="186" t="s">
        <v>27</v>
      </c>
      <c r="H16" s="232">
        <v>1</v>
      </c>
      <c r="I16" s="232">
        <v>1000</v>
      </c>
      <c r="J16" s="208" t="s">
        <v>167</v>
      </c>
      <c r="K16" s="232" t="s">
        <v>463</v>
      </c>
      <c r="L16" s="211" t="s">
        <v>168</v>
      </c>
    </row>
    <row r="17" spans="1:12" ht="14.4" x14ac:dyDescent="0.3">
      <c r="A17" s="203" t="s">
        <v>169</v>
      </c>
      <c r="B17" s="178" t="s">
        <v>164</v>
      </c>
      <c r="C17" s="178" t="s">
        <v>170</v>
      </c>
      <c r="D17" s="178" t="s">
        <v>166</v>
      </c>
      <c r="E17" s="204">
        <v>0.3</v>
      </c>
      <c r="F17" s="178" t="s">
        <v>27</v>
      </c>
      <c r="G17" s="178" t="s">
        <v>27</v>
      </c>
      <c r="H17" s="197" t="s">
        <v>171</v>
      </c>
      <c r="I17" s="197" t="s">
        <v>172</v>
      </c>
      <c r="J17" s="205" t="s">
        <v>173</v>
      </c>
      <c r="K17" s="197" t="s">
        <v>463</v>
      </c>
      <c r="L17" s="212" t="s">
        <v>406</v>
      </c>
    </row>
    <row r="18" spans="1:12" ht="14.4" x14ac:dyDescent="0.3">
      <c r="A18" s="203" t="s">
        <v>174</v>
      </c>
      <c r="B18" s="178" t="s">
        <v>164</v>
      </c>
      <c r="C18" s="178" t="s">
        <v>175</v>
      </c>
      <c r="D18" s="178" t="s">
        <v>166</v>
      </c>
      <c r="E18" s="204">
        <v>0.7</v>
      </c>
      <c r="F18" s="178" t="s">
        <v>27</v>
      </c>
      <c r="G18" s="178" t="s">
        <v>27</v>
      </c>
      <c r="H18" s="197" t="s">
        <v>171</v>
      </c>
      <c r="I18" s="197" t="s">
        <v>172</v>
      </c>
      <c r="J18" s="205" t="s">
        <v>176</v>
      </c>
      <c r="K18" s="197" t="s">
        <v>463</v>
      </c>
      <c r="L18" s="212" t="s">
        <v>407</v>
      </c>
    </row>
    <row r="19" spans="1:12" ht="14.4" x14ac:dyDescent="0.3">
      <c r="A19" s="203" t="s">
        <v>177</v>
      </c>
      <c r="B19" s="178" t="s">
        <v>178</v>
      </c>
      <c r="C19" s="178" t="s">
        <v>179</v>
      </c>
      <c r="D19" s="178" t="s">
        <v>166</v>
      </c>
      <c r="E19" s="204">
        <v>300</v>
      </c>
      <c r="F19" s="178" t="s">
        <v>408</v>
      </c>
      <c r="G19" s="178" t="s">
        <v>27</v>
      </c>
      <c r="H19" s="197">
        <v>150</v>
      </c>
      <c r="I19" s="197">
        <v>600</v>
      </c>
      <c r="J19" s="205" t="s">
        <v>180</v>
      </c>
      <c r="K19" s="197" t="s">
        <v>463</v>
      </c>
      <c r="L19" s="212" t="s">
        <v>409</v>
      </c>
    </row>
    <row r="20" spans="1:12" ht="14.4" x14ac:dyDescent="0.3">
      <c r="A20" s="203" t="s">
        <v>181</v>
      </c>
      <c r="B20" s="178" t="s">
        <v>178</v>
      </c>
      <c r="C20" s="178" t="s">
        <v>182</v>
      </c>
      <c r="D20" s="178" t="s">
        <v>166</v>
      </c>
      <c r="E20" s="204">
        <v>0.2</v>
      </c>
      <c r="F20" s="178" t="s">
        <v>183</v>
      </c>
      <c r="G20" s="178" t="s">
        <v>27</v>
      </c>
      <c r="H20" s="197">
        <v>0.02</v>
      </c>
      <c r="I20" s="197">
        <v>0.5</v>
      </c>
      <c r="J20" s="205" t="s">
        <v>184</v>
      </c>
      <c r="K20" s="197" t="s">
        <v>463</v>
      </c>
      <c r="L20" s="212" t="s">
        <v>185</v>
      </c>
    </row>
    <row r="21" spans="1:12" ht="14.4" x14ac:dyDescent="0.3">
      <c r="A21" s="203" t="s">
        <v>186</v>
      </c>
      <c r="B21" s="178" t="s">
        <v>178</v>
      </c>
      <c r="C21" s="178" t="s">
        <v>187</v>
      </c>
      <c r="D21" s="178" t="s">
        <v>166</v>
      </c>
      <c r="E21" s="204">
        <v>30</v>
      </c>
      <c r="F21" s="178" t="s">
        <v>188</v>
      </c>
      <c r="G21" s="178" t="s">
        <v>27</v>
      </c>
      <c r="H21" s="197">
        <v>5</v>
      </c>
      <c r="I21" s="197">
        <v>100</v>
      </c>
      <c r="J21" s="205" t="s">
        <v>189</v>
      </c>
      <c r="K21" s="197" t="s">
        <v>463</v>
      </c>
      <c r="L21" s="212" t="s">
        <v>187</v>
      </c>
    </row>
    <row r="22" spans="1:12" ht="14.4" x14ac:dyDescent="0.3">
      <c r="A22" s="203" t="s">
        <v>190</v>
      </c>
      <c r="B22" s="178" t="s">
        <v>164</v>
      </c>
      <c r="C22" s="178" t="s">
        <v>191</v>
      </c>
      <c r="D22" s="178" t="s">
        <v>166</v>
      </c>
      <c r="E22" s="204">
        <v>0.55300000000000005</v>
      </c>
      <c r="F22" s="178" t="s">
        <v>27</v>
      </c>
      <c r="G22" s="178" t="s">
        <v>27</v>
      </c>
      <c r="H22" s="197" t="s">
        <v>171</v>
      </c>
      <c r="I22" s="197" t="s">
        <v>172</v>
      </c>
      <c r="J22" s="205" t="s">
        <v>192</v>
      </c>
      <c r="K22" s="197" t="s">
        <v>463</v>
      </c>
      <c r="L22" s="212" t="s">
        <v>405</v>
      </c>
    </row>
    <row r="23" spans="1:12" ht="14.4" x14ac:dyDescent="0.3">
      <c r="A23" s="203" t="s">
        <v>193</v>
      </c>
      <c r="B23" s="178" t="s">
        <v>178</v>
      </c>
      <c r="C23" s="178" t="s">
        <v>194</v>
      </c>
      <c r="D23" s="178" t="s">
        <v>166</v>
      </c>
      <c r="E23" s="204">
        <v>9.1</v>
      </c>
      <c r="F23" s="178" t="s">
        <v>410</v>
      </c>
      <c r="G23" s="178" t="s">
        <v>27</v>
      </c>
      <c r="H23" s="197" t="s">
        <v>195</v>
      </c>
      <c r="I23" s="197" t="s">
        <v>196</v>
      </c>
      <c r="J23" s="205" t="s">
        <v>197</v>
      </c>
      <c r="K23" s="197" t="s">
        <v>463</v>
      </c>
      <c r="L23" s="212" t="s">
        <v>411</v>
      </c>
    </row>
    <row r="24" spans="1:12" ht="14.4" x14ac:dyDescent="0.3">
      <c r="A24" s="203" t="s">
        <v>198</v>
      </c>
      <c r="B24" s="178" t="s">
        <v>178</v>
      </c>
      <c r="C24" s="178" t="s">
        <v>199</v>
      </c>
      <c r="D24" s="178" t="s">
        <v>166</v>
      </c>
      <c r="E24" s="204">
        <v>50000</v>
      </c>
      <c r="F24" s="178" t="s">
        <v>412</v>
      </c>
      <c r="G24" s="178" t="s">
        <v>27</v>
      </c>
      <c r="H24" s="197" t="s">
        <v>200</v>
      </c>
      <c r="I24" s="197" t="s">
        <v>201</v>
      </c>
      <c r="J24" s="205" t="s">
        <v>202</v>
      </c>
      <c r="K24" s="197" t="s">
        <v>463</v>
      </c>
      <c r="L24" s="212" t="s">
        <v>413</v>
      </c>
    </row>
    <row r="25" spans="1:12" ht="14.4" x14ac:dyDescent="0.3">
      <c r="A25" s="203" t="s">
        <v>203</v>
      </c>
      <c r="B25" s="178" t="s">
        <v>178</v>
      </c>
      <c r="C25" s="178" t="s">
        <v>204</v>
      </c>
      <c r="D25" s="178" t="s">
        <v>166</v>
      </c>
      <c r="E25" s="204">
        <v>5</v>
      </c>
      <c r="F25" s="178" t="s">
        <v>410</v>
      </c>
      <c r="G25" s="178" t="s">
        <v>27</v>
      </c>
      <c r="H25" s="197">
        <v>3.5</v>
      </c>
      <c r="I25" s="197">
        <v>8</v>
      </c>
      <c r="J25" s="205" t="s">
        <v>205</v>
      </c>
      <c r="K25" s="197" t="s">
        <v>463</v>
      </c>
      <c r="L25" s="212" t="s">
        <v>206</v>
      </c>
    </row>
    <row r="26" spans="1:12" ht="14.4" x14ac:dyDescent="0.3">
      <c r="A26" s="203" t="s">
        <v>207</v>
      </c>
      <c r="B26" s="178" t="s">
        <v>208</v>
      </c>
      <c r="C26" s="178" t="s">
        <v>209</v>
      </c>
      <c r="D26" s="178" t="s">
        <v>166</v>
      </c>
      <c r="E26" s="204">
        <v>55</v>
      </c>
      <c r="F26" s="178" t="s">
        <v>210</v>
      </c>
      <c r="G26" s="178" t="s">
        <v>27</v>
      </c>
      <c r="H26" s="197" t="s">
        <v>211</v>
      </c>
      <c r="I26" s="197" t="s">
        <v>212</v>
      </c>
      <c r="J26" s="205" t="s">
        <v>213</v>
      </c>
      <c r="K26" s="197" t="s">
        <v>463</v>
      </c>
      <c r="L26" s="212" t="s">
        <v>214</v>
      </c>
    </row>
    <row r="27" spans="1:12" ht="14.4" x14ac:dyDescent="0.3">
      <c r="A27" s="203" t="s">
        <v>215</v>
      </c>
      <c r="B27" s="178" t="s">
        <v>178</v>
      </c>
      <c r="C27" s="178" t="s">
        <v>216</v>
      </c>
      <c r="D27" s="178" t="s">
        <v>166</v>
      </c>
      <c r="E27" s="204">
        <v>28.5</v>
      </c>
      <c r="F27" s="178" t="s">
        <v>414</v>
      </c>
      <c r="G27" s="178" t="s">
        <v>27</v>
      </c>
      <c r="H27" s="197">
        <v>10</v>
      </c>
      <c r="I27" s="197">
        <v>80</v>
      </c>
      <c r="J27" s="205" t="s">
        <v>217</v>
      </c>
      <c r="K27" s="197" t="s">
        <v>463</v>
      </c>
      <c r="L27" s="212" t="s">
        <v>218</v>
      </c>
    </row>
    <row r="28" spans="1:12" ht="14.4" x14ac:dyDescent="0.3">
      <c r="A28" s="203" t="s">
        <v>219</v>
      </c>
      <c r="B28" s="178" t="s">
        <v>178</v>
      </c>
      <c r="C28" s="178" t="s">
        <v>220</v>
      </c>
      <c r="D28" s="178" t="s">
        <v>166</v>
      </c>
      <c r="E28" s="204">
        <v>5</v>
      </c>
      <c r="F28" s="178" t="s">
        <v>210</v>
      </c>
      <c r="G28" s="178" t="s">
        <v>27</v>
      </c>
      <c r="H28" s="197">
        <v>1</v>
      </c>
      <c r="I28" s="197">
        <v>20</v>
      </c>
      <c r="J28" s="205" t="s">
        <v>221</v>
      </c>
      <c r="K28" s="197" t="s">
        <v>463</v>
      </c>
      <c r="L28" s="212" t="s">
        <v>222</v>
      </c>
    </row>
    <row r="29" spans="1:12" ht="14.4" x14ac:dyDescent="0.3">
      <c r="A29" s="203" t="s">
        <v>223</v>
      </c>
      <c r="B29" s="178" t="s">
        <v>178</v>
      </c>
      <c r="C29" s="178" t="s">
        <v>224</v>
      </c>
      <c r="D29" s="178" t="s">
        <v>166</v>
      </c>
      <c r="E29" s="204">
        <v>16</v>
      </c>
      <c r="F29" s="178" t="s">
        <v>415</v>
      </c>
      <c r="G29" s="178" t="s">
        <v>27</v>
      </c>
      <c r="H29" s="197" t="s">
        <v>225</v>
      </c>
      <c r="I29" s="197" t="s">
        <v>225</v>
      </c>
      <c r="J29" s="205" t="s">
        <v>226</v>
      </c>
      <c r="K29" s="197" t="s">
        <v>463</v>
      </c>
      <c r="L29" s="212" t="s">
        <v>227</v>
      </c>
    </row>
    <row r="30" spans="1:12" ht="14.4" x14ac:dyDescent="0.3">
      <c r="A30" s="203" t="s">
        <v>228</v>
      </c>
      <c r="B30" s="178" t="s">
        <v>178</v>
      </c>
      <c r="C30" s="178" t="s">
        <v>229</v>
      </c>
      <c r="D30" s="178" t="s">
        <v>166</v>
      </c>
      <c r="E30" s="204">
        <v>44</v>
      </c>
      <c r="F30" s="178" t="s">
        <v>415</v>
      </c>
      <c r="G30" s="178" t="s">
        <v>27</v>
      </c>
      <c r="H30" s="197" t="s">
        <v>230</v>
      </c>
      <c r="I30" s="197" t="s">
        <v>230</v>
      </c>
      <c r="J30" s="205" t="s">
        <v>231</v>
      </c>
      <c r="K30" s="197" t="s">
        <v>463</v>
      </c>
      <c r="L30" s="212" t="s">
        <v>232</v>
      </c>
    </row>
    <row r="31" spans="1:12" ht="14.4" x14ac:dyDescent="0.3">
      <c r="A31" s="203" t="s">
        <v>233</v>
      </c>
      <c r="B31" s="178" t="s">
        <v>208</v>
      </c>
      <c r="C31" s="178" t="s">
        <v>234</v>
      </c>
      <c r="D31" s="178" t="s">
        <v>166</v>
      </c>
      <c r="E31" s="204">
        <v>0.8</v>
      </c>
      <c r="F31" s="178" t="s">
        <v>27</v>
      </c>
      <c r="G31" s="178" t="s">
        <v>27</v>
      </c>
      <c r="H31" s="197" t="s">
        <v>171</v>
      </c>
      <c r="I31" s="197" t="s">
        <v>172</v>
      </c>
      <c r="J31" s="205" t="s">
        <v>235</v>
      </c>
      <c r="K31" s="197" t="s">
        <v>463</v>
      </c>
      <c r="L31" s="212" t="s">
        <v>234</v>
      </c>
    </row>
    <row r="32" spans="1:12" ht="14.4" x14ac:dyDescent="0.3">
      <c r="A32" s="203" t="s">
        <v>236</v>
      </c>
      <c r="B32" s="178" t="s">
        <v>178</v>
      </c>
      <c r="C32" s="178" t="s">
        <v>237</v>
      </c>
      <c r="D32" s="178" t="s">
        <v>166</v>
      </c>
      <c r="E32" s="204">
        <v>8.3140000000000001</v>
      </c>
      <c r="F32" s="178" t="s">
        <v>238</v>
      </c>
      <c r="G32" s="178" t="s">
        <v>27</v>
      </c>
      <c r="H32" s="197" t="s">
        <v>239</v>
      </c>
      <c r="I32" s="197" t="s">
        <v>239</v>
      </c>
      <c r="J32" s="205" t="s">
        <v>240</v>
      </c>
      <c r="K32" s="197" t="s">
        <v>463</v>
      </c>
      <c r="L32" s="212" t="s">
        <v>237</v>
      </c>
    </row>
    <row r="33" spans="1:12" ht="14.4" x14ac:dyDescent="0.3">
      <c r="A33" s="203" t="s">
        <v>241</v>
      </c>
      <c r="B33" s="178" t="s">
        <v>208</v>
      </c>
      <c r="C33" s="178" t="s">
        <v>242</v>
      </c>
      <c r="D33" s="178" t="s">
        <v>166</v>
      </c>
      <c r="E33" s="204">
        <v>311</v>
      </c>
      <c r="F33" s="178" t="s">
        <v>243</v>
      </c>
      <c r="G33" s="178" t="s">
        <v>27</v>
      </c>
      <c r="H33" s="197">
        <v>273.14999999999998</v>
      </c>
      <c r="I33" s="197">
        <v>373.15</v>
      </c>
      <c r="J33" s="205" t="s">
        <v>244</v>
      </c>
      <c r="K33" s="197" t="s">
        <v>463</v>
      </c>
      <c r="L33" s="212" t="s">
        <v>245</v>
      </c>
    </row>
    <row r="34" spans="1:12" ht="14.4" x14ac:dyDescent="0.3">
      <c r="A34" s="203" t="s">
        <v>246</v>
      </c>
      <c r="B34" s="178" t="s">
        <v>208</v>
      </c>
      <c r="C34" s="178" t="s">
        <v>247</v>
      </c>
      <c r="D34" s="178" t="s">
        <v>166</v>
      </c>
      <c r="E34" s="204">
        <v>1</v>
      </c>
      <c r="F34" s="178" t="s">
        <v>248</v>
      </c>
      <c r="G34" s="178" t="s">
        <v>27</v>
      </c>
      <c r="H34" s="197">
        <v>0.5</v>
      </c>
      <c r="I34" s="197">
        <v>5</v>
      </c>
      <c r="J34" s="205" t="s">
        <v>249</v>
      </c>
      <c r="K34" s="197" t="s">
        <v>463</v>
      </c>
      <c r="L34" s="212" t="s">
        <v>250</v>
      </c>
    </row>
    <row r="35" spans="1:12" ht="14.4" x14ac:dyDescent="0.3">
      <c r="A35" s="203" t="s">
        <v>251</v>
      </c>
      <c r="B35" s="178" t="s">
        <v>208</v>
      </c>
      <c r="C35" s="178" t="s">
        <v>252</v>
      </c>
      <c r="D35" s="178" t="s">
        <v>166</v>
      </c>
      <c r="E35" s="204">
        <v>30</v>
      </c>
      <c r="F35" s="178" t="s">
        <v>248</v>
      </c>
      <c r="G35" s="178" t="s">
        <v>27</v>
      </c>
      <c r="H35" s="197">
        <v>1.1000000000000001</v>
      </c>
      <c r="I35" s="197">
        <v>250</v>
      </c>
      <c r="J35" s="205" t="s">
        <v>253</v>
      </c>
      <c r="K35" s="197" t="s">
        <v>463</v>
      </c>
      <c r="L35" s="212" t="s">
        <v>252</v>
      </c>
    </row>
    <row r="36" spans="1:12" ht="14.4" x14ac:dyDescent="0.3">
      <c r="A36" s="203" t="s">
        <v>254</v>
      </c>
      <c r="B36" s="178" t="s">
        <v>208</v>
      </c>
      <c r="C36" s="178" t="s">
        <v>255</v>
      </c>
      <c r="D36" s="178" t="s">
        <v>166</v>
      </c>
      <c r="E36" s="204">
        <v>0.2</v>
      </c>
      <c r="F36" s="178" t="s">
        <v>410</v>
      </c>
      <c r="G36" s="178" t="s">
        <v>27</v>
      </c>
      <c r="H36" s="197">
        <v>0.05</v>
      </c>
      <c r="I36" s="197">
        <v>0.5</v>
      </c>
      <c r="J36" s="205" t="s">
        <v>256</v>
      </c>
      <c r="K36" s="197" t="s">
        <v>463</v>
      </c>
      <c r="L36" s="212" t="s">
        <v>416</v>
      </c>
    </row>
    <row r="37" spans="1:12" ht="14.4" x14ac:dyDescent="0.3">
      <c r="A37" s="203" t="s">
        <v>257</v>
      </c>
      <c r="B37" s="178" t="s">
        <v>258</v>
      </c>
      <c r="C37" s="178" t="s">
        <v>259</v>
      </c>
      <c r="D37" s="178" t="s">
        <v>166</v>
      </c>
      <c r="E37" s="204">
        <v>0.06</v>
      </c>
      <c r="F37" s="178" t="s">
        <v>27</v>
      </c>
      <c r="G37" s="178" t="s">
        <v>27</v>
      </c>
      <c r="H37" s="197" t="s">
        <v>171</v>
      </c>
      <c r="I37" s="197" t="s">
        <v>172</v>
      </c>
      <c r="J37" s="205" t="s">
        <v>260</v>
      </c>
      <c r="K37" s="197" t="s">
        <v>463</v>
      </c>
      <c r="L37" s="212" t="s">
        <v>259</v>
      </c>
    </row>
    <row r="38" spans="1:12" ht="14.4" x14ac:dyDescent="0.3">
      <c r="A38" s="203" t="s">
        <v>261</v>
      </c>
      <c r="B38" s="178" t="s">
        <v>258</v>
      </c>
      <c r="C38" s="178" t="s">
        <v>262</v>
      </c>
      <c r="D38" s="178" t="s">
        <v>166</v>
      </c>
      <c r="E38" s="204">
        <v>40</v>
      </c>
      <c r="F38" s="178" t="s">
        <v>417</v>
      </c>
      <c r="G38" s="178" t="s">
        <v>27</v>
      </c>
      <c r="H38" s="197">
        <v>5</v>
      </c>
      <c r="I38" s="197">
        <v>60</v>
      </c>
      <c r="J38" s="205" t="s">
        <v>263</v>
      </c>
      <c r="K38" s="197" t="s">
        <v>463</v>
      </c>
      <c r="L38" s="212" t="s">
        <v>264</v>
      </c>
    </row>
    <row r="39" spans="1:12" ht="14.4" x14ac:dyDescent="0.3">
      <c r="A39" s="203" t="s">
        <v>265</v>
      </c>
      <c r="B39" s="178" t="s">
        <v>178</v>
      </c>
      <c r="C39" s="178" t="s">
        <v>266</v>
      </c>
      <c r="D39" s="178" t="s">
        <v>166</v>
      </c>
      <c r="E39" s="214">
        <v>1870000</v>
      </c>
      <c r="F39" s="178" t="s">
        <v>467</v>
      </c>
      <c r="G39" s="178" t="s">
        <v>27</v>
      </c>
      <c r="H39" s="197">
        <v>10000</v>
      </c>
      <c r="I39" s="197">
        <v>2500000</v>
      </c>
      <c r="J39" s="205" t="s">
        <v>267</v>
      </c>
      <c r="K39" s="197" t="s">
        <v>466</v>
      </c>
      <c r="L39" s="212" t="s">
        <v>419</v>
      </c>
    </row>
    <row r="40" spans="1:12" ht="14.4" x14ac:dyDescent="0.3">
      <c r="A40" s="203" t="s">
        <v>268</v>
      </c>
      <c r="B40" s="178" t="s">
        <v>178</v>
      </c>
      <c r="C40" s="178" t="s">
        <v>269</v>
      </c>
      <c r="D40" s="178" t="s">
        <v>166</v>
      </c>
      <c r="E40" s="204">
        <v>176.47</v>
      </c>
      <c r="F40" s="178" t="s">
        <v>420</v>
      </c>
      <c r="G40" s="178" t="s">
        <v>27</v>
      </c>
      <c r="H40" s="197">
        <v>100</v>
      </c>
      <c r="I40" s="197">
        <v>2000</v>
      </c>
      <c r="J40" s="205" t="s">
        <v>270</v>
      </c>
      <c r="K40" s="197" t="s">
        <v>468</v>
      </c>
      <c r="L40" s="212" t="s">
        <v>271</v>
      </c>
    </row>
    <row r="41" spans="1:12" ht="14.4" x14ac:dyDescent="0.3">
      <c r="A41" s="203" t="s">
        <v>272</v>
      </c>
      <c r="B41" s="178" t="s">
        <v>178</v>
      </c>
      <c r="C41" s="178" t="s">
        <v>273</v>
      </c>
      <c r="D41" s="178" t="s">
        <v>166</v>
      </c>
      <c r="E41" s="204">
        <v>1500</v>
      </c>
      <c r="F41" s="178" t="s">
        <v>421</v>
      </c>
      <c r="G41" s="178" t="s">
        <v>27</v>
      </c>
      <c r="H41" s="197">
        <v>500</v>
      </c>
      <c r="I41" s="197">
        <v>10000</v>
      </c>
      <c r="J41" s="205" t="s">
        <v>274</v>
      </c>
      <c r="K41" s="197" t="s">
        <v>465</v>
      </c>
      <c r="L41" s="212" t="s">
        <v>422</v>
      </c>
    </row>
    <row r="42" spans="1:12" ht="14.4" x14ac:dyDescent="0.3">
      <c r="A42" s="203" t="s">
        <v>275</v>
      </c>
      <c r="B42" s="178" t="s">
        <v>178</v>
      </c>
      <c r="C42" s="178" t="s">
        <v>423</v>
      </c>
      <c r="D42" s="178" t="s">
        <v>166</v>
      </c>
      <c r="E42" s="204">
        <v>596.20000000000005</v>
      </c>
      <c r="F42" s="178" t="s">
        <v>27</v>
      </c>
      <c r="G42" s="178" t="s">
        <v>27</v>
      </c>
      <c r="H42" s="197">
        <v>500</v>
      </c>
      <c r="I42" s="197">
        <v>800</v>
      </c>
      <c r="J42" s="205" t="s">
        <v>276</v>
      </c>
      <c r="K42" s="197" t="s">
        <v>463</v>
      </c>
      <c r="L42" s="212" t="s">
        <v>424</v>
      </c>
    </row>
    <row r="43" spans="1:12" ht="14.4" x14ac:dyDescent="0.3">
      <c r="A43" s="203" t="s">
        <v>277</v>
      </c>
      <c r="B43" s="178" t="s">
        <v>178</v>
      </c>
      <c r="C43" s="178" t="s">
        <v>278</v>
      </c>
      <c r="D43" s="178" t="s">
        <v>166</v>
      </c>
      <c r="E43" s="204">
        <v>575.4</v>
      </c>
      <c r="F43" s="178" t="s">
        <v>27</v>
      </c>
      <c r="G43" s="178" t="s">
        <v>27</v>
      </c>
      <c r="H43" s="197">
        <v>500</v>
      </c>
      <c r="I43" s="197">
        <v>650</v>
      </c>
      <c r="J43" s="205" t="s">
        <v>279</v>
      </c>
      <c r="K43" s="197" t="s">
        <v>463</v>
      </c>
      <c r="L43" s="212" t="s">
        <v>280</v>
      </c>
    </row>
    <row r="44" spans="1:12" ht="14.4" x14ac:dyDescent="0.3">
      <c r="A44" s="266" t="s">
        <v>456</v>
      </c>
      <c r="B44" s="178" t="s">
        <v>178</v>
      </c>
      <c r="C44" s="178" t="s">
        <v>455</v>
      </c>
      <c r="D44" s="178" t="s">
        <v>166</v>
      </c>
      <c r="E44" s="204">
        <f>1-EXP(-k*t)</f>
        <v>0.99752124782333362</v>
      </c>
      <c r="F44" s="178" t="s">
        <v>27</v>
      </c>
      <c r="G44" s="178" t="s">
        <v>454</v>
      </c>
      <c r="H44" s="197">
        <v>0</v>
      </c>
      <c r="I44" s="197">
        <v>1</v>
      </c>
      <c r="J44" s="205" t="s">
        <v>457</v>
      </c>
      <c r="K44" s="197" t="s">
        <v>463</v>
      </c>
      <c r="L44" s="212" t="s">
        <v>458</v>
      </c>
    </row>
    <row r="45" spans="1:12" ht="14.4" x14ac:dyDescent="0.3">
      <c r="A45" s="203" t="s">
        <v>281</v>
      </c>
      <c r="B45" s="178" t="s">
        <v>164</v>
      </c>
      <c r="C45" s="178" t="s">
        <v>282</v>
      </c>
      <c r="D45" s="178" t="s">
        <v>166</v>
      </c>
      <c r="E45" s="204">
        <f>Biomassflow*TS*VS*BMP*VolFlowExp/CH4inBiogas</f>
        <v>30683.248508996214</v>
      </c>
      <c r="F45" s="178" t="s">
        <v>369</v>
      </c>
      <c r="G45" s="178" t="s">
        <v>460</v>
      </c>
      <c r="H45" s="197">
        <v>10</v>
      </c>
      <c r="I45" s="197">
        <v>250000</v>
      </c>
      <c r="J45" s="205" t="s">
        <v>283</v>
      </c>
      <c r="K45" s="197" t="s">
        <v>463</v>
      </c>
      <c r="L45" s="212" t="s">
        <v>459</v>
      </c>
    </row>
    <row r="46" spans="1:12" ht="14.4" x14ac:dyDescent="0.3">
      <c r="A46" s="203" t="s">
        <v>284</v>
      </c>
      <c r="B46" s="178" t="s">
        <v>164</v>
      </c>
      <c r="C46" s="178" t="s">
        <v>285</v>
      </c>
      <c r="D46" s="178" t="s">
        <v>166</v>
      </c>
      <c r="E46" s="204">
        <f>Biogas_VolLHV*Biogas_VolFlow</f>
        <v>153416.24254498107</v>
      </c>
      <c r="F46" s="178" t="s">
        <v>286</v>
      </c>
      <c r="G46" s="178" t="s">
        <v>387</v>
      </c>
      <c r="H46" s="197">
        <v>100</v>
      </c>
      <c r="I46" s="197">
        <v>1500000</v>
      </c>
      <c r="J46" s="205" t="s">
        <v>287</v>
      </c>
      <c r="K46" s="197" t="s">
        <v>463</v>
      </c>
      <c r="L46" s="212" t="s">
        <v>288</v>
      </c>
    </row>
    <row r="47" spans="1:12" ht="14.4" x14ac:dyDescent="0.3">
      <c r="A47" s="203" t="s">
        <v>289</v>
      </c>
      <c r="B47" s="178" t="s">
        <v>164</v>
      </c>
      <c r="C47" s="178" t="s">
        <v>290</v>
      </c>
      <c r="D47" s="178" t="s">
        <v>166</v>
      </c>
      <c r="E47" s="204">
        <f>CH4inBiogas*Biogas_VolFlow</f>
        <v>16967.836425474907</v>
      </c>
      <c r="F47" s="178" t="s">
        <v>369</v>
      </c>
      <c r="G47" s="178" t="s">
        <v>388</v>
      </c>
      <c r="H47" s="197">
        <v>5</v>
      </c>
      <c r="I47" s="197">
        <v>150000</v>
      </c>
      <c r="J47" s="205" t="s">
        <v>291</v>
      </c>
      <c r="K47" s="197" t="s">
        <v>463</v>
      </c>
      <c r="L47" s="212" t="s">
        <v>292</v>
      </c>
    </row>
    <row r="48" spans="1:12" ht="14.4" x14ac:dyDescent="0.3">
      <c r="A48" s="203" t="s">
        <v>293</v>
      </c>
      <c r="B48" s="178" t="s">
        <v>164</v>
      </c>
      <c r="C48" s="178" t="s">
        <v>294</v>
      </c>
      <c r="D48" s="178" t="s">
        <v>166</v>
      </c>
      <c r="E48" s="204">
        <f>CH4_VolFlow*CH4_VolLHV</f>
        <v>154407.31147182165</v>
      </c>
      <c r="F48" s="178" t="s">
        <v>286</v>
      </c>
      <c r="G48" s="178" t="s">
        <v>389</v>
      </c>
      <c r="H48" s="197">
        <v>100</v>
      </c>
      <c r="I48" s="197">
        <v>1500000</v>
      </c>
      <c r="J48" s="205" t="s">
        <v>295</v>
      </c>
      <c r="K48" s="197" t="s">
        <v>463</v>
      </c>
      <c r="L48" s="212" t="s">
        <v>296</v>
      </c>
    </row>
    <row r="49" spans="1:12" ht="14.4" x14ac:dyDescent="0.3">
      <c r="A49" s="203" t="s">
        <v>297</v>
      </c>
      <c r="B49" s="178" t="s">
        <v>164</v>
      </c>
      <c r="C49" s="178" t="s">
        <v>298</v>
      </c>
      <c r="D49" s="178" t="s">
        <v>166</v>
      </c>
      <c r="E49" s="204">
        <f>CH4_kW/CH4_MassLHV*3600</f>
        <v>11117.32642597116</v>
      </c>
      <c r="F49" s="178" t="s">
        <v>313</v>
      </c>
      <c r="G49" s="178" t="s">
        <v>390</v>
      </c>
      <c r="H49" s="197">
        <v>10</v>
      </c>
      <c r="I49" s="197">
        <v>100000</v>
      </c>
      <c r="J49" s="205" t="s">
        <v>299</v>
      </c>
      <c r="K49" s="197" t="s">
        <v>463</v>
      </c>
      <c r="L49" s="212" t="s">
        <v>300</v>
      </c>
    </row>
    <row r="50" spans="1:12" ht="14.4" x14ac:dyDescent="0.3">
      <c r="A50" s="203" t="s">
        <v>301</v>
      </c>
      <c r="B50" s="178" t="s">
        <v>164</v>
      </c>
      <c r="C50" s="178" t="s">
        <v>302</v>
      </c>
      <c r="D50" s="178" t="s">
        <v>166</v>
      </c>
      <c r="E50" s="204">
        <f>(CH4inBiogas*MW_CH4)/((CH4inBiogas*MW_CH4)+((1-CH4inBiogas)*MW_CO2))</f>
        <v>0.31028194697713568</v>
      </c>
      <c r="F50" s="178" t="s">
        <v>27</v>
      </c>
      <c r="G50" s="178" t="s">
        <v>391</v>
      </c>
      <c r="H50" s="197" t="s">
        <v>171</v>
      </c>
      <c r="I50" s="197" t="s">
        <v>172</v>
      </c>
      <c r="J50" s="205" t="s">
        <v>303</v>
      </c>
      <c r="K50" s="197" t="s">
        <v>463</v>
      </c>
      <c r="L50" s="212" t="s">
        <v>425</v>
      </c>
    </row>
    <row r="51" spans="1:12" ht="14.4" x14ac:dyDescent="0.3">
      <c r="A51" s="203" t="s">
        <v>304</v>
      </c>
      <c r="B51" s="178" t="s">
        <v>164</v>
      </c>
      <c r="C51" s="178" t="s">
        <v>305</v>
      </c>
      <c r="D51" s="178" t="s">
        <v>166</v>
      </c>
      <c r="E51" s="204">
        <f>1-CH4_massfrac</f>
        <v>0.68971805302286437</v>
      </c>
      <c r="F51" s="178" t="s">
        <v>27</v>
      </c>
      <c r="G51" s="178" t="s">
        <v>392</v>
      </c>
      <c r="H51" s="197" t="s">
        <v>171</v>
      </c>
      <c r="I51" s="197" t="s">
        <v>172</v>
      </c>
      <c r="J51" s="205" t="s">
        <v>306</v>
      </c>
      <c r="K51" s="197" t="s">
        <v>463</v>
      </c>
      <c r="L51" s="212" t="s">
        <v>426</v>
      </c>
    </row>
    <row r="52" spans="1:12" ht="14.4" x14ac:dyDescent="0.3">
      <c r="A52" s="203" t="s">
        <v>307</v>
      </c>
      <c r="B52" s="178" t="s">
        <v>164</v>
      </c>
      <c r="C52" s="178" t="s">
        <v>308</v>
      </c>
      <c r="D52" s="178" t="s">
        <v>166</v>
      </c>
      <c r="E52" s="204">
        <f>CH4_MassFlow/CH4_massfrac</f>
        <v>35829.755918059847</v>
      </c>
      <c r="F52" s="178" t="s">
        <v>313</v>
      </c>
      <c r="G52" s="178" t="s">
        <v>393</v>
      </c>
      <c r="H52" s="197">
        <v>50</v>
      </c>
      <c r="I52" s="197">
        <v>500000</v>
      </c>
      <c r="J52" s="205" t="s">
        <v>309</v>
      </c>
      <c r="K52" s="197" t="s">
        <v>463</v>
      </c>
      <c r="L52" s="212" t="s">
        <v>310</v>
      </c>
    </row>
    <row r="53" spans="1:12" ht="14.4" x14ac:dyDescent="0.3">
      <c r="A53" s="203" t="s">
        <v>311</v>
      </c>
      <c r="B53" s="178" t="s">
        <v>164</v>
      </c>
      <c r="C53" s="178" t="s">
        <v>312</v>
      </c>
      <c r="D53" s="178" t="s">
        <v>166</v>
      </c>
      <c r="E53" s="204">
        <f>Biogas_MassFlow-CH4_MassFlow</f>
        <v>24712.42949208869</v>
      </c>
      <c r="F53" s="178" t="s">
        <v>313</v>
      </c>
      <c r="G53" s="178" t="s">
        <v>394</v>
      </c>
      <c r="H53" s="197">
        <v>10</v>
      </c>
      <c r="I53" s="197">
        <v>400000</v>
      </c>
      <c r="J53" s="205" t="s">
        <v>314</v>
      </c>
      <c r="K53" s="197" t="s">
        <v>463</v>
      </c>
      <c r="L53" s="212" t="s">
        <v>315</v>
      </c>
    </row>
    <row r="54" spans="1:12" ht="14.4" x14ac:dyDescent="0.3">
      <c r="A54" s="203" t="s">
        <v>316</v>
      </c>
      <c r="B54" s="178" t="s">
        <v>164</v>
      </c>
      <c r="C54" s="178" t="s">
        <v>317</v>
      </c>
      <c r="D54" s="178" t="s">
        <v>166</v>
      </c>
      <c r="E54" s="204">
        <f>Biomassflow-Biogas_MassFlow/1000</f>
        <v>234.17024408194015</v>
      </c>
      <c r="F54" s="178" t="s">
        <v>376</v>
      </c>
      <c r="G54" s="178" t="s">
        <v>395</v>
      </c>
      <c r="H54" s="197">
        <v>1</v>
      </c>
      <c r="I54" s="197">
        <v>1000</v>
      </c>
      <c r="J54" s="205" t="s">
        <v>318</v>
      </c>
      <c r="K54" s="197" t="s">
        <v>463</v>
      </c>
      <c r="L54" s="212" t="s">
        <v>317</v>
      </c>
    </row>
    <row r="55" spans="1:12" ht="14.4" x14ac:dyDescent="0.3">
      <c r="A55" s="203" t="s">
        <v>319</v>
      </c>
      <c r="B55" s="178" t="s">
        <v>164</v>
      </c>
      <c r="C55" s="178" t="s">
        <v>320</v>
      </c>
      <c r="D55" s="178" t="s">
        <v>166</v>
      </c>
      <c r="E55" s="204">
        <f>(CH4inBiogas * MW_CH4) + ((1 - CH4inBiogas) * MW_CO2)</f>
        <v>28.515999999999998</v>
      </c>
      <c r="F55" s="178" t="s">
        <v>415</v>
      </c>
      <c r="G55" s="178" t="s">
        <v>432</v>
      </c>
      <c r="H55" s="197">
        <v>16</v>
      </c>
      <c r="I55" s="197">
        <v>44</v>
      </c>
      <c r="J55" s="205" t="s">
        <v>321</v>
      </c>
      <c r="K55" s="197" t="s">
        <v>463</v>
      </c>
      <c r="L55" s="212" t="s">
        <v>320</v>
      </c>
    </row>
    <row r="56" spans="1:12" ht="14.4" x14ac:dyDescent="0.3">
      <c r="A56" s="203" t="s">
        <v>322</v>
      </c>
      <c r="B56" s="178" t="s">
        <v>208</v>
      </c>
      <c r="C56" s="178" t="s">
        <v>323</v>
      </c>
      <c r="D56" s="178" t="s">
        <v>166</v>
      </c>
      <c r="E56" s="204">
        <f>SpecHeatDigester*Biomassflow</f>
        <v>7695</v>
      </c>
      <c r="F56" s="178" t="s">
        <v>286</v>
      </c>
      <c r="G56" s="178" t="s">
        <v>396</v>
      </c>
      <c r="H56" s="197">
        <v>100</v>
      </c>
      <c r="I56" s="197">
        <v>50000</v>
      </c>
      <c r="J56" s="205" t="s">
        <v>324</v>
      </c>
      <c r="K56" s="197" t="s">
        <v>463</v>
      </c>
      <c r="L56" s="212" t="s">
        <v>325</v>
      </c>
    </row>
    <row r="57" spans="1:12" ht="14.4" x14ac:dyDescent="0.3">
      <c r="A57" s="203" t="s">
        <v>326</v>
      </c>
      <c r="B57" s="178" t="s">
        <v>208</v>
      </c>
      <c r="C57" s="178" t="s">
        <v>327</v>
      </c>
      <c r="D57" s="178" t="s">
        <v>166</v>
      </c>
      <c r="E57" s="204">
        <f>Biogas_MassFlow*(1/eff_comp)*Ru/MW_biogas*T_comp*3.4011/3600</f>
        <v>3836.6533931239233</v>
      </c>
      <c r="F57" s="178" t="s">
        <v>286</v>
      </c>
      <c r="G57" s="178" t="s">
        <v>397</v>
      </c>
      <c r="H57" s="197">
        <v>0</v>
      </c>
      <c r="I57" s="197">
        <v>50000</v>
      </c>
      <c r="J57" s="205" t="s">
        <v>328</v>
      </c>
      <c r="K57" s="197" t="s">
        <v>463</v>
      </c>
      <c r="L57" s="212" t="s">
        <v>329</v>
      </c>
    </row>
    <row r="58" spans="1:12" ht="14.4" x14ac:dyDescent="0.3">
      <c r="A58" s="203" t="s">
        <v>330</v>
      </c>
      <c r="B58" s="178" t="s">
        <v>208</v>
      </c>
      <c r="C58" s="178" t="s">
        <v>331</v>
      </c>
      <c r="D58" s="178" t="s">
        <v>166</v>
      </c>
      <c r="E58" s="204">
        <f>ScrubDuty*Biogas_VolFlow</f>
        <v>6136.6497017992433</v>
      </c>
      <c r="F58" s="178" t="s">
        <v>286</v>
      </c>
      <c r="G58" s="178" t="s">
        <v>398</v>
      </c>
      <c r="H58" s="197">
        <v>0</v>
      </c>
      <c r="I58" s="197">
        <v>50000</v>
      </c>
      <c r="J58" s="205" t="s">
        <v>332</v>
      </c>
      <c r="K58" s="197" t="s">
        <v>463</v>
      </c>
      <c r="L58" s="212" t="s">
        <v>333</v>
      </c>
    </row>
    <row r="59" spans="1:12" ht="14.4" x14ac:dyDescent="0.3">
      <c r="A59" s="203" t="s">
        <v>334</v>
      </c>
      <c r="B59" s="178" t="s">
        <v>208</v>
      </c>
      <c r="C59" s="178" t="s">
        <v>335</v>
      </c>
      <c r="D59" s="178" t="s">
        <v>166</v>
      </c>
      <c r="E59" s="204">
        <f>CmpDutyBiog+WaterScrubDuty</f>
        <v>9973.303094923167</v>
      </c>
      <c r="F59" s="178" t="s">
        <v>286</v>
      </c>
      <c r="G59" s="178" t="s">
        <v>399</v>
      </c>
      <c r="H59" s="197">
        <v>0</v>
      </c>
      <c r="I59" s="197">
        <v>100000</v>
      </c>
      <c r="J59" s="205" t="s">
        <v>336</v>
      </c>
      <c r="K59" s="197" t="s">
        <v>463</v>
      </c>
      <c r="L59" s="212" t="s">
        <v>337</v>
      </c>
    </row>
    <row r="60" spans="1:12" ht="14.4" x14ac:dyDescent="0.3">
      <c r="A60" s="203" t="s">
        <v>338</v>
      </c>
      <c r="B60" s="178" t="s">
        <v>258</v>
      </c>
      <c r="C60" s="178" t="s">
        <v>339</v>
      </c>
      <c r="D60" s="178" t="s">
        <v>166</v>
      </c>
      <c r="E60" s="204">
        <f>(i*(1+i)^n)/((1+i)^n-1)</f>
        <v>6.6461535920675496E-2</v>
      </c>
      <c r="F60" s="178" t="s">
        <v>27</v>
      </c>
      <c r="G60" s="178" t="s">
        <v>400</v>
      </c>
      <c r="H60" s="197" t="s">
        <v>171</v>
      </c>
      <c r="I60" s="197" t="s">
        <v>172</v>
      </c>
      <c r="J60" s="205" t="s">
        <v>340</v>
      </c>
      <c r="K60" s="197" t="s">
        <v>463</v>
      </c>
      <c r="L60" s="212"/>
    </row>
    <row r="61" spans="1:12" ht="14.4" x14ac:dyDescent="0.3">
      <c r="A61" s="203" t="s">
        <v>341</v>
      </c>
      <c r="B61" s="178" t="s">
        <v>208</v>
      </c>
      <c r="C61" s="178" t="s">
        <v>342</v>
      </c>
      <c r="D61" s="178" t="s">
        <v>166</v>
      </c>
      <c r="E61" s="204">
        <f>CmpDutyBiog*comprCost*(CEPCI_2020/CEPCI_2008)*Annuity</f>
        <v>46624.688124192115</v>
      </c>
      <c r="F61" s="178" t="s">
        <v>427</v>
      </c>
      <c r="G61" s="178" t="s">
        <v>401</v>
      </c>
      <c r="H61" s="197">
        <v>0</v>
      </c>
      <c r="I61" s="197">
        <v>5000000</v>
      </c>
      <c r="J61" s="205" t="s">
        <v>343</v>
      </c>
      <c r="K61" s="197" t="s">
        <v>463</v>
      </c>
      <c r="L61" s="212" t="s">
        <v>344</v>
      </c>
    </row>
    <row r="62" spans="1:12" ht="14.4" x14ac:dyDescent="0.3">
      <c r="A62" s="203" t="s">
        <v>345</v>
      </c>
      <c r="B62" s="178" t="s">
        <v>208</v>
      </c>
      <c r="C62" s="178" t="s">
        <v>346</v>
      </c>
      <c r="D62" s="178" t="s">
        <v>166</v>
      </c>
      <c r="E62" s="204">
        <f>Biogas_VolFlow*waterScrubCost*(CEPCI_2020/CEPCI_2008)*Annuity</f>
        <v>3169458.6069838717</v>
      </c>
      <c r="F62" s="178" t="s">
        <v>427</v>
      </c>
      <c r="G62" s="178" t="s">
        <v>402</v>
      </c>
      <c r="H62" s="197">
        <v>0</v>
      </c>
      <c r="I62" s="197">
        <v>20000000</v>
      </c>
      <c r="J62" s="205" t="s">
        <v>347</v>
      </c>
      <c r="K62" s="197" t="s">
        <v>465</v>
      </c>
      <c r="L62" s="212" t="s">
        <v>348</v>
      </c>
    </row>
    <row r="63" spans="1:12" ht="14.4" x14ac:dyDescent="0.3">
      <c r="A63" s="203" t="s">
        <v>349</v>
      </c>
      <c r="B63" s="178" t="s">
        <v>208</v>
      </c>
      <c r="C63" s="178" t="s">
        <v>350</v>
      </c>
      <c r="D63" s="178" t="s">
        <v>166</v>
      </c>
      <c r="E63" s="204">
        <f>Cinv2_waterscrub+Cinv2_comp</f>
        <v>3216083.2951080636</v>
      </c>
      <c r="F63" s="178" t="s">
        <v>427</v>
      </c>
      <c r="G63" s="178" t="s">
        <v>403</v>
      </c>
      <c r="H63" s="197">
        <v>0</v>
      </c>
      <c r="I63" s="197">
        <v>25000000</v>
      </c>
      <c r="J63" s="205" t="s">
        <v>351</v>
      </c>
      <c r="K63" s="197" t="s">
        <v>463</v>
      </c>
      <c r="L63" s="212" t="s">
        <v>352</v>
      </c>
    </row>
    <row r="64" spans="1:12" thickBot="1" x14ac:dyDescent="0.35">
      <c r="A64" s="209" t="s">
        <v>353</v>
      </c>
      <c r="B64" s="182" t="s">
        <v>208</v>
      </c>
      <c r="C64" s="182" t="s">
        <v>354</v>
      </c>
      <c r="D64" s="182" t="s">
        <v>166</v>
      </c>
      <c r="E64" s="267">
        <f>Biomassflow*digesterCost*(CEPCI_2020/CEPCI_2008)*Annuity</f>
        <v>34769453.006189279</v>
      </c>
      <c r="F64" s="182" t="s">
        <v>427</v>
      </c>
      <c r="G64" s="182" t="s">
        <v>404</v>
      </c>
      <c r="H64" s="198">
        <v>0</v>
      </c>
      <c r="I64" s="198">
        <v>15000000</v>
      </c>
      <c r="J64" s="210" t="s">
        <v>355</v>
      </c>
      <c r="K64" s="198" t="s">
        <v>463</v>
      </c>
      <c r="L64" s="213" t="s">
        <v>356</v>
      </c>
    </row>
    <row r="65" spans="7:7" ht="15" customHeight="1" x14ac:dyDescent="0.3">
      <c r="G65" s="263"/>
    </row>
  </sheetData>
  <dataValidations count="3">
    <dataValidation type="list" allowBlank="1" showErrorMessage="1" sqref="B16:B64" xr:uid="{00000000-0002-0000-0300-000000000000}">
      <formula1>"CONTEXT,LITERATURE,MEASURED,DECISION"</formula1>
    </dataValidation>
    <dataValidation type="list" allowBlank="1" showErrorMessage="1" sqref="D16:D64" xr:uid="{00000000-0002-0000-0300-000001000000}">
      <formula1>"MANDATORY,OPTIONAL,PRIVATE"</formula1>
    </dataValidation>
    <dataValidation type="list" errorStyle="information" allowBlank="1" showInputMessage="1" showErrorMessage="1" sqref="F16:F64" xr:uid="{D8615925-09F6-4B67-AFCC-E7FE979C868F}">
      <formula1>"-,kg,s,m,K,°C,W,bar,kg/h,t/h,kW,kW/m2K,W/m2K,kJ/kgK,kJ/kg,m3/h,Nm3/t,kWh/Nm3,Nm3/h,%,kg/kmol,eur,eur/year,eur/kW,kWel/kWth,year, days"</formula1>
    </dataValidation>
  </dataValidations>
  <pageMargins left="0.7" right="0.7" top="0.75" bottom="0.75" header="0" footer="0"/>
  <pageSetup orientation="landscape"/>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1"/>
  <sheetViews>
    <sheetView showGridLines="0" topLeftCell="A2" zoomScale="40" zoomScaleNormal="40" workbookViewId="0">
      <selection activeCell="A56" sqref="A55:A56"/>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5" t="s">
        <v>46</v>
      </c>
      <c r="B1" s="84"/>
      <c r="C1" s="84"/>
      <c r="D1" s="37"/>
      <c r="E1" s="38"/>
      <c r="F1" s="38"/>
      <c r="G1" s="38"/>
      <c r="H1" s="38"/>
      <c r="I1" s="6"/>
      <c r="J1" s="6"/>
      <c r="K1" s="7"/>
      <c r="L1" s="7"/>
      <c r="M1" s="7"/>
      <c r="N1" s="7"/>
    </row>
    <row r="2" spans="1:21" ht="48" customHeight="1" thickBot="1" x14ac:dyDescent="0.35">
      <c r="A2" s="241" t="s">
        <v>436</v>
      </c>
      <c r="B2" s="84"/>
      <c r="C2" s="84"/>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5"/>
      <c r="B4" s="39"/>
      <c r="C4" s="39"/>
      <c r="D4" s="6"/>
      <c r="E4" s="40"/>
      <c r="F4" s="40"/>
      <c r="G4" s="40"/>
      <c r="H4" s="41"/>
      <c r="I4" s="42"/>
      <c r="J4" s="42"/>
      <c r="K4" s="42"/>
      <c r="L4" s="42"/>
      <c r="M4" s="42"/>
      <c r="N4" s="42"/>
    </row>
    <row r="5" spans="1:21" thickBot="1" x14ac:dyDescent="0.35">
      <c r="A5" s="88" t="s">
        <v>48</v>
      </c>
      <c r="B5" s="89" t="s">
        <v>50</v>
      </c>
      <c r="C5" s="90" t="s">
        <v>49</v>
      </c>
      <c r="D5" s="66" t="s">
        <v>150</v>
      </c>
      <c r="E5" s="45"/>
      <c r="F5" s="45"/>
      <c r="G5" s="45"/>
      <c r="H5" s="44"/>
      <c r="I5" s="7"/>
      <c r="J5" s="7"/>
      <c r="K5" s="7"/>
      <c r="L5" s="7"/>
      <c r="M5" s="7"/>
      <c r="N5" s="7"/>
    </row>
    <row r="6" spans="1:21" thickBot="1" x14ac:dyDescent="0.35">
      <c r="A6" s="138" t="s">
        <v>370</v>
      </c>
      <c r="B6" s="147">
        <v>0</v>
      </c>
      <c r="C6" s="264">
        <v>100</v>
      </c>
      <c r="D6" s="46"/>
      <c r="E6" s="47"/>
      <c r="F6" s="48"/>
      <c r="G6" s="48"/>
      <c r="H6" s="49"/>
      <c r="I6" s="38"/>
      <c r="J6" s="38"/>
      <c r="K6" s="38"/>
      <c r="L6" s="38"/>
      <c r="M6" s="38"/>
      <c r="N6" s="38"/>
    </row>
    <row r="7" spans="1:21" thickBot="1" x14ac:dyDescent="0.35">
      <c r="A7" s="50"/>
      <c r="B7" s="51"/>
      <c r="C7" s="265"/>
      <c r="D7" s="52"/>
      <c r="E7" s="5"/>
      <c r="F7" s="40"/>
      <c r="G7" s="40"/>
      <c r="H7" s="41"/>
      <c r="I7" s="40"/>
      <c r="J7" s="40"/>
      <c r="K7" s="40"/>
      <c r="L7" s="40"/>
      <c r="M7" s="40"/>
      <c r="N7" s="40"/>
    </row>
    <row r="8" spans="1:21" ht="17.25" customHeight="1" thickBot="1" x14ac:dyDescent="0.35">
      <c r="A8" s="102" t="s">
        <v>47</v>
      </c>
      <c r="B8" s="84"/>
      <c r="C8" s="84"/>
      <c r="D8" s="41"/>
      <c r="E8" s="5"/>
      <c r="F8" s="40"/>
      <c r="G8" s="40"/>
      <c r="H8" s="41"/>
      <c r="I8" s="40"/>
      <c r="J8" s="40"/>
      <c r="K8" s="40"/>
      <c r="L8" s="40"/>
      <c r="M8" s="40"/>
      <c r="N8" s="40"/>
    </row>
    <row r="9" spans="1:21" ht="61.2" customHeight="1" thickBot="1" x14ac:dyDescent="0.35">
      <c r="A9" s="241" t="s">
        <v>438</v>
      </c>
      <c r="B9" s="84"/>
      <c r="C9" s="84"/>
      <c r="D9" s="5"/>
      <c r="E9" s="5"/>
      <c r="F9" s="40"/>
      <c r="G9" s="40"/>
      <c r="H9" s="41"/>
      <c r="I9" s="40"/>
      <c r="J9" s="40"/>
      <c r="K9" s="40"/>
      <c r="L9" s="40"/>
      <c r="M9" s="40"/>
      <c r="N9" s="40"/>
    </row>
    <row r="10" spans="1:21" thickBot="1" x14ac:dyDescent="0.35">
      <c r="A10" s="53"/>
      <c r="B10" s="40"/>
      <c r="C10" s="40"/>
      <c r="D10" s="5"/>
      <c r="E10" s="5"/>
      <c r="F10" s="40"/>
      <c r="G10" s="40"/>
      <c r="H10" s="41"/>
      <c r="I10" s="40"/>
      <c r="J10" s="40"/>
      <c r="K10" s="40"/>
      <c r="L10" s="40"/>
      <c r="M10" s="40"/>
      <c r="N10" s="40"/>
    </row>
    <row r="11" spans="1:21" thickBot="1" x14ac:dyDescent="0.35">
      <c r="A11" s="54" t="s">
        <v>59</v>
      </c>
      <c r="B11" s="40"/>
      <c r="C11" s="40"/>
      <c r="D11" s="5"/>
      <c r="E11" s="5"/>
      <c r="F11" s="40"/>
      <c r="G11" s="40"/>
      <c r="H11" s="41"/>
      <c r="I11" s="40"/>
      <c r="J11" s="40"/>
      <c r="K11" s="40"/>
      <c r="L11" s="40"/>
      <c r="M11" s="40"/>
      <c r="N11" s="40"/>
    </row>
    <row r="12" spans="1:21" thickBot="1" x14ac:dyDescent="0.35">
      <c r="A12" s="55" t="s">
        <v>58</v>
      </c>
      <c r="B12" s="56"/>
      <c r="D12" s="56"/>
      <c r="E12" s="56"/>
      <c r="F12" s="56"/>
      <c r="G12" s="56"/>
      <c r="H12" s="56"/>
      <c r="I12" s="57"/>
      <c r="J12" s="56"/>
      <c r="K12" s="56"/>
      <c r="L12" s="56"/>
      <c r="M12" s="43"/>
      <c r="N12" s="43"/>
    </row>
    <row r="13" spans="1:21" ht="19.5" customHeight="1" thickBot="1" x14ac:dyDescent="0.35">
      <c r="A13" s="87" t="s">
        <v>2</v>
      </c>
      <c r="B13" s="91"/>
      <c r="C13" s="91"/>
      <c r="D13" s="91"/>
      <c r="E13" s="91"/>
      <c r="F13" s="91"/>
      <c r="G13" s="91"/>
      <c r="H13" s="91"/>
      <c r="I13" s="91"/>
      <c r="J13" s="91"/>
      <c r="K13" s="91"/>
      <c r="L13" s="94"/>
      <c r="M13" s="94"/>
      <c r="N13" s="101"/>
    </row>
    <row r="14" spans="1:21" thickBot="1" x14ac:dyDescent="0.35">
      <c r="A14" s="109" t="s">
        <v>17</v>
      </c>
      <c r="B14" s="110" t="s">
        <v>18</v>
      </c>
      <c r="C14" s="110" t="s">
        <v>38</v>
      </c>
      <c r="D14" s="110" t="s">
        <v>147</v>
      </c>
      <c r="E14" s="110" t="s">
        <v>148</v>
      </c>
      <c r="F14" s="110" t="s">
        <v>145</v>
      </c>
      <c r="G14" s="111" t="s">
        <v>21</v>
      </c>
      <c r="H14" s="110" t="s">
        <v>146</v>
      </c>
      <c r="I14" s="110" t="s">
        <v>23</v>
      </c>
      <c r="J14" s="110" t="s">
        <v>24</v>
      </c>
      <c r="K14" s="110" t="s">
        <v>25</v>
      </c>
      <c r="L14" s="139" t="s">
        <v>26</v>
      </c>
      <c r="M14" s="139" t="s">
        <v>121</v>
      </c>
      <c r="N14" s="129" t="s">
        <v>15</v>
      </c>
    </row>
    <row r="15" spans="1:21" ht="14.4" x14ac:dyDescent="0.3">
      <c r="A15" s="219" t="s">
        <v>364</v>
      </c>
      <c r="B15" s="186" t="s">
        <v>358</v>
      </c>
      <c r="C15" s="186" t="s">
        <v>371</v>
      </c>
      <c r="D15" s="220">
        <f>Biomassflow</f>
        <v>270</v>
      </c>
      <c r="E15" s="186" t="s">
        <v>376</v>
      </c>
      <c r="F15" s="221">
        <v>25</v>
      </c>
      <c r="G15" s="221" t="s">
        <v>210</v>
      </c>
      <c r="H15" s="221">
        <v>1</v>
      </c>
      <c r="I15" s="221" t="s">
        <v>248</v>
      </c>
      <c r="J15" s="221">
        <v>-1</v>
      </c>
      <c r="K15" s="221" t="s">
        <v>378</v>
      </c>
      <c r="L15" s="232" t="s">
        <v>27</v>
      </c>
      <c r="M15" s="233" t="s">
        <v>434</v>
      </c>
      <c r="N15" s="237" t="s">
        <v>382</v>
      </c>
      <c r="O15" s="1"/>
      <c r="P15" s="1"/>
      <c r="Q15" s="1"/>
      <c r="R15" s="1"/>
      <c r="S15" s="1"/>
      <c r="T15" s="1"/>
      <c r="U15" s="1"/>
    </row>
    <row r="16" spans="1:21" ht="14.4" x14ac:dyDescent="0.3">
      <c r="A16" s="216" t="s">
        <v>368</v>
      </c>
      <c r="B16" s="178" t="s">
        <v>358</v>
      </c>
      <c r="C16" s="178" t="s">
        <v>372</v>
      </c>
      <c r="D16" s="217">
        <f>Biogas_MassFlow</f>
        <v>35829.755918059847</v>
      </c>
      <c r="E16" s="178" t="s">
        <v>313</v>
      </c>
      <c r="F16" s="218">
        <v>55</v>
      </c>
      <c r="G16" s="218" t="s">
        <v>210</v>
      </c>
      <c r="H16" s="218">
        <v>1</v>
      </c>
      <c r="I16" s="218" t="s">
        <v>248</v>
      </c>
      <c r="J16" s="218">
        <v>-1</v>
      </c>
      <c r="K16" s="218" t="s">
        <v>377</v>
      </c>
      <c r="L16" s="178" t="s">
        <v>429</v>
      </c>
      <c r="M16" s="234" t="s">
        <v>435</v>
      </c>
      <c r="N16" s="238" t="s">
        <v>384</v>
      </c>
      <c r="O16" s="215"/>
      <c r="P16" s="215"/>
      <c r="Q16" s="215"/>
      <c r="R16" s="215"/>
      <c r="S16" s="215"/>
      <c r="T16" s="215"/>
      <c r="U16" s="215"/>
    </row>
    <row r="17" spans="1:21" thickBot="1" x14ac:dyDescent="0.35">
      <c r="A17" s="222" t="s">
        <v>366</v>
      </c>
      <c r="B17" s="182" t="s">
        <v>358</v>
      </c>
      <c r="C17" s="182" t="s">
        <v>372</v>
      </c>
      <c r="D17" s="223">
        <f>DigestateFlow</f>
        <v>234.17024408194015</v>
      </c>
      <c r="E17" s="182" t="s">
        <v>376</v>
      </c>
      <c r="F17" s="224">
        <v>25</v>
      </c>
      <c r="G17" s="224" t="s">
        <v>210</v>
      </c>
      <c r="H17" s="224">
        <v>1</v>
      </c>
      <c r="I17" s="224" t="s">
        <v>248</v>
      </c>
      <c r="J17" s="224">
        <v>-1</v>
      </c>
      <c r="K17" s="224" t="s">
        <v>379</v>
      </c>
      <c r="L17" s="198" t="s">
        <v>27</v>
      </c>
      <c r="M17" s="235" t="s">
        <v>434</v>
      </c>
      <c r="N17" s="239" t="s">
        <v>383</v>
      </c>
      <c r="O17" s="215"/>
      <c r="P17" s="215"/>
      <c r="Q17" s="215"/>
      <c r="R17" s="215"/>
      <c r="S17" s="215"/>
      <c r="T17" s="215"/>
      <c r="U17" s="215"/>
    </row>
    <row r="18" spans="1:21" thickBot="1" x14ac:dyDescent="0.35">
      <c r="A18" s="59"/>
      <c r="B18" s="51"/>
      <c r="C18" s="51"/>
      <c r="D18" s="51"/>
      <c r="E18" s="60"/>
      <c r="F18" s="61"/>
      <c r="G18" s="61"/>
      <c r="H18" s="61"/>
      <c r="I18" s="61"/>
      <c r="J18" s="60"/>
      <c r="K18" s="62"/>
      <c r="L18" s="51"/>
      <c r="M18" s="63"/>
      <c r="N18" s="51"/>
      <c r="O18" s="63"/>
      <c r="P18" s="63"/>
      <c r="Q18" s="63"/>
      <c r="R18" s="63"/>
      <c r="S18" s="63"/>
      <c r="T18" s="63"/>
      <c r="U18" s="63"/>
    </row>
    <row r="19" spans="1:21" ht="14.25" customHeight="1" thickBot="1" x14ac:dyDescent="0.35">
      <c r="A19" s="103" t="s">
        <v>56</v>
      </c>
      <c r="C19" s="84"/>
      <c r="D19" s="37"/>
      <c r="E19" s="38"/>
      <c r="F19" s="38"/>
      <c r="G19" s="38"/>
      <c r="H19" s="38"/>
      <c r="I19" s="6"/>
      <c r="J19" s="6"/>
      <c r="K19" s="7"/>
      <c r="L19" s="7"/>
      <c r="M19" s="7"/>
      <c r="N19" s="7"/>
      <c r="O19" s="38"/>
      <c r="P19" s="38"/>
      <c r="Q19" s="38"/>
      <c r="R19" s="38"/>
      <c r="S19" s="38"/>
      <c r="T19" s="38"/>
      <c r="U19" s="38"/>
    </row>
    <row r="20" spans="1:21" ht="39.450000000000003" customHeight="1" thickBot="1" x14ac:dyDescent="0.35">
      <c r="A20" s="241" t="s">
        <v>439</v>
      </c>
      <c r="C20" s="84"/>
      <c r="D20" s="37"/>
      <c r="E20" s="38"/>
      <c r="F20" s="38"/>
      <c r="G20" s="38"/>
      <c r="H20" s="38"/>
      <c r="I20" s="6"/>
      <c r="J20" s="6"/>
      <c r="K20" s="7"/>
      <c r="L20" s="7"/>
      <c r="M20" s="7"/>
      <c r="N20" s="7"/>
      <c r="O20" s="38"/>
      <c r="P20" s="38"/>
      <c r="Q20" s="38"/>
      <c r="R20" s="38"/>
      <c r="S20" s="38"/>
      <c r="T20" s="38"/>
      <c r="U20" s="38"/>
    </row>
    <row r="21" spans="1:21" thickBot="1" x14ac:dyDescent="0.35">
      <c r="A21" s="64"/>
      <c r="B21" s="40"/>
      <c r="C21" s="40"/>
      <c r="D21" s="40"/>
      <c r="E21" s="5"/>
      <c r="F21" s="58"/>
      <c r="G21" s="58"/>
      <c r="H21" s="58"/>
      <c r="I21" s="58"/>
      <c r="J21" s="5"/>
      <c r="K21" s="41"/>
      <c r="L21" s="40"/>
      <c r="M21" s="40"/>
      <c r="N21" s="40"/>
      <c r="O21" s="40"/>
      <c r="P21" s="40"/>
      <c r="Q21" s="40"/>
      <c r="R21" s="40"/>
      <c r="S21" s="40"/>
      <c r="T21" s="40"/>
      <c r="U21" s="40"/>
    </row>
    <row r="22" spans="1:21" thickBot="1" x14ac:dyDescent="0.35">
      <c r="A22" s="92" t="s">
        <v>40</v>
      </c>
      <c r="B22" s="93"/>
      <c r="C22" s="93"/>
      <c r="D22" s="93"/>
      <c r="E22" s="93"/>
      <c r="F22" s="93"/>
      <c r="G22" s="93"/>
      <c r="H22" s="93"/>
      <c r="I22" s="93"/>
      <c r="J22" s="93"/>
      <c r="K22" s="93"/>
      <c r="L22" s="93"/>
      <c r="M22" s="93"/>
      <c r="N22" s="93"/>
      <c r="O22" s="93"/>
      <c r="P22" s="93"/>
      <c r="Q22" s="93"/>
      <c r="R22" s="93"/>
      <c r="S22" s="93"/>
      <c r="T22" s="93"/>
      <c r="U22" s="101"/>
    </row>
    <row r="23" spans="1:21" thickBot="1" x14ac:dyDescent="0.35">
      <c r="A23" s="140" t="s">
        <v>52</v>
      </c>
      <c r="B23" s="141" t="s">
        <v>18</v>
      </c>
      <c r="C23" s="141" t="s">
        <v>109</v>
      </c>
      <c r="D23" s="142" t="s">
        <v>105</v>
      </c>
      <c r="E23" s="141" t="s">
        <v>110</v>
      </c>
      <c r="F23" s="141" t="s">
        <v>106</v>
      </c>
      <c r="G23" s="141" t="s">
        <v>111</v>
      </c>
      <c r="H23" s="141" t="s">
        <v>112</v>
      </c>
      <c r="I23" s="141" t="s">
        <v>113</v>
      </c>
      <c r="J23" s="141" t="s">
        <v>107</v>
      </c>
      <c r="K23" s="141" t="s">
        <v>114</v>
      </c>
      <c r="L23" s="141" t="s">
        <v>108</v>
      </c>
      <c r="M23" s="141" t="s">
        <v>115</v>
      </c>
      <c r="N23" s="141" t="s">
        <v>116</v>
      </c>
      <c r="O23" s="141" t="s">
        <v>117</v>
      </c>
      <c r="P23" s="141" t="s">
        <v>118</v>
      </c>
      <c r="Q23" s="141" t="s">
        <v>119</v>
      </c>
      <c r="R23" s="141" t="s">
        <v>120</v>
      </c>
      <c r="S23" s="143" t="s">
        <v>51</v>
      </c>
      <c r="T23" s="143" t="s">
        <v>121</v>
      </c>
      <c r="U23" s="129" t="s">
        <v>15</v>
      </c>
    </row>
    <row r="24" spans="1:21" ht="15.75" customHeight="1" thickBot="1" x14ac:dyDescent="0.35">
      <c r="A24" s="225" t="s">
        <v>373</v>
      </c>
      <c r="B24" s="226" t="s">
        <v>461</v>
      </c>
      <c r="C24" s="227">
        <f>Tempin</f>
        <v>55</v>
      </c>
      <c r="D24" s="228" t="s">
        <v>210</v>
      </c>
      <c r="E24" s="227">
        <f>Tempin</f>
        <v>55</v>
      </c>
      <c r="F24" s="228" t="s">
        <v>210</v>
      </c>
      <c r="G24" s="229">
        <f>DigesterQDuty</f>
        <v>7695</v>
      </c>
      <c r="H24" s="228" t="s">
        <v>286</v>
      </c>
      <c r="I24" s="229">
        <v>0</v>
      </c>
      <c r="J24" s="228" t="s">
        <v>286</v>
      </c>
      <c r="K24" s="268" t="s">
        <v>27</v>
      </c>
      <c r="L24" s="269" t="s">
        <v>27</v>
      </c>
      <c r="M24" s="268" t="s">
        <v>27</v>
      </c>
      <c r="N24" s="270" t="s">
        <v>27</v>
      </c>
      <c r="O24" s="226">
        <v>5</v>
      </c>
      <c r="P24" s="228" t="s">
        <v>243</v>
      </c>
      <c r="Q24" s="229">
        <v>1</v>
      </c>
      <c r="R24" s="230" t="s">
        <v>433</v>
      </c>
      <c r="S24" s="229" t="s">
        <v>374</v>
      </c>
      <c r="T24" s="229" t="s">
        <v>434</v>
      </c>
      <c r="U24" s="236" t="s">
        <v>437</v>
      </c>
    </row>
    <row r="25" spans="1:21" ht="14.25" customHeight="1" thickBot="1" x14ac:dyDescent="0.35">
      <c r="A25" s="240"/>
      <c r="B25" s="148"/>
      <c r="C25" s="148"/>
      <c r="D25" s="148"/>
      <c r="E25" s="148"/>
      <c r="F25" s="148"/>
      <c r="G25" s="148"/>
      <c r="H25" s="148"/>
      <c r="I25" s="148"/>
      <c r="J25" s="148"/>
      <c r="K25" s="148"/>
      <c r="L25" s="149"/>
      <c r="M25" s="149"/>
      <c r="N25" s="149"/>
      <c r="O25" s="79"/>
      <c r="P25" s="79"/>
      <c r="Q25" s="79"/>
      <c r="R25" s="79"/>
      <c r="S25" s="79"/>
      <c r="T25" s="79"/>
      <c r="U25" s="79"/>
    </row>
    <row r="26" spans="1:21" ht="14.25" customHeight="1" thickBot="1" x14ac:dyDescent="0.35">
      <c r="A26" s="105" t="s">
        <v>44</v>
      </c>
      <c r="B26" s="84"/>
      <c r="C26" s="84"/>
      <c r="D26" s="37"/>
      <c r="E26" s="38"/>
      <c r="F26" s="38"/>
      <c r="G26" s="38"/>
      <c r="H26" s="38"/>
      <c r="I26" s="86"/>
      <c r="J26" s="6"/>
      <c r="K26" s="7"/>
      <c r="L26" s="84"/>
      <c r="M26" s="84"/>
      <c r="N26" s="84"/>
      <c r="O26" s="38"/>
      <c r="P26" s="38"/>
      <c r="Q26" s="38"/>
      <c r="R26" s="38"/>
      <c r="S26" s="38"/>
      <c r="T26" s="38"/>
      <c r="U26" s="38"/>
    </row>
    <row r="27" spans="1:21" ht="57.45" customHeight="1" thickBot="1" x14ac:dyDescent="0.35">
      <c r="A27" s="242" t="s">
        <v>440</v>
      </c>
      <c r="B27" s="84"/>
      <c r="C27" s="84"/>
      <c r="D27" s="37"/>
      <c r="E27" s="38"/>
      <c r="F27" s="38"/>
      <c r="G27" s="38"/>
      <c r="H27" s="38"/>
      <c r="I27" s="6"/>
      <c r="J27" s="6"/>
      <c r="K27" s="7"/>
      <c r="L27" s="84"/>
      <c r="M27" s="84"/>
      <c r="N27" s="84"/>
      <c r="O27" s="38"/>
      <c r="P27" s="38"/>
      <c r="Q27" s="38"/>
      <c r="R27" s="38"/>
      <c r="S27" s="38"/>
      <c r="T27" s="38"/>
      <c r="U27" s="38"/>
    </row>
    <row r="28" spans="1:21" ht="15.75" customHeight="1" thickBot="1" x14ac:dyDescent="0.35">
      <c r="A28" s="67"/>
      <c r="B28" s="56"/>
      <c r="C28" s="56"/>
      <c r="D28" s="56"/>
      <c r="E28" s="68"/>
      <c r="F28" s="43"/>
      <c r="G28" s="43"/>
      <c r="H28" s="43"/>
      <c r="I28" s="43"/>
      <c r="J28" s="45"/>
      <c r="K28" s="45"/>
      <c r="L28" s="45"/>
      <c r="M28" s="65"/>
      <c r="O28" s="45"/>
      <c r="P28" s="45"/>
      <c r="Q28" s="45"/>
      <c r="R28" s="45"/>
      <c r="S28" s="45"/>
      <c r="T28" s="45"/>
      <c r="U28" s="45"/>
    </row>
    <row r="29" spans="1:21" ht="15.75" customHeight="1" thickBot="1" x14ac:dyDescent="0.35">
      <c r="A29" s="124" t="s">
        <v>41</v>
      </c>
      <c r="B29" s="125"/>
      <c r="C29" s="125"/>
      <c r="D29" s="125"/>
      <c r="E29" s="125"/>
      <c r="F29" s="125"/>
      <c r="G29" s="126"/>
      <c r="H29" s="69" t="s">
        <v>122</v>
      </c>
      <c r="I29" s="45"/>
      <c r="J29" s="45"/>
      <c r="K29" s="45"/>
      <c r="L29" s="45"/>
      <c r="M29" s="45"/>
      <c r="N29" s="43"/>
      <c r="O29" s="45"/>
      <c r="P29" s="45"/>
      <c r="Q29" s="45"/>
      <c r="R29" s="45"/>
      <c r="S29" s="45"/>
      <c r="T29" s="45"/>
      <c r="U29" s="45"/>
    </row>
    <row r="30" spans="1:21" ht="15.75" customHeight="1" thickBot="1" x14ac:dyDescent="0.35">
      <c r="A30" s="245" t="s">
        <v>52</v>
      </c>
      <c r="B30" s="246" t="s">
        <v>18</v>
      </c>
      <c r="C30" s="246" t="s">
        <v>103</v>
      </c>
      <c r="D30" s="246" t="s">
        <v>104</v>
      </c>
      <c r="E30" s="246" t="s">
        <v>53</v>
      </c>
      <c r="F30" s="246" t="s">
        <v>39</v>
      </c>
      <c r="G30" s="247" t="s">
        <v>149</v>
      </c>
      <c r="H30" s="71"/>
      <c r="I30" s="70"/>
      <c r="J30" s="72"/>
      <c r="K30" s="48"/>
      <c r="L30" s="48"/>
      <c r="M30" s="48"/>
      <c r="N30" s="45"/>
      <c r="O30" s="45"/>
      <c r="P30" s="45"/>
      <c r="Q30" s="45"/>
      <c r="R30" s="45"/>
      <c r="S30" s="45"/>
      <c r="T30" s="45"/>
      <c r="U30" s="45"/>
    </row>
    <row r="31" spans="1:21" ht="15.75" customHeight="1" x14ac:dyDescent="0.3">
      <c r="A31" s="248" t="s">
        <v>441</v>
      </c>
      <c r="B31" s="249" t="s">
        <v>442</v>
      </c>
      <c r="C31" s="249" t="s">
        <v>443</v>
      </c>
      <c r="D31" s="249" t="s">
        <v>428</v>
      </c>
      <c r="E31" s="250" t="s">
        <v>444</v>
      </c>
      <c r="F31" s="249">
        <f>n</f>
        <v>40</v>
      </c>
      <c r="G31" s="251" t="s">
        <v>417</v>
      </c>
      <c r="H31" s="243"/>
      <c r="I31" s="243"/>
      <c r="J31" s="243"/>
      <c r="K31" s="244"/>
      <c r="L31" s="244"/>
      <c r="M31" s="148"/>
      <c r="N31" s="148"/>
      <c r="O31" s="148"/>
      <c r="P31" s="148"/>
      <c r="Q31" s="148"/>
      <c r="R31" s="148"/>
      <c r="S31" s="148"/>
      <c r="T31" s="148"/>
      <c r="U31" s="148"/>
    </row>
    <row r="32" spans="1:21" ht="15.75" customHeight="1" x14ac:dyDescent="0.3">
      <c r="A32" s="252"/>
      <c r="B32" s="253"/>
      <c r="C32" s="253"/>
      <c r="D32" s="253"/>
      <c r="E32" s="254" t="s">
        <v>259</v>
      </c>
      <c r="F32" s="253">
        <f>i</f>
        <v>0.06</v>
      </c>
      <c r="G32" s="255" t="s">
        <v>27</v>
      </c>
      <c r="H32" s="243"/>
      <c r="I32" s="243"/>
      <c r="J32" s="243"/>
      <c r="K32" s="244"/>
      <c r="L32" s="244"/>
      <c r="M32" s="148"/>
      <c r="N32" s="148"/>
      <c r="O32" s="148"/>
      <c r="P32" s="148"/>
      <c r="Q32" s="148"/>
      <c r="R32" s="148"/>
      <c r="S32" s="148"/>
      <c r="T32" s="148"/>
      <c r="U32" s="148"/>
    </row>
    <row r="33" spans="1:21" ht="15.75" customHeight="1" x14ac:dyDescent="0.3">
      <c r="A33" s="252"/>
      <c r="B33" s="253"/>
      <c r="C33" s="253"/>
      <c r="D33" s="253"/>
      <c r="E33" s="256" t="s">
        <v>445</v>
      </c>
      <c r="F33" s="253">
        <f>digesterCost</f>
        <v>1870000</v>
      </c>
      <c r="G33" s="255" t="s">
        <v>418</v>
      </c>
      <c r="H33" s="243"/>
      <c r="I33" s="243"/>
      <c r="J33" s="243"/>
      <c r="K33" s="244"/>
      <c r="L33" s="244"/>
      <c r="M33" s="148"/>
      <c r="N33" s="148"/>
      <c r="O33" s="148"/>
      <c r="P33" s="148"/>
      <c r="Q33" s="148"/>
      <c r="R33" s="148"/>
      <c r="S33" s="148"/>
      <c r="T33" s="148"/>
      <c r="U33" s="148"/>
    </row>
    <row r="34" spans="1:21" ht="15.75" customHeight="1" thickBot="1" x14ac:dyDescent="0.35">
      <c r="A34" s="257"/>
      <c r="B34" s="258"/>
      <c r="C34" s="258"/>
      <c r="D34" s="258"/>
      <c r="E34" s="259" t="s">
        <v>280</v>
      </c>
      <c r="F34" s="258">
        <f>CEPCI_2008</f>
        <v>575.4</v>
      </c>
      <c r="G34" s="260" t="s">
        <v>27</v>
      </c>
      <c r="H34" s="243"/>
      <c r="I34" s="243"/>
      <c r="J34" s="243"/>
      <c r="K34" s="244"/>
      <c r="L34" s="244"/>
      <c r="M34" s="148"/>
      <c r="N34" s="148"/>
      <c r="O34" s="148"/>
      <c r="P34" s="148"/>
      <c r="Q34" s="148"/>
      <c r="R34" s="148"/>
      <c r="S34" s="148"/>
      <c r="T34" s="148"/>
      <c r="U34" s="148"/>
    </row>
    <row r="35" spans="1:21" ht="42" customHeight="1" thickBot="1" x14ac:dyDescent="0.35">
      <c r="A35" s="106"/>
      <c r="B35" s="73"/>
      <c r="C35" s="150"/>
      <c r="D35" s="73"/>
      <c r="E35" s="73"/>
      <c r="F35" s="73"/>
      <c r="G35" s="73"/>
      <c r="H35" s="70"/>
    </row>
    <row r="36" spans="1:21" ht="15.75" customHeight="1" thickBot="1" x14ac:dyDescent="0.35">
      <c r="A36" s="105" t="s">
        <v>45</v>
      </c>
      <c r="B36" s="84"/>
      <c r="C36" s="84"/>
      <c r="D36" s="70"/>
      <c r="E36" s="70"/>
      <c r="F36" s="70"/>
      <c r="G36" s="70"/>
      <c r="H36" s="75"/>
    </row>
    <row r="37" spans="1:21" ht="34.799999999999997" customHeight="1" thickBot="1" x14ac:dyDescent="0.35">
      <c r="A37" s="104" t="s">
        <v>42</v>
      </c>
      <c r="B37" s="84"/>
      <c r="C37" s="84"/>
      <c r="D37" s="70"/>
      <c r="E37" s="70"/>
      <c r="F37" s="70"/>
      <c r="G37" s="70"/>
      <c r="H37" s="70"/>
    </row>
    <row r="38" spans="1:21" ht="15.75" customHeight="1" thickBot="1" x14ac:dyDescent="0.35">
      <c r="A38" s="74"/>
      <c r="B38" s="75"/>
      <c r="C38" s="60"/>
      <c r="D38" s="75"/>
      <c r="E38" s="75"/>
      <c r="F38" s="75"/>
      <c r="G38" s="75"/>
      <c r="H38" s="70"/>
    </row>
    <row r="39" spans="1:21" ht="15.75" customHeight="1" thickBot="1" x14ac:dyDescent="0.35">
      <c r="A39" s="76" t="s">
        <v>57</v>
      </c>
      <c r="B39" s="77"/>
      <c r="C39" s="78"/>
      <c r="D39" s="70"/>
      <c r="E39" s="70"/>
      <c r="F39" s="70"/>
      <c r="G39" s="70"/>
      <c r="H39" s="70"/>
    </row>
    <row r="40" spans="1:21" ht="15.75" customHeight="1" thickBot="1" x14ac:dyDescent="0.35">
      <c r="A40" s="144" t="s">
        <v>54</v>
      </c>
      <c r="B40" s="145" t="s">
        <v>55</v>
      </c>
      <c r="C40" s="70"/>
      <c r="D40" s="70"/>
      <c r="E40" s="70"/>
      <c r="F40" s="70"/>
      <c r="G40" s="70"/>
      <c r="H40" s="70"/>
    </row>
    <row r="41" spans="1:21" ht="15.75" customHeight="1" thickBot="1" x14ac:dyDescent="0.35">
      <c r="A41" s="138">
        <v>0</v>
      </c>
      <c r="B41" s="146">
        <v>0</v>
      </c>
      <c r="C41" s="70"/>
      <c r="D41" s="70"/>
      <c r="E41" s="70"/>
      <c r="F41" s="70"/>
      <c r="G41" s="70"/>
      <c r="H41" s="70"/>
    </row>
  </sheetData>
  <dataValidations count="4">
    <dataValidation type="list" allowBlank="1" showErrorMessage="1" sqref="B24" xr:uid="{00000000-0002-0000-0400-000002000000}">
      <formula1>"Cold,Hot"</formula1>
    </dataValidation>
    <dataValidation type="list" allowBlank="1" showErrorMessage="1" sqref="C15:C17" xr:uid="{00000000-0002-0000-0400-000000000000}">
      <formula1>"IN,OUT"</formula1>
    </dataValidation>
    <dataValidation type="list" allowBlank="1" showErrorMessage="1" sqref="B15:B17" xr:uid="{00000000-0002-0000-0400-000001000000}">
      <formula1>"MASS,ELECTRICITY,EMISSIONS,ENERGY"</formula1>
    </dataValidation>
    <dataValidation type="list" errorStyle="information" allowBlank="1" showInputMessage="1" showErrorMessage="1" sqref="E15:E17 G15:G17 I15:I17 D24 F24 H24 J24 L24 N24 P24 R24 G31:G34" xr:uid="{46A4A179-4865-46C1-9EFD-3B884D1D9353}">
      <formula1>"-,kg,s,m,K,°C,W,bar,kg/h,t/h,kW,kW/m2K,W/m2K,kJ/kgK,kJ/kg,m3/h,Nm3/t,kWh/Nm3,Nm3/h,%,kg/kmol,eur,eur/year,eur/kW,kWel/kWth,year, days"</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35ACC-DBE4-407F-BEAE-461D9BA2BFDE}">
  <sheetPr codeName="Sheet6"/>
  <dimension ref="A1:U42"/>
  <sheetViews>
    <sheetView showGridLines="0" zoomScale="71" zoomScaleNormal="85" workbookViewId="0">
      <selection activeCell="L15" sqref="L15"/>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5" t="s">
        <v>46</v>
      </c>
      <c r="B1" s="84"/>
      <c r="C1" s="84"/>
      <c r="D1" s="37"/>
      <c r="E1" s="38"/>
      <c r="F1" s="38"/>
      <c r="G1" s="38"/>
      <c r="H1" s="38"/>
      <c r="I1" s="6"/>
      <c r="J1" s="6"/>
      <c r="K1" s="7"/>
      <c r="L1" s="7"/>
      <c r="M1" s="7"/>
      <c r="N1" s="7"/>
    </row>
    <row r="2" spans="1:21" ht="61.2" customHeight="1" thickBot="1" x14ac:dyDescent="0.35">
      <c r="A2" s="241" t="s">
        <v>446</v>
      </c>
      <c r="B2" s="84"/>
      <c r="C2" s="84"/>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5"/>
      <c r="B4" s="39"/>
      <c r="C4" s="39"/>
      <c r="D4" s="6"/>
      <c r="E4" s="40"/>
      <c r="F4" s="40"/>
      <c r="G4" s="40"/>
      <c r="H4" s="41"/>
      <c r="I4" s="42"/>
      <c r="J4" s="42"/>
      <c r="K4" s="42"/>
      <c r="L4" s="42"/>
      <c r="M4" s="42"/>
      <c r="N4" s="42"/>
    </row>
    <row r="5" spans="1:21" thickBot="1" x14ac:dyDescent="0.35">
      <c r="A5" s="88" t="s">
        <v>48</v>
      </c>
      <c r="B5" s="89" t="s">
        <v>50</v>
      </c>
      <c r="C5" s="90" t="s">
        <v>49</v>
      </c>
      <c r="D5" s="66" t="s">
        <v>150</v>
      </c>
      <c r="E5" s="45"/>
      <c r="F5" s="45"/>
      <c r="G5" s="45"/>
      <c r="H5" s="44"/>
      <c r="I5" s="7"/>
      <c r="J5" s="7"/>
      <c r="K5" s="7"/>
      <c r="L5" s="7"/>
      <c r="M5" s="7"/>
      <c r="N5" s="7"/>
    </row>
    <row r="6" spans="1:21" thickBot="1" x14ac:dyDescent="0.35">
      <c r="A6" s="138" t="s">
        <v>375</v>
      </c>
      <c r="B6" s="147">
        <v>0</v>
      </c>
      <c r="C6" s="146">
        <v>10000</v>
      </c>
      <c r="D6" s="46"/>
      <c r="E6" s="47"/>
      <c r="F6" s="48"/>
      <c r="G6" s="48"/>
      <c r="H6" s="49"/>
      <c r="I6" s="38"/>
      <c r="J6" s="38"/>
      <c r="K6" s="38"/>
      <c r="L6" s="38"/>
      <c r="M6" s="38"/>
      <c r="N6" s="38"/>
    </row>
    <row r="7" spans="1:21" thickBot="1" x14ac:dyDescent="0.35">
      <c r="A7" s="50"/>
      <c r="B7" s="51"/>
      <c r="C7" s="51"/>
      <c r="D7" s="52"/>
      <c r="E7" s="5"/>
      <c r="F7" s="40"/>
      <c r="G7" s="40"/>
      <c r="H7" s="41"/>
      <c r="I7" s="40"/>
      <c r="J7" s="40"/>
      <c r="K7" s="40"/>
      <c r="L7" s="40"/>
      <c r="M7" s="40"/>
      <c r="N7" s="40"/>
    </row>
    <row r="8" spans="1:21" ht="17.25" customHeight="1" thickBot="1" x14ac:dyDescent="0.35">
      <c r="A8" s="102" t="s">
        <v>47</v>
      </c>
      <c r="B8" s="84"/>
      <c r="C8" s="84"/>
      <c r="D8" s="41"/>
      <c r="E8" s="5"/>
      <c r="F8" s="40"/>
      <c r="G8" s="40"/>
      <c r="H8" s="41"/>
      <c r="I8" s="40"/>
      <c r="J8" s="40"/>
      <c r="K8" s="40"/>
      <c r="L8" s="40"/>
      <c r="M8" s="40"/>
      <c r="N8" s="40"/>
    </row>
    <row r="9" spans="1:21" ht="61.2" customHeight="1" thickBot="1" x14ac:dyDescent="0.35">
      <c r="A9" s="241" t="s">
        <v>447</v>
      </c>
      <c r="B9" s="84"/>
      <c r="C9" s="84"/>
      <c r="D9" s="5"/>
      <c r="E9" s="5"/>
      <c r="F9" s="40"/>
      <c r="G9" s="40"/>
      <c r="H9" s="41"/>
      <c r="I9" s="40"/>
      <c r="J9" s="40"/>
      <c r="K9" s="40"/>
      <c r="L9" s="40"/>
      <c r="M9" s="40"/>
      <c r="N9" s="40"/>
    </row>
    <row r="10" spans="1:21" thickBot="1" x14ac:dyDescent="0.35">
      <c r="A10" s="53"/>
      <c r="B10" s="40"/>
      <c r="C10" s="40"/>
      <c r="D10" s="5"/>
      <c r="E10" s="5"/>
      <c r="F10" s="40"/>
      <c r="G10" s="40"/>
      <c r="H10" s="41"/>
      <c r="I10" s="40"/>
      <c r="J10" s="40"/>
      <c r="K10" s="40"/>
      <c r="L10" s="40"/>
      <c r="M10" s="40"/>
      <c r="N10" s="40"/>
    </row>
    <row r="11" spans="1:21" thickBot="1" x14ac:dyDescent="0.35">
      <c r="A11" s="54" t="s">
        <v>59</v>
      </c>
      <c r="B11" s="40"/>
      <c r="C11" s="40"/>
      <c r="D11" s="5"/>
      <c r="E11" s="5"/>
      <c r="F11" s="40"/>
      <c r="G11" s="40"/>
      <c r="H11" s="41"/>
      <c r="I11" s="40"/>
      <c r="J11" s="40"/>
      <c r="K11" s="40"/>
      <c r="L11" s="40"/>
      <c r="M11" s="40"/>
      <c r="N11" s="40"/>
    </row>
    <row r="12" spans="1:21" thickBot="1" x14ac:dyDescent="0.35">
      <c r="A12" s="55" t="s">
        <v>58</v>
      </c>
      <c r="B12" s="56"/>
      <c r="D12" s="56"/>
      <c r="E12" s="56"/>
      <c r="F12" s="56"/>
      <c r="G12" s="56"/>
      <c r="H12" s="56"/>
      <c r="I12" s="57"/>
      <c r="J12" s="56"/>
      <c r="K12" s="56"/>
      <c r="L12" s="56"/>
      <c r="M12" s="43"/>
      <c r="N12" s="43"/>
    </row>
    <row r="13" spans="1:21" ht="19.5" customHeight="1" thickBot="1" x14ac:dyDescent="0.35">
      <c r="A13" s="87" t="s">
        <v>2</v>
      </c>
      <c r="B13" s="91"/>
      <c r="C13" s="91"/>
      <c r="D13" s="91"/>
      <c r="E13" s="91"/>
      <c r="F13" s="91"/>
      <c r="G13" s="91"/>
      <c r="H13" s="91"/>
      <c r="I13" s="91"/>
      <c r="J13" s="91"/>
      <c r="K13" s="91"/>
      <c r="L13" s="94"/>
      <c r="M13" s="94"/>
      <c r="N13" s="101"/>
    </row>
    <row r="14" spans="1:21" thickBot="1" x14ac:dyDescent="0.35">
      <c r="A14" s="109" t="s">
        <v>17</v>
      </c>
      <c r="B14" s="110" t="s">
        <v>18</v>
      </c>
      <c r="C14" s="110" t="s">
        <v>38</v>
      </c>
      <c r="D14" s="110" t="s">
        <v>147</v>
      </c>
      <c r="E14" s="110" t="s">
        <v>148</v>
      </c>
      <c r="F14" s="110" t="s">
        <v>145</v>
      </c>
      <c r="G14" s="111" t="s">
        <v>21</v>
      </c>
      <c r="H14" s="110" t="s">
        <v>146</v>
      </c>
      <c r="I14" s="110" t="s">
        <v>23</v>
      </c>
      <c r="J14" s="110" t="s">
        <v>24</v>
      </c>
      <c r="K14" s="110" t="s">
        <v>25</v>
      </c>
      <c r="L14" s="139" t="s">
        <v>26</v>
      </c>
      <c r="M14" s="139" t="s">
        <v>121</v>
      </c>
      <c r="N14" s="129" t="s">
        <v>15</v>
      </c>
    </row>
    <row r="15" spans="1:21" ht="14.4" x14ac:dyDescent="0.3">
      <c r="A15" s="261" t="s">
        <v>362</v>
      </c>
      <c r="B15" s="186" t="s">
        <v>361</v>
      </c>
      <c r="C15" s="186" t="s">
        <v>371</v>
      </c>
      <c r="D15" s="220">
        <f>TotalElec</f>
        <v>9973.303094923167</v>
      </c>
      <c r="E15" s="186" t="s">
        <v>286</v>
      </c>
      <c r="F15" s="221" t="s">
        <v>27</v>
      </c>
      <c r="G15" s="221" t="s">
        <v>27</v>
      </c>
      <c r="H15" s="221" t="s">
        <v>27</v>
      </c>
      <c r="I15" s="221" t="s">
        <v>27</v>
      </c>
      <c r="J15" s="221" t="s">
        <v>27</v>
      </c>
      <c r="K15" s="221" t="s">
        <v>27</v>
      </c>
      <c r="L15" s="186" t="s">
        <v>27</v>
      </c>
      <c r="M15" s="233" t="s">
        <v>434</v>
      </c>
      <c r="N15" s="237" t="s">
        <v>430</v>
      </c>
      <c r="O15" s="1"/>
      <c r="P15" s="1"/>
      <c r="Q15" s="1"/>
      <c r="R15" s="1"/>
      <c r="S15" s="1"/>
      <c r="T15" s="1"/>
      <c r="U15" s="1"/>
    </row>
    <row r="16" spans="1:21" ht="14.4" x14ac:dyDescent="0.3">
      <c r="A16" s="216" t="s">
        <v>368</v>
      </c>
      <c r="B16" s="178" t="s">
        <v>358</v>
      </c>
      <c r="C16" s="178" t="s">
        <v>371</v>
      </c>
      <c r="D16" s="217">
        <f>Biogas_MassFlow</f>
        <v>35829.755918059847</v>
      </c>
      <c r="E16" s="178" t="s">
        <v>313</v>
      </c>
      <c r="F16" s="218">
        <v>55</v>
      </c>
      <c r="G16" s="218" t="s">
        <v>210</v>
      </c>
      <c r="H16" s="218">
        <v>1</v>
      </c>
      <c r="I16" s="218" t="s">
        <v>248</v>
      </c>
      <c r="J16" s="218">
        <v>-1</v>
      </c>
      <c r="K16" s="218" t="s">
        <v>377</v>
      </c>
      <c r="L16" s="178" t="s">
        <v>429</v>
      </c>
      <c r="M16" s="234" t="s">
        <v>434</v>
      </c>
      <c r="N16" s="238" t="s">
        <v>384</v>
      </c>
      <c r="O16" s="215"/>
      <c r="P16" s="215"/>
      <c r="Q16" s="215"/>
      <c r="R16" s="215"/>
      <c r="S16" s="215"/>
      <c r="T16" s="215"/>
      <c r="U16" s="215"/>
    </row>
    <row r="17" spans="1:21" ht="14.4" x14ac:dyDescent="0.3">
      <c r="A17" s="262" t="s">
        <v>360</v>
      </c>
      <c r="B17" s="178" t="s">
        <v>431</v>
      </c>
      <c r="C17" s="178" t="s">
        <v>372</v>
      </c>
      <c r="D17" s="217">
        <f>CH4_kW</f>
        <v>154407.31147182165</v>
      </c>
      <c r="E17" s="178" t="s">
        <v>286</v>
      </c>
      <c r="F17" s="218">
        <v>25</v>
      </c>
      <c r="G17" s="218" t="s">
        <v>210</v>
      </c>
      <c r="H17" s="218">
        <v>1</v>
      </c>
      <c r="I17" s="218" t="s">
        <v>248</v>
      </c>
      <c r="J17" s="218">
        <v>-1</v>
      </c>
      <c r="K17" s="218" t="s">
        <v>377</v>
      </c>
      <c r="L17" s="178" t="s">
        <v>381</v>
      </c>
      <c r="M17" s="234" t="s">
        <v>435</v>
      </c>
      <c r="N17" s="238" t="s">
        <v>386</v>
      </c>
      <c r="O17" s="215"/>
      <c r="P17" s="215"/>
      <c r="Q17" s="215"/>
      <c r="R17" s="215"/>
      <c r="S17" s="215"/>
      <c r="T17" s="215"/>
      <c r="U17" s="215"/>
    </row>
    <row r="18" spans="1:21" thickBot="1" x14ac:dyDescent="0.35">
      <c r="A18" s="222" t="s">
        <v>357</v>
      </c>
      <c r="B18" s="182" t="s">
        <v>358</v>
      </c>
      <c r="C18" s="182" t="s">
        <v>372</v>
      </c>
      <c r="D18" s="223">
        <f>CO2_MassFlow</f>
        <v>24712.42949208869</v>
      </c>
      <c r="E18" s="182" t="s">
        <v>313</v>
      </c>
      <c r="F18" s="224">
        <v>25</v>
      </c>
      <c r="G18" s="224" t="s">
        <v>210</v>
      </c>
      <c r="H18" s="224">
        <v>1</v>
      </c>
      <c r="I18" s="224" t="s">
        <v>248</v>
      </c>
      <c r="J18" s="224">
        <v>-1</v>
      </c>
      <c r="K18" s="224" t="s">
        <v>377</v>
      </c>
      <c r="L18" s="182" t="s">
        <v>380</v>
      </c>
      <c r="M18" s="235" t="s">
        <v>434</v>
      </c>
      <c r="N18" s="239" t="s">
        <v>385</v>
      </c>
      <c r="O18" s="215"/>
      <c r="P18" s="215"/>
      <c r="Q18" s="215"/>
      <c r="R18" s="215"/>
      <c r="S18" s="215"/>
      <c r="T18" s="215"/>
      <c r="U18" s="215"/>
    </row>
    <row r="19" spans="1:21" thickBot="1" x14ac:dyDescent="0.35">
      <c r="A19" s="59"/>
      <c r="B19" s="51"/>
      <c r="C19" s="51"/>
      <c r="D19" s="51"/>
      <c r="E19" s="60"/>
      <c r="F19" s="61"/>
      <c r="G19" s="61"/>
      <c r="H19" s="61"/>
      <c r="I19" s="61"/>
      <c r="J19" s="60"/>
      <c r="K19" s="62"/>
      <c r="L19" s="51"/>
      <c r="M19" s="63"/>
      <c r="N19" s="51"/>
      <c r="O19" s="63"/>
      <c r="P19" s="63"/>
      <c r="Q19" s="63"/>
      <c r="R19" s="63"/>
      <c r="S19" s="63"/>
      <c r="T19" s="63"/>
      <c r="U19" s="63"/>
    </row>
    <row r="20" spans="1:21" ht="14.25" customHeight="1" thickBot="1" x14ac:dyDescent="0.35">
      <c r="A20" s="103" t="s">
        <v>56</v>
      </c>
      <c r="C20" s="84"/>
      <c r="D20" s="37"/>
      <c r="E20" s="38"/>
      <c r="F20" s="38"/>
      <c r="G20" s="38"/>
      <c r="H20" s="38"/>
      <c r="I20" s="6"/>
      <c r="J20" s="6"/>
      <c r="K20" s="7"/>
      <c r="L20" s="7"/>
      <c r="M20" s="7"/>
      <c r="N20" s="7"/>
      <c r="O20" s="38"/>
      <c r="P20" s="38"/>
      <c r="Q20" s="38"/>
      <c r="R20" s="38"/>
      <c r="S20" s="38"/>
      <c r="T20" s="38"/>
      <c r="U20" s="38"/>
    </row>
    <row r="21" spans="1:21" ht="39.450000000000003" customHeight="1" thickBot="1" x14ac:dyDescent="0.35">
      <c r="A21" s="241" t="s">
        <v>448</v>
      </c>
      <c r="C21" s="84"/>
      <c r="D21" s="37"/>
      <c r="E21" s="38"/>
      <c r="F21" s="38"/>
      <c r="G21" s="38"/>
      <c r="H21" s="38"/>
      <c r="I21" s="6"/>
      <c r="J21" s="6"/>
      <c r="K21" s="7"/>
      <c r="L21" s="7"/>
      <c r="M21" s="7"/>
      <c r="N21" s="7"/>
      <c r="O21" s="38"/>
      <c r="P21" s="38"/>
      <c r="Q21" s="38"/>
      <c r="R21" s="38"/>
      <c r="S21" s="38"/>
      <c r="T21" s="38"/>
      <c r="U21" s="38"/>
    </row>
    <row r="22" spans="1:21" thickBot="1" x14ac:dyDescent="0.35">
      <c r="A22" s="64"/>
      <c r="B22" s="40"/>
      <c r="C22" s="40"/>
      <c r="D22" s="40"/>
      <c r="E22" s="5"/>
      <c r="F22" s="58"/>
      <c r="G22" s="58"/>
      <c r="H22" s="58"/>
      <c r="I22" s="58"/>
      <c r="J22" s="5"/>
      <c r="K22" s="41"/>
      <c r="L22" s="40"/>
      <c r="M22" s="40"/>
      <c r="N22" s="40"/>
      <c r="O22" s="40"/>
      <c r="P22" s="40"/>
      <c r="Q22" s="40"/>
      <c r="R22" s="40"/>
      <c r="S22" s="40"/>
      <c r="T22" s="40"/>
      <c r="U22" s="40"/>
    </row>
    <row r="23" spans="1:21" thickBot="1" x14ac:dyDescent="0.35">
      <c r="A23" s="92" t="s">
        <v>40</v>
      </c>
      <c r="B23" s="93"/>
      <c r="C23" s="93"/>
      <c r="D23" s="93"/>
      <c r="E23" s="93"/>
      <c r="F23" s="93"/>
      <c r="G23" s="93"/>
      <c r="H23" s="93"/>
      <c r="I23" s="93"/>
      <c r="J23" s="93"/>
      <c r="K23" s="93"/>
      <c r="L23" s="93"/>
      <c r="M23" s="93"/>
      <c r="N23" s="93"/>
      <c r="O23" s="93"/>
      <c r="P23" s="93"/>
      <c r="Q23" s="93"/>
      <c r="R23" s="93"/>
      <c r="S23" s="93"/>
      <c r="T23" s="93"/>
      <c r="U23" s="101"/>
    </row>
    <row r="24" spans="1:21" thickBot="1" x14ac:dyDescent="0.35">
      <c r="A24" s="140" t="s">
        <v>52</v>
      </c>
      <c r="B24" s="141" t="s">
        <v>18</v>
      </c>
      <c r="C24" s="141" t="s">
        <v>109</v>
      </c>
      <c r="D24" s="142" t="s">
        <v>105</v>
      </c>
      <c r="E24" s="141" t="s">
        <v>110</v>
      </c>
      <c r="F24" s="141" t="s">
        <v>106</v>
      </c>
      <c r="G24" s="141" t="s">
        <v>111</v>
      </c>
      <c r="H24" s="141" t="s">
        <v>112</v>
      </c>
      <c r="I24" s="141" t="s">
        <v>113</v>
      </c>
      <c r="J24" s="141" t="s">
        <v>107</v>
      </c>
      <c r="K24" s="141" t="s">
        <v>114</v>
      </c>
      <c r="L24" s="141" t="s">
        <v>108</v>
      </c>
      <c r="M24" s="141" t="s">
        <v>115</v>
      </c>
      <c r="N24" s="141" t="s">
        <v>116</v>
      </c>
      <c r="O24" s="141" t="s">
        <v>117</v>
      </c>
      <c r="P24" s="141" t="s">
        <v>118</v>
      </c>
      <c r="Q24" s="141" t="s">
        <v>119</v>
      </c>
      <c r="R24" s="141" t="s">
        <v>120</v>
      </c>
      <c r="S24" s="143" t="s">
        <v>51</v>
      </c>
      <c r="T24" s="143" t="s">
        <v>121</v>
      </c>
      <c r="U24" s="129" t="s">
        <v>15</v>
      </c>
    </row>
    <row r="25" spans="1:21" ht="15.75" customHeight="1" thickBot="1" x14ac:dyDescent="0.35">
      <c r="A25" s="225" t="s">
        <v>27</v>
      </c>
      <c r="B25" s="226" t="s">
        <v>27</v>
      </c>
      <c r="C25" s="227" t="s">
        <v>27</v>
      </c>
      <c r="D25" s="228" t="s">
        <v>27</v>
      </c>
      <c r="E25" s="227" t="s">
        <v>27</v>
      </c>
      <c r="F25" s="228" t="s">
        <v>27</v>
      </c>
      <c r="G25" s="229" t="s">
        <v>27</v>
      </c>
      <c r="H25" s="228" t="s">
        <v>27</v>
      </c>
      <c r="I25" s="229" t="s">
        <v>27</v>
      </c>
      <c r="J25" s="228" t="s">
        <v>27</v>
      </c>
      <c r="K25" s="229" t="s">
        <v>27</v>
      </c>
      <c r="L25" s="230" t="s">
        <v>27</v>
      </c>
      <c r="M25" s="229" t="s">
        <v>27</v>
      </c>
      <c r="N25" s="228" t="s">
        <v>27</v>
      </c>
      <c r="O25" s="226" t="s">
        <v>27</v>
      </c>
      <c r="P25" s="228" t="s">
        <v>27</v>
      </c>
      <c r="Q25" s="229" t="s">
        <v>27</v>
      </c>
      <c r="R25" s="230" t="s">
        <v>27</v>
      </c>
      <c r="S25" s="229" t="s">
        <v>27</v>
      </c>
      <c r="T25" s="229" t="s">
        <v>27</v>
      </c>
      <c r="U25" s="231" t="s">
        <v>27</v>
      </c>
    </row>
    <row r="26" spans="1:21" ht="14.25" customHeight="1" thickBot="1" x14ac:dyDescent="0.35">
      <c r="A26" s="148"/>
      <c r="B26" s="148"/>
      <c r="C26" s="148"/>
      <c r="D26" s="148"/>
      <c r="E26" s="148"/>
      <c r="F26" s="148"/>
      <c r="G26" s="148"/>
      <c r="H26" s="148"/>
      <c r="I26" s="148"/>
      <c r="J26" s="148"/>
      <c r="K26" s="148"/>
      <c r="L26" s="149"/>
      <c r="M26" s="149"/>
      <c r="N26" s="149"/>
      <c r="O26" s="79"/>
      <c r="P26" s="79"/>
      <c r="Q26" s="79"/>
      <c r="R26" s="79"/>
      <c r="S26" s="79"/>
      <c r="T26" s="79"/>
      <c r="U26" s="79"/>
    </row>
    <row r="27" spans="1:21" ht="14.25" customHeight="1" thickBot="1" x14ac:dyDescent="0.35">
      <c r="A27" s="105" t="s">
        <v>44</v>
      </c>
      <c r="B27" s="84"/>
      <c r="C27" s="84"/>
      <c r="D27" s="37"/>
      <c r="E27" s="38"/>
      <c r="F27" s="38"/>
      <c r="G27" s="38"/>
      <c r="H27" s="38"/>
      <c r="I27" s="86"/>
      <c r="J27" s="6"/>
      <c r="K27" s="7"/>
      <c r="L27" s="84"/>
      <c r="M27" s="84"/>
      <c r="N27" s="84"/>
      <c r="O27" s="38"/>
      <c r="P27" s="38"/>
      <c r="Q27" s="38"/>
      <c r="R27" s="38"/>
      <c r="S27" s="38"/>
      <c r="T27" s="38"/>
      <c r="U27" s="38"/>
    </row>
    <row r="28" spans="1:21" ht="57.45" customHeight="1" thickBot="1" x14ac:dyDescent="0.35">
      <c r="A28" s="242" t="s">
        <v>449</v>
      </c>
      <c r="B28" s="84"/>
      <c r="C28" s="84"/>
      <c r="D28" s="37"/>
      <c r="E28" s="38"/>
      <c r="F28" s="38"/>
      <c r="G28" s="38"/>
      <c r="H28" s="38"/>
      <c r="I28" s="6"/>
      <c r="J28" s="6"/>
      <c r="K28" s="7"/>
      <c r="L28" s="84"/>
      <c r="M28" s="84"/>
      <c r="N28" s="84"/>
      <c r="O28" s="38"/>
      <c r="P28" s="38"/>
      <c r="Q28" s="38"/>
      <c r="R28" s="38"/>
      <c r="S28" s="38"/>
      <c r="T28" s="38"/>
      <c r="U28" s="38"/>
    </row>
    <row r="29" spans="1:21" ht="15.75" customHeight="1" thickBot="1" x14ac:dyDescent="0.35">
      <c r="A29" s="67"/>
      <c r="B29" s="56"/>
      <c r="C29" s="56"/>
      <c r="D29" s="56"/>
      <c r="E29" s="68"/>
      <c r="F29" s="43"/>
      <c r="G29" s="43"/>
      <c r="H29" s="43"/>
      <c r="I29" s="43"/>
      <c r="J29" s="45"/>
      <c r="K29" s="45"/>
      <c r="L29" s="45"/>
      <c r="M29" s="65"/>
      <c r="O29" s="45"/>
      <c r="P29" s="45"/>
      <c r="Q29" s="45"/>
      <c r="R29" s="45"/>
      <c r="S29" s="45"/>
      <c r="T29" s="45"/>
      <c r="U29" s="45"/>
    </row>
    <row r="30" spans="1:21" ht="15.75" customHeight="1" thickBot="1" x14ac:dyDescent="0.35">
      <c r="A30" s="124" t="s">
        <v>41</v>
      </c>
      <c r="B30" s="125"/>
      <c r="C30" s="125"/>
      <c r="D30" s="125"/>
      <c r="E30" s="125"/>
      <c r="F30" s="125"/>
      <c r="G30" s="126"/>
      <c r="H30" s="69" t="s">
        <v>122</v>
      </c>
      <c r="I30" s="45"/>
      <c r="J30" s="45"/>
      <c r="K30" s="45"/>
      <c r="L30" s="45"/>
      <c r="M30" s="45"/>
      <c r="N30" s="43"/>
      <c r="O30" s="45"/>
      <c r="P30" s="45"/>
      <c r="Q30" s="45"/>
      <c r="R30" s="45"/>
      <c r="S30" s="45"/>
      <c r="T30" s="45"/>
      <c r="U30" s="45"/>
    </row>
    <row r="31" spans="1:21" ht="15.75" customHeight="1" thickBot="1" x14ac:dyDescent="0.35">
      <c r="A31" s="109" t="s">
        <v>52</v>
      </c>
      <c r="B31" s="110" t="s">
        <v>18</v>
      </c>
      <c r="C31" s="110" t="s">
        <v>103</v>
      </c>
      <c r="D31" s="110" t="s">
        <v>104</v>
      </c>
      <c r="E31" s="110" t="s">
        <v>53</v>
      </c>
      <c r="F31" s="110" t="s">
        <v>39</v>
      </c>
      <c r="G31" s="112" t="s">
        <v>149</v>
      </c>
      <c r="H31" s="71"/>
      <c r="I31" s="70"/>
      <c r="J31" s="72"/>
      <c r="K31" s="48"/>
      <c r="L31" s="48"/>
      <c r="M31" s="48"/>
      <c r="N31" s="45"/>
      <c r="O31" s="45"/>
      <c r="P31" s="45"/>
      <c r="Q31" s="45"/>
      <c r="R31" s="45"/>
      <c r="S31" s="45"/>
      <c r="T31" s="45"/>
      <c r="U31" s="45"/>
    </row>
    <row r="32" spans="1:21" ht="15.75" customHeight="1" x14ac:dyDescent="0.3">
      <c r="A32" s="248" t="s">
        <v>450</v>
      </c>
      <c r="B32" s="249" t="s">
        <v>442</v>
      </c>
      <c r="C32" s="249" t="s">
        <v>451</v>
      </c>
      <c r="D32" s="249" t="s">
        <v>452</v>
      </c>
      <c r="E32" s="250" t="s">
        <v>444</v>
      </c>
      <c r="F32" s="249">
        <f>n</f>
        <v>40</v>
      </c>
      <c r="G32" s="251" t="s">
        <v>417</v>
      </c>
      <c r="H32" s="243"/>
      <c r="I32" s="243"/>
      <c r="J32" s="243"/>
      <c r="K32" s="244"/>
      <c r="L32" s="244"/>
      <c r="M32" s="148"/>
      <c r="N32" s="148"/>
      <c r="O32" s="148"/>
      <c r="P32" s="148"/>
      <c r="Q32" s="148"/>
      <c r="R32" s="148"/>
      <c r="S32" s="148"/>
      <c r="T32" s="148"/>
      <c r="U32" s="148"/>
    </row>
    <row r="33" spans="1:21" ht="15.75" customHeight="1" x14ac:dyDescent="0.3">
      <c r="A33" s="252"/>
      <c r="B33" s="253"/>
      <c r="C33" s="253"/>
      <c r="D33" s="253"/>
      <c r="E33" s="254" t="s">
        <v>259</v>
      </c>
      <c r="F33" s="253">
        <f>i</f>
        <v>0.06</v>
      </c>
      <c r="G33" s="255" t="s">
        <v>27</v>
      </c>
      <c r="H33" s="243"/>
      <c r="I33" s="243"/>
      <c r="J33" s="243"/>
      <c r="K33" s="244"/>
      <c r="L33" s="244"/>
      <c r="M33" s="148"/>
      <c r="N33" s="148"/>
      <c r="O33" s="148"/>
      <c r="P33" s="148"/>
      <c r="Q33" s="148"/>
      <c r="R33" s="148"/>
      <c r="S33" s="148"/>
      <c r="T33" s="148"/>
      <c r="U33" s="148"/>
    </row>
    <row r="34" spans="1:21" ht="15.75" customHeight="1" x14ac:dyDescent="0.3">
      <c r="A34" s="252"/>
      <c r="B34" s="253"/>
      <c r="C34" s="253"/>
      <c r="D34" s="253"/>
      <c r="E34" s="256" t="s">
        <v>445</v>
      </c>
      <c r="F34" s="253">
        <f>waterScrubCost</f>
        <v>1500</v>
      </c>
      <c r="G34" s="255" t="s">
        <v>421</v>
      </c>
      <c r="H34" s="243"/>
      <c r="I34" s="243"/>
      <c r="J34" s="243"/>
      <c r="K34" s="244"/>
      <c r="L34" s="244"/>
      <c r="M34" s="148"/>
      <c r="N34" s="148"/>
      <c r="O34" s="148"/>
      <c r="P34" s="148"/>
      <c r="Q34" s="148"/>
      <c r="R34" s="148"/>
      <c r="S34" s="148"/>
      <c r="T34" s="148"/>
      <c r="U34" s="148"/>
    </row>
    <row r="35" spans="1:21" ht="15.75" customHeight="1" thickBot="1" x14ac:dyDescent="0.35">
      <c r="A35" s="257"/>
      <c r="B35" s="258"/>
      <c r="C35" s="258"/>
      <c r="D35" s="258"/>
      <c r="E35" s="259" t="s">
        <v>280</v>
      </c>
      <c r="F35" s="258">
        <v>575.4</v>
      </c>
      <c r="G35" s="260" t="s">
        <v>27</v>
      </c>
      <c r="H35" s="243"/>
      <c r="I35" s="243"/>
      <c r="J35" s="243"/>
      <c r="K35" s="244"/>
      <c r="L35" s="244"/>
      <c r="M35" s="148"/>
      <c r="N35" s="148"/>
      <c r="O35" s="148"/>
      <c r="P35" s="148"/>
      <c r="Q35" s="148"/>
      <c r="R35" s="148"/>
      <c r="S35" s="148"/>
      <c r="T35" s="148"/>
      <c r="U35" s="148"/>
    </row>
    <row r="36" spans="1:21" ht="42" customHeight="1" thickBot="1" x14ac:dyDescent="0.35">
      <c r="A36" s="106"/>
      <c r="B36" s="73"/>
      <c r="C36" s="150"/>
      <c r="D36" s="73"/>
      <c r="E36" s="73"/>
      <c r="F36" s="73"/>
      <c r="G36" s="73"/>
      <c r="H36" s="70"/>
    </row>
    <row r="37" spans="1:21" ht="15.75" customHeight="1" thickBot="1" x14ac:dyDescent="0.35">
      <c r="A37" s="105" t="s">
        <v>45</v>
      </c>
      <c r="B37" s="84"/>
      <c r="C37" s="84"/>
      <c r="D37" s="70"/>
      <c r="E37" s="70"/>
      <c r="F37" s="70"/>
      <c r="G37" s="70"/>
      <c r="H37" s="75"/>
    </row>
    <row r="38" spans="1:21" ht="34.799999999999997" customHeight="1" thickBot="1" x14ac:dyDescent="0.35">
      <c r="A38" s="104" t="s">
        <v>42</v>
      </c>
      <c r="B38" s="84"/>
      <c r="C38" s="84"/>
      <c r="D38" s="70"/>
      <c r="E38" s="70"/>
      <c r="F38" s="70"/>
      <c r="G38" s="70"/>
      <c r="H38" s="70"/>
    </row>
    <row r="39" spans="1:21" ht="15.75" customHeight="1" thickBot="1" x14ac:dyDescent="0.35">
      <c r="A39" s="74"/>
      <c r="B39" s="75"/>
      <c r="C39" s="60"/>
      <c r="D39" s="75"/>
      <c r="E39" s="75"/>
      <c r="F39" s="75"/>
      <c r="G39" s="75"/>
      <c r="H39" s="70"/>
    </row>
    <row r="40" spans="1:21" ht="15.75" customHeight="1" thickBot="1" x14ac:dyDescent="0.35">
      <c r="A40" s="76" t="s">
        <v>57</v>
      </c>
      <c r="B40" s="77"/>
      <c r="C40" s="78"/>
      <c r="D40" s="70"/>
      <c r="E40" s="70"/>
      <c r="F40" s="70"/>
      <c r="G40" s="70"/>
      <c r="H40" s="70"/>
    </row>
    <row r="41" spans="1:21" ht="15.75" customHeight="1" thickBot="1" x14ac:dyDescent="0.35">
      <c r="A41" s="144" t="s">
        <v>54</v>
      </c>
      <c r="B41" s="145" t="s">
        <v>55</v>
      </c>
      <c r="C41" s="70"/>
      <c r="D41" s="70"/>
      <c r="E41" s="70"/>
      <c r="F41" s="70"/>
      <c r="G41" s="70"/>
      <c r="H41" s="70"/>
    </row>
    <row r="42" spans="1:21" ht="15.75" customHeight="1" thickBot="1" x14ac:dyDescent="0.35">
      <c r="A42" s="138">
        <v>0</v>
      </c>
      <c r="B42" s="146">
        <v>0</v>
      </c>
      <c r="C42" s="70"/>
      <c r="D42" s="70"/>
      <c r="E42" s="70"/>
      <c r="F42" s="70"/>
      <c r="G42" s="70"/>
      <c r="H42" s="70"/>
    </row>
  </sheetData>
  <dataValidations count="4">
    <dataValidation type="list" errorStyle="information" allowBlank="1" showInputMessage="1" showErrorMessage="1" sqref="E15:E18 G15:G18 I15:I18 D25 F25 H25 J25 L25 N25 P25 R25 G32:G35" xr:uid="{DC57978B-4704-45C7-807B-2C7979236C13}">
      <formula1>"-,kg,s,m,K,°C,W,bar,kg/h,t/h,kW,kW/m2K,W/m2K,kJ/kgK,kJ/kg,m3/h,Nm3/t,kWh/Nm3,Nm3/h,%,kg/kmol,eur,eur/year,eur/kW,kWel/kWth,year, days"</formula1>
    </dataValidation>
    <dataValidation type="list" allowBlank="1" showErrorMessage="1" sqref="B15:B18" xr:uid="{E5225BC0-1CC5-4B1E-8944-45C18804649E}">
      <formula1>"MASS,ELECTRICITY,EMISSIONS,ENERGY"</formula1>
    </dataValidation>
    <dataValidation type="list" allowBlank="1" showErrorMessage="1" sqref="C15:C18" xr:uid="{95281B57-EF98-4CFF-9D43-7FE90F6DCF4C}">
      <formula1>"IN,OUT"</formula1>
    </dataValidation>
    <dataValidation type="list" allowBlank="1" showErrorMessage="1" sqref="B25" xr:uid="{1C231A96-ABEA-4E01-B6E7-FE27F45F024F}">
      <formula1>"Cold,Hot"</formula1>
    </dataValidation>
  </dataValidations>
  <pageMargins left="0.7" right="0.7" top="0.75" bottom="0.75" header="0" footer="0"/>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13" t="s">
        <v>96</v>
      </c>
      <c r="B1" s="114" t="s">
        <v>39</v>
      </c>
      <c r="C1" s="115" t="s">
        <v>19</v>
      </c>
    </row>
    <row r="2" spans="1:3" thickBot="1" x14ac:dyDescent="0.35">
      <c r="A2" s="152" t="s">
        <v>27</v>
      </c>
      <c r="B2" s="151" t="s">
        <v>27</v>
      </c>
      <c r="C2" s="153" t="s">
        <v>27</v>
      </c>
    </row>
  </sheetData>
  <dataValidations count="1">
    <dataValidation type="list" errorStyle="information" allowBlank="1" showInputMessage="1" showErrorMessage="1" sqref="C2" xr:uid="{6F6ADFF8-47B6-4380-910F-FAAC2233B41B}">
      <formula1>"-,kg,s,m,K,°C,W,bar,kg/h,t/h,kW,kW/m2K,W/m2K,kJ/kgK,kJ/kg,m3/h,Nm3/t,kWh/Nm3,Nm3/h,%,kg/kmol,eur,eur/year,eur/kW,kWel/kWth,year, days"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C2" sqref="C2"/>
    </sheetView>
  </sheetViews>
  <sheetFormatPr defaultColWidth="14.44140625" defaultRowHeight="15" customHeight="1" x14ac:dyDescent="0.3"/>
  <cols>
    <col min="2" max="2" width="29.77734375" bestFit="1" customWidth="1"/>
  </cols>
  <sheetData>
    <row r="1" spans="1:4" thickBot="1" x14ac:dyDescent="0.35">
      <c r="A1" s="113" t="s">
        <v>69</v>
      </c>
      <c r="B1" s="114" t="s">
        <v>93</v>
      </c>
      <c r="C1" s="114" t="s">
        <v>91</v>
      </c>
      <c r="D1" s="115" t="s">
        <v>92</v>
      </c>
    </row>
    <row r="2" spans="1:4" ht="15" customHeight="1" thickBot="1" x14ac:dyDescent="0.35">
      <c r="A2" s="158" t="s">
        <v>94</v>
      </c>
      <c r="B2" s="156" t="s">
        <v>7</v>
      </c>
      <c r="C2" s="159">
        <v>46133</v>
      </c>
      <c r="D2" s="160" t="s">
        <v>95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E6" sqref="E6"/>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95" t="s">
        <v>89</v>
      </c>
      <c r="B1" s="94"/>
      <c r="C1" s="94"/>
      <c r="D1" s="94"/>
      <c r="E1" s="94"/>
      <c r="F1" s="94"/>
      <c r="G1" s="101"/>
    </row>
    <row r="2" spans="1:7" ht="15" thickBot="1" x14ac:dyDescent="0.35">
      <c r="A2" s="154" t="s">
        <v>90</v>
      </c>
      <c r="B2" s="139" t="s">
        <v>52</v>
      </c>
      <c r="C2" s="139" t="s">
        <v>18</v>
      </c>
      <c r="D2" s="139" t="s">
        <v>88</v>
      </c>
      <c r="E2" s="139" t="s">
        <v>87</v>
      </c>
      <c r="F2" s="139" t="s">
        <v>86</v>
      </c>
      <c r="G2" s="129" t="s">
        <v>71</v>
      </c>
    </row>
    <row r="3" spans="1:7" ht="15" thickBot="1" x14ac:dyDescent="0.35">
      <c r="A3" s="155">
        <v>1</v>
      </c>
      <c r="B3" s="156"/>
      <c r="C3" s="156" t="s">
        <v>154</v>
      </c>
      <c r="D3" s="156" t="s">
        <v>155</v>
      </c>
      <c r="E3" s="156" t="s">
        <v>156</v>
      </c>
      <c r="F3" s="156" t="s">
        <v>7</v>
      </c>
      <c r="G3" s="157">
        <v>46133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D0870-9DD1-4D4B-9FC4-07CEFF047E99}">
  <sheetPr codeName="Sheet12"/>
  <dimension ref="A1:A29"/>
  <sheetViews>
    <sheetView showGridLines="0" tabSelected="1" workbookViewId="0">
      <selection activeCell="A16" sqref="A16"/>
    </sheetView>
  </sheetViews>
  <sheetFormatPr defaultRowHeight="14.4" x14ac:dyDescent="0.3"/>
  <cols>
    <col min="1" max="1" width="130.77734375" style="271" customWidth="1"/>
    <col min="2" max="16384" width="8.88671875" style="271"/>
  </cols>
  <sheetData>
    <row r="1" spans="1:1" ht="15.6" thickTop="1" thickBot="1" x14ac:dyDescent="0.35">
      <c r="A1" s="273" t="s">
        <v>453</v>
      </c>
    </row>
    <row r="2" spans="1:1" ht="43.8" thickTop="1" x14ac:dyDescent="0.3">
      <c r="A2" s="271" t="s">
        <v>469</v>
      </c>
    </row>
    <row r="4" spans="1:1" ht="28.8" x14ac:dyDescent="0.3">
      <c r="A4" s="271" t="str">
        <f>"This model utilizes a setup operating at "&amp;TEXT(Tempin,"0")&amp;" °C. This regime offers higher biogas production rates with a retention time of "&amp;TEXT(t,"0")&amp;" days. The incoming biomass flow is currently "&amp;TEXT(Biomassflow,"0.00")&amp;" units per hour."</f>
        <v>This model utilizes a setup operating at 55 °C. This regime offers higher biogas production rates with a retention time of 30 days. The incoming biomass flow is currently 270.00 units per hour.</v>
      </c>
    </row>
    <row r="5" spans="1:1" ht="15" thickBot="1" x14ac:dyDescent="0.35"/>
    <row r="6" spans="1:1" ht="15.6" thickTop="1" thickBot="1" x14ac:dyDescent="0.35">
      <c r="A6" s="273" t="s">
        <v>470</v>
      </c>
    </row>
    <row r="7" spans="1:1" ht="15" thickTop="1" x14ac:dyDescent="0.3">
      <c r="A7" s="271" t="s">
        <v>474</v>
      </c>
    </row>
    <row r="8" spans="1:1" ht="28.8" x14ac:dyDescent="0.3">
      <c r="A8" s="271" t="s">
        <v>475</v>
      </c>
    </row>
    <row r="9" spans="1:1" x14ac:dyDescent="0.3">
      <c r="A9" s="271" t="s">
        <v>476</v>
      </c>
    </row>
    <row r="10" spans="1:1" ht="15" thickBot="1" x14ac:dyDescent="0.35"/>
    <row r="11" spans="1:1" ht="15.6" thickTop="1" thickBot="1" x14ac:dyDescent="0.35">
      <c r="A11" s="273" t="s">
        <v>471</v>
      </c>
    </row>
    <row r="12" spans="1:1" ht="29.4" thickTop="1" x14ac:dyDescent="0.3">
      <c r="A12" s="271" t="str">
        <f>"The current thermal duty required for the digester is "&amp;TEXT(DigesterQDuty,"0.00")&amp;" kW. The biogas produced contains approximately "&amp;TEXT(CH4inBiogas*100,"0")&amp;"% CH4. Total electrical consumption for the system, including compression (CmpDutyBiog), is "&amp;TEXT(TotalElec,"0.00")&amp;" kWe."</f>
        <v>The current thermal duty required for the digester is 7695.00 kW. The biogas produced contains approximately 55% CH4. Total electrical consumption for the system, including compression (CmpDutyBiog), is 9973.30 kWe.</v>
      </c>
    </row>
    <row r="13" spans="1:1" ht="15" thickBot="1" x14ac:dyDescent="0.35"/>
    <row r="14" spans="1:1" ht="15.6" thickTop="1" thickBot="1" x14ac:dyDescent="0.35">
      <c r="A14" s="273" t="s">
        <v>472</v>
      </c>
    </row>
    <row r="15" spans="1:1" ht="15" thickTop="1" x14ac:dyDescent="0.3">
      <c r="A15" s="271" t="str">
        <f>"Digestible organic waste input: "&amp;TEXT(Biomassflow,"0.00")&amp;" t/h"</f>
        <v>Digestible organic waste input: 270.00 t/h</v>
      </c>
    </row>
    <row r="16" spans="1:1" x14ac:dyDescent="0.3">
      <c r="A16" s="271" t="str">
        <f>"Dry matter ratio: "&amp;TEXT(TS,"0.00")&amp;" -"</f>
        <v>Dry matter ratio: 0.30 -</v>
      </c>
    </row>
    <row r="17" spans="1:1" x14ac:dyDescent="0.3">
      <c r="A17" s="271" t="str">
        <f>"Volatile solids fraction: "&amp;TEXT(VS,"0.00")&amp;" -"</f>
        <v>Volatile solids fraction: 0.70 -</v>
      </c>
    </row>
    <row r="18" spans="1:1" x14ac:dyDescent="0.3">
      <c r="A18" s="271" t="str">
        <f>"Biomethane potential: "&amp;TEXT(BMP,"0.00")&amp;" Nm3/t"</f>
        <v>Biomethane potential: 300.00 Nm3/t</v>
      </c>
    </row>
    <row r="19" spans="1:1" x14ac:dyDescent="0.3">
      <c r="A19" s="271" t="str">
        <f>"Retention time: "&amp;TEXT(t,"0.00")&amp;" days"</f>
        <v>Retention time: 30.00 days</v>
      </c>
    </row>
    <row r="20" spans="1:1" x14ac:dyDescent="0.3">
      <c r="A20" s="271" t="str">
        <f>"Thermophilic digester temperature: "&amp;TEXT(Tempin,"0.00")&amp;" °C"</f>
        <v>Thermophilic digester temperature: 55.00 °C</v>
      </c>
    </row>
    <row r="21" spans="1:1" x14ac:dyDescent="0.3">
      <c r="A21" s="271" t="str">
        <f>"Methane fraction in biogas: "&amp;TEXT(CH4inBiogas,"0.00")&amp;" -"</f>
        <v>Methane fraction in biogas: 0.55 -</v>
      </c>
    </row>
    <row r="22" spans="1:1" x14ac:dyDescent="0.3">
      <c r="A22" s="271" t="str">
        <f>"Digester heating duty: "&amp;TEXT(DigesterQDuty,"0.00")&amp;" kW"</f>
        <v>Digester heating duty: 7695.00 kW</v>
      </c>
    </row>
    <row r="23" spans="1:1" x14ac:dyDescent="0.3">
      <c r="A23" s="271" t="str">
        <f>"Biogas compressor duty: "&amp;TEXT(CmpDutyBiog,"0.00")&amp;" kW"</f>
        <v>Biogas compressor duty: 3836.65 kW</v>
      </c>
    </row>
    <row r="24" spans="1:1" x14ac:dyDescent="0.3">
      <c r="A24" s="271" t="str">
        <f>"Total electricity demand: "&amp;TEXT(TotalElec,"0.00")&amp;" kW"</f>
        <v>Total electricity demand: 9973.30 kW</v>
      </c>
    </row>
    <row r="25" spans="1:1" x14ac:dyDescent="0.3">
      <c r="A25" s="271" t="str">
        <f>"Annualization factor: "&amp;TEXT(Annuity,"0.00")&amp;" -"</f>
        <v>Annualization factor: 0.07 -</v>
      </c>
    </row>
    <row r="26" spans="1:1" x14ac:dyDescent="0.3">
      <c r="A26" s="271" t="str">
        <f>"Biodigester CAPEX: "&amp;TEXT(Cinv2_biod,"0.00")&amp;" eur/year"</f>
        <v>Biodigester CAPEX: 34769453.01 eur/year</v>
      </c>
    </row>
    <row r="27" spans="1:1" ht="15" thickBot="1" x14ac:dyDescent="0.35"/>
    <row r="28" spans="1:1" ht="15.6" thickTop="1" thickBot="1" x14ac:dyDescent="0.35">
      <c r="A28" s="273" t="s">
        <v>473</v>
      </c>
    </row>
    <row r="29" spans="1:1" ht="72.599999999999994" thickTop="1" x14ac:dyDescent="0.3">
      <c r="A29" s="272" t="s">
        <v>477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145</vt:i4>
      </vt:variant>
    </vt:vector>
  </HeadingPairs>
  <TitlesOfParts>
    <vt:vector size="155" baseType="lpstr">
      <vt:lpstr>README</vt:lpstr>
      <vt:lpstr>METADATA</vt:lpstr>
      <vt:lpstr>CONNECTORS</vt:lpstr>
      <vt:lpstr>VARIABLES</vt:lpstr>
      <vt:lpstr>Biodigester</vt:lpstr>
      <vt:lpstr>BiogasPurif</vt:lpstr>
      <vt:lpstr>CALCULATIONS</vt:lpstr>
      <vt:lpstr>CHANGELOG</vt:lpstr>
      <vt:lpstr>SUPPL MATERIAL</vt:lpstr>
      <vt:lpstr>DOCUMENTATION</vt:lpstr>
      <vt:lpstr>Annuity</vt:lpstr>
      <vt:lpstr>Annuity_max</vt:lpstr>
      <vt:lpstr>Annuity_min</vt:lpstr>
      <vt:lpstr>Biogas_kW</vt:lpstr>
      <vt:lpstr>Biogas_kW_max</vt:lpstr>
      <vt:lpstr>Biogas_kW_min</vt:lpstr>
      <vt:lpstr>Biogas_MassFlow</vt:lpstr>
      <vt:lpstr>Biogas_MassFlow_max</vt:lpstr>
      <vt:lpstr>Biogas_MassFlow_min</vt:lpstr>
      <vt:lpstr>Biogas_VolFlow</vt:lpstr>
      <vt:lpstr>Biogas_VolFlow_max</vt:lpstr>
      <vt:lpstr>Biogas_VolFlow_min</vt:lpstr>
      <vt:lpstr>Biogas_VolLHV</vt:lpstr>
      <vt:lpstr>Biogas_VolLHV_max</vt:lpstr>
      <vt:lpstr>Biogas_VolLHV_min</vt:lpstr>
      <vt:lpstr>Biomassflow</vt:lpstr>
      <vt:lpstr>Biomassflow_max</vt:lpstr>
      <vt:lpstr>Biomassflow_min</vt:lpstr>
      <vt:lpstr>BMP</vt:lpstr>
      <vt:lpstr>BMP_max</vt:lpstr>
      <vt:lpstr>BMP_min</vt:lpstr>
      <vt:lpstr>CEPCI_2008</vt:lpstr>
      <vt:lpstr>CEPCI_2008_max</vt:lpstr>
      <vt:lpstr>CEPCI_2008_min</vt:lpstr>
      <vt:lpstr>CEPCI_2020</vt:lpstr>
      <vt:lpstr>CEPCI_2020_max</vt:lpstr>
      <vt:lpstr>CEPCI_2020_min</vt:lpstr>
      <vt:lpstr>CH4_kW</vt:lpstr>
      <vt:lpstr>CH4_kW_max</vt:lpstr>
      <vt:lpstr>CH4_kW_min</vt:lpstr>
      <vt:lpstr>CH4_MassFlow</vt:lpstr>
      <vt:lpstr>CH4_MassFlow_max</vt:lpstr>
      <vt:lpstr>CH4_MassFlow_min</vt:lpstr>
      <vt:lpstr>CH4_massfrac</vt:lpstr>
      <vt:lpstr>CH4_massfrac_max</vt:lpstr>
      <vt:lpstr>CH4_massfrac_min</vt:lpstr>
      <vt:lpstr>CH4_MassLHV</vt:lpstr>
      <vt:lpstr>CH4_MassLHV_max</vt:lpstr>
      <vt:lpstr>CH4_MassLHV_min</vt:lpstr>
      <vt:lpstr>CH4_VolFlow</vt:lpstr>
      <vt:lpstr>CH4_VolFlow_max</vt:lpstr>
      <vt:lpstr>CH4_VolFlow_min</vt:lpstr>
      <vt:lpstr>CH4_VolLHV</vt:lpstr>
      <vt:lpstr>CH4_VolLHV_max</vt:lpstr>
      <vt:lpstr>CH4_VolLHV_min</vt:lpstr>
      <vt:lpstr>CH4inBiogas</vt:lpstr>
      <vt:lpstr>CH4inBiogas_max</vt:lpstr>
      <vt:lpstr>CH4inBiogas_min</vt:lpstr>
      <vt:lpstr>Cinv2_biod</vt:lpstr>
      <vt:lpstr>Cinv2_biod_max</vt:lpstr>
      <vt:lpstr>Cinv2_biod_min</vt:lpstr>
      <vt:lpstr>Cinv2_comp</vt:lpstr>
      <vt:lpstr>Cinv2_comp_max</vt:lpstr>
      <vt:lpstr>Cinv2_comp_min</vt:lpstr>
      <vt:lpstr>Cinv2_scrubcomp</vt:lpstr>
      <vt:lpstr>Cinv2_scrubcomp_max</vt:lpstr>
      <vt:lpstr>Cinv2_scrubcomp_min</vt:lpstr>
      <vt:lpstr>Cinv2_waterscrub</vt:lpstr>
      <vt:lpstr>Cinv2_waterscrub_max</vt:lpstr>
      <vt:lpstr>Cinv2_waterscrub_min</vt:lpstr>
      <vt:lpstr>CmpDutyBiog</vt:lpstr>
      <vt:lpstr>CmpDutyBiog_max</vt:lpstr>
      <vt:lpstr>CmpDutyBiog_min</vt:lpstr>
      <vt:lpstr>CO2_MassFlow</vt:lpstr>
      <vt:lpstr>CO2_MassFlow_max</vt:lpstr>
      <vt:lpstr>CO2_MassFlow_min</vt:lpstr>
      <vt:lpstr>CO2_massfrac</vt:lpstr>
      <vt:lpstr>CO2_massfrac_max</vt:lpstr>
      <vt:lpstr>CO2_massfrac_min</vt:lpstr>
      <vt:lpstr>comprCost</vt:lpstr>
      <vt:lpstr>comprCost_max</vt:lpstr>
      <vt:lpstr>comprCost_min</vt:lpstr>
      <vt:lpstr>DigestateFlow</vt:lpstr>
      <vt:lpstr>DigestateFlow_max</vt:lpstr>
      <vt:lpstr>DigestateFlow_min</vt:lpstr>
      <vt:lpstr>digesterCost</vt:lpstr>
      <vt:lpstr>digesterCost_max</vt:lpstr>
      <vt:lpstr>digesterCost_min</vt:lpstr>
      <vt:lpstr>DigesterQDuty</vt:lpstr>
      <vt:lpstr>DigesterQDuty_max</vt:lpstr>
      <vt:lpstr>DigesterQDuty_min</vt:lpstr>
      <vt:lpstr>dtmin_biod</vt:lpstr>
      <vt:lpstr>dtmin_biod_max</vt:lpstr>
      <vt:lpstr>dtmin_biod_min</vt:lpstr>
      <vt:lpstr>eff_comp</vt:lpstr>
      <vt:lpstr>eff_comp_max</vt:lpstr>
      <vt:lpstr>eff_comp_min</vt:lpstr>
      <vt:lpstr>i</vt:lpstr>
      <vt:lpstr>i_max</vt:lpstr>
      <vt:lpstr>i_min</vt:lpstr>
      <vt:lpstr>k</vt:lpstr>
      <vt:lpstr>k_max</vt:lpstr>
      <vt:lpstr>k_min</vt:lpstr>
      <vt:lpstr>MW_biogas</vt:lpstr>
      <vt:lpstr>MW_biogas_max</vt:lpstr>
      <vt:lpstr>MW_biogas_min</vt:lpstr>
      <vt:lpstr>MW_CH4</vt:lpstr>
      <vt:lpstr>MW_CH4_max</vt:lpstr>
      <vt:lpstr>MW_CH4_min</vt:lpstr>
      <vt:lpstr>MW_CO2</vt:lpstr>
      <vt:lpstr>MW_CO2_max</vt:lpstr>
      <vt:lpstr>MW_CO2_min</vt:lpstr>
      <vt:lpstr>n</vt:lpstr>
      <vt:lpstr>n_max</vt:lpstr>
      <vt:lpstr>n_min</vt:lpstr>
      <vt:lpstr>P_in</vt:lpstr>
      <vt:lpstr>P_in_max</vt:lpstr>
      <vt:lpstr>P_in_min</vt:lpstr>
      <vt:lpstr>P_out</vt:lpstr>
      <vt:lpstr>P_out_max</vt:lpstr>
      <vt:lpstr>P_out_min</vt:lpstr>
      <vt:lpstr>Ru</vt:lpstr>
      <vt:lpstr>Ru_max</vt:lpstr>
      <vt:lpstr>Ru_min</vt:lpstr>
      <vt:lpstr>ScrubDuty</vt:lpstr>
      <vt:lpstr>ScrubDuty_max</vt:lpstr>
      <vt:lpstr>ScrubDuty_min</vt:lpstr>
      <vt:lpstr>SpecHeatDigester</vt:lpstr>
      <vt:lpstr>SpecHeatDigester_max</vt:lpstr>
      <vt:lpstr>SpecHeatDigester_min</vt:lpstr>
      <vt:lpstr>t</vt:lpstr>
      <vt:lpstr>T_comp</vt:lpstr>
      <vt:lpstr>T_comp_max</vt:lpstr>
      <vt:lpstr>T_comp_min</vt:lpstr>
      <vt:lpstr>t_max</vt:lpstr>
      <vt:lpstr>t_min</vt:lpstr>
      <vt:lpstr>Tempin</vt:lpstr>
      <vt:lpstr>Tempin_max</vt:lpstr>
      <vt:lpstr>Tempin_min</vt:lpstr>
      <vt:lpstr>TotalElec</vt:lpstr>
      <vt:lpstr>TotalElec_max</vt:lpstr>
      <vt:lpstr>TotalElec_min</vt:lpstr>
      <vt:lpstr>TS</vt:lpstr>
      <vt:lpstr>TS_max</vt:lpstr>
      <vt:lpstr>TS_min</vt:lpstr>
      <vt:lpstr>VolFlowExp</vt:lpstr>
      <vt:lpstr>VS</vt:lpstr>
      <vt:lpstr>VS_max</vt:lpstr>
      <vt:lpstr>VS_min</vt:lpstr>
      <vt:lpstr>waterScrubCost</vt:lpstr>
      <vt:lpstr>waterScrubCost_max</vt:lpstr>
      <vt:lpstr>waterScrubCost_min</vt:lpstr>
      <vt:lpstr>WaterScrubDuty</vt:lpstr>
      <vt:lpstr>WaterScrubDuty_max</vt:lpstr>
      <vt:lpstr>WaterScrubDuty_min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2026-05-06T12:00:37Z</dcterms:modified>
</cp:coreProperties>
</file>