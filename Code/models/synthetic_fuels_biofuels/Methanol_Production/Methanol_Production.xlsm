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929"/>
  <workbookPr codeName="ThisWorkbook"/>
  <mc:AlternateContent xmlns:mc="http://schemas.openxmlformats.org/markup-compatibility/2006">
    <mc:Choice Requires="x15">
      <x15ac:absPath xmlns:x15ac="http://schemas.microsoft.com/office/spreadsheetml/2010/11/ac" url="https://d.docs.live.net/f3aee38b355b722b/Documents/02_EPFL/01_MA2/SemesterProject/PdS2026/Methanol Production/"/>
    </mc:Choice>
  </mc:AlternateContent>
  <xr:revisionPtr revIDLastSave="197" documentId="8_{56B293C0-2BCE-435B-943C-57154710938B}" xr6:coauthVersionLast="47" xr6:coauthVersionMax="47" xr10:uidLastSave="{230A64AC-1422-4A16-91B9-C44FDE2C02CB}"/>
  <bookViews>
    <workbookView xWindow="-108" yWindow="-108" windowWidth="23256" windowHeight="13176" firstSheet="4" activeTab="8" xr2:uid="{00000000-000D-0000-FFFF-FFFF00000000}"/>
  </bookViews>
  <sheets>
    <sheet name="README" sheetId="1" r:id="rId1"/>
    <sheet name="METADATA" sheetId="2" r:id="rId2"/>
    <sheet name="CONNECTORS" sheetId="3" r:id="rId3"/>
    <sheet name="VARIABLES" sheetId="4" r:id="rId4"/>
    <sheet name="MeohProduction" sheetId="5" r:id="rId5"/>
    <sheet name="CALCULATIONS" sheetId="10" r:id="rId6"/>
    <sheet name="CHANGELOG" sheetId="9" r:id="rId7"/>
    <sheet name="SUPPL MATERIAL" sheetId="11" r:id="rId8"/>
    <sheet name="DOCUMENTATION" sheetId="16" r:id="rId9"/>
  </sheets>
  <externalReferences>
    <externalReference r:id="rId10"/>
  </externalReferences>
  <definedNames>
    <definedName name="Annuity">VARIABLES!$E$76</definedName>
    <definedName name="Annuity_max">VARIABLES!$I$76</definedName>
    <definedName name="Annuity_min">VARIABLES!$H$76</definedName>
    <definedName name="Base_MeOHCapac">VARIABLES!$E$69</definedName>
    <definedName name="Base_MeOHCapac_max">VARIABLES!$I$69</definedName>
    <definedName name="Base_MeOHCapac_min">VARIABLES!$H$69</definedName>
    <definedName name="Base_MeOHCost">VARIABLES!$E$68</definedName>
    <definedName name="Base_MeOHCost_max">VARIABLES!$I$68</definedName>
    <definedName name="Base_MeOHCost_min">VARIABLES!$H$68</definedName>
    <definedName name="CEPCI_2008">VARIABLES!#REF!</definedName>
    <definedName name="CEPCI_2008_max">VARIABLES!#REF!</definedName>
    <definedName name="CEPCI_2008_min">VARIABLES!#REF!</definedName>
    <definedName name="CEPCI_2020">[1]VARIABLES!$E$80</definedName>
    <definedName name="CEPCI_2022">VARIABLES!$E$73</definedName>
    <definedName name="CEPCI_2022_max">VARIABLES!$I$73</definedName>
    <definedName name="CEPCI_2022_min">VARIABLES!$H$73</definedName>
    <definedName name="CH4energyflow">[1]VARIABLES!$E$82</definedName>
    <definedName name="CH4massflow">[1]VARIABLES!$E$72</definedName>
    <definedName name="Cinv2_meoh">VARIABLES!$E$77</definedName>
    <definedName name="Cinv2_meoh_max">VARIABLES!$I$77</definedName>
    <definedName name="Cinv2_meoh_min">VARIABLES!$H$77</definedName>
    <definedName name="CO2inflarestack">VARIABLES!$E$64</definedName>
    <definedName name="CO2inflarestack_max">VARIABLES!$I$64</definedName>
    <definedName name="CO2inflarestack_min">VARIABLES!$H$64</definedName>
    <definedName name="CO2inFlueGas">MeohProduction!$E$18</definedName>
    <definedName name="CO2inFlueGas_max">MeohProduction!$I$18</definedName>
    <definedName name="CO2inFlueGas_min">MeohProduction!$H$18</definedName>
    <definedName name="CO2sep">[1]VARIABLES!$E$56</definedName>
    <definedName name="CO2unconverted">[1]VARIABLES!$E$75</definedName>
    <definedName name="Condensateflow">[1]VARIABLES!$E$74</definedName>
    <definedName name="dtmin_2ph">VARIABLES!$E$18</definedName>
    <definedName name="dtmin_2ph_max">VARIABLES!$I$18</definedName>
    <definedName name="dtmin_2ph_min">VARIABLES!$H$18</definedName>
    <definedName name="dtmin_gas">VARIABLES!$E$16</definedName>
    <definedName name="dtmin_gas_max">VARIABLES!$I$16</definedName>
    <definedName name="dtmin_gas_min">VARIABLES!$H$16</definedName>
    <definedName name="dtmin_liq">VARIABLES!$E$17</definedName>
    <definedName name="dtmin_liq_max">VARIABLES!$I$17</definedName>
    <definedName name="dtmin_liq_min">VARIABLES!$H$17</definedName>
    <definedName name="e_demand">VARIABLES!$E$75</definedName>
    <definedName name="e_demand_max">VARIABLES!$I$75</definedName>
    <definedName name="e_demand_min">VARIABLES!$H$75</definedName>
    <definedName name="e_meoh_1">VARIABLES!$E$25</definedName>
    <definedName name="e_meoh_1_max">VARIABLES!$I$25</definedName>
    <definedName name="e_meoh_1_min">VARIABLES!$H$25</definedName>
    <definedName name="e_meoh_2">VARIABLES!$E$26</definedName>
    <definedName name="e_meoh_2_max">VARIABLES!$I$26</definedName>
    <definedName name="e_meoh_2_min">VARIABLES!$H$26</definedName>
    <definedName name="e_meoh_5">VARIABLES!$E$63</definedName>
    <definedName name="e_meoh_5_max">VARIABLES!$I$63</definedName>
    <definedName name="e_meoh_5_min">VARIABLES!$H$63</definedName>
    <definedName name="e_o2_1">[1]VARIABLES!$E$32</definedName>
    <definedName name="e_o2_2">[1]VARIABLES!$E$33</definedName>
    <definedName name="e_o2_3">[1]VARIABLES!$E$34</definedName>
    <definedName name="e_o2_4">[1]VARIABLES!$E$35</definedName>
    <definedName name="e_pump_1">[1]VARIABLES!$E$36</definedName>
    <definedName name="e_pump_2">[1]VARIABLES!$E$37</definedName>
    <definedName name="FeedstockATR">[1]VARIABLES!$E$53</definedName>
    <definedName name="gas_h11_ho">[1]VARIABLES!$E$49</definedName>
    <definedName name="gas_h11_ti">[1]VARIABLES!$E$47</definedName>
    <definedName name="gas_h11_to">[1]VARIABLES!$E$48</definedName>
    <definedName name="gas_h12_ho">[1]VARIABLES!$E$52</definedName>
    <definedName name="gas_h12_ti">[1]VARIABLES!$E$50</definedName>
    <definedName name="gas_h12_to">[1]VARIABLES!$E$51</definedName>
    <definedName name="i">VARIABLES!$E$72</definedName>
    <definedName name="i_max">VARIABLES!$I$72</definedName>
    <definedName name="i_min">VARIABLES!$H$72</definedName>
    <definedName name="LHV_CH4">[1]VARIABLES!$E$71</definedName>
    <definedName name="LHV_meoh">VARIABLES!$E$67</definedName>
    <definedName name="LHV_meoh_max">VARIABLES!$I$67</definedName>
    <definedName name="LHV_meoh_min">VARIABLES!$H$67</definedName>
    <definedName name="meoh_c1_ho">VARIABLES!$E$29</definedName>
    <definedName name="meoh_c1_ho_max">VARIABLES!$I$29</definedName>
    <definedName name="meoh_c1_ho_min">VARIABLES!$H$29</definedName>
    <definedName name="meoh_c1_ti">VARIABLES!$E$27</definedName>
    <definedName name="meoh_c1_ti_max">VARIABLES!$I$27</definedName>
    <definedName name="meoh_c1_ti_min">VARIABLES!$H$27</definedName>
    <definedName name="meoh_c1_to">VARIABLES!$E$28</definedName>
    <definedName name="meoh_c1_to_max">VARIABLES!$I$28</definedName>
    <definedName name="meoh_c1_to_min">VARIABLES!$H$28</definedName>
    <definedName name="meoh_c2_ho">VARIABLES!$E$32</definedName>
    <definedName name="meoh_c2_ho_max">VARIABLES!$I$32</definedName>
    <definedName name="meoh_c2_ho_min">VARIABLES!$H$32</definedName>
    <definedName name="meoh_c2_ti">VARIABLES!$E$30</definedName>
    <definedName name="meoh_c2_ti_max">VARIABLES!$I$30</definedName>
    <definedName name="meoh_c2_ti_min">VARIABLES!$H$30</definedName>
    <definedName name="meoh_c2_to">VARIABLES!$E$31</definedName>
    <definedName name="meoh_c2_to_max">VARIABLES!$I$31</definedName>
    <definedName name="meoh_c2_to_min">VARIABLES!$H$31</definedName>
    <definedName name="MeOH_feed">[1]VARIABLES!$E$16</definedName>
    <definedName name="meoh_h1_ho">VARIABLES!$E$21</definedName>
    <definedName name="meoh_h1_ho_max">VARIABLES!$I$21</definedName>
    <definedName name="meoh_h1_ho_min">VARIABLES!$H$21</definedName>
    <definedName name="meoh_h1_ti">VARIABLES!$E$19</definedName>
    <definedName name="meoh_h1_ti_max">VARIABLES!$I$19</definedName>
    <definedName name="meoh_h1_ti_min">VARIABLES!$H$19</definedName>
    <definedName name="meoh_h1_to">VARIABLES!$E$20</definedName>
    <definedName name="meoh_h1_to_max">VARIABLES!$I$20</definedName>
    <definedName name="meoh_h1_to_min">VARIABLES!$H$20</definedName>
    <definedName name="meoh_h10_ho">VARIABLES!$E$41</definedName>
    <definedName name="meoh_h10_ho_max">VARIABLES!$I$41</definedName>
    <definedName name="meoh_h10_ho_min">VARIABLES!$H$41</definedName>
    <definedName name="meoh_h10_ti">VARIABLES!$E$39</definedName>
    <definedName name="meoh_h10_ti_max">VARIABLES!$I$39</definedName>
    <definedName name="meoh_h10_ti_min">VARIABLES!$H$39</definedName>
    <definedName name="meoh_h10_to">VARIABLES!$E$40</definedName>
    <definedName name="meoh_h10_to_max">VARIABLES!$I$40</definedName>
    <definedName name="meoh_h10_to_min">VARIABLES!$H$40</definedName>
    <definedName name="meoh_h11_ho">VARIABLES!$E$53</definedName>
    <definedName name="meoh_h11_ho_max">VARIABLES!$I$53</definedName>
    <definedName name="meoh_h11_ho_min">VARIABLES!$H$53</definedName>
    <definedName name="meoh_h11_ti">VARIABLES!$E$51</definedName>
    <definedName name="meoh_h11_ti_max">VARIABLES!$I$51</definedName>
    <definedName name="meoh_h11_ti_min">VARIABLES!$H$51</definedName>
    <definedName name="meoh_h11_to">VARIABLES!$E$52</definedName>
    <definedName name="meoh_h11_to_max">VARIABLES!$I$52</definedName>
    <definedName name="meoh_h11_to_min">VARIABLES!$H$52</definedName>
    <definedName name="meoh_h12_ho">VARIABLES!$E$56</definedName>
    <definedName name="meoh_h12_ho_max">VARIABLES!$I$56</definedName>
    <definedName name="meoh_h12_ho_min">VARIABLES!$H$56</definedName>
    <definedName name="meoh_h12_ti">VARIABLES!$E$54</definedName>
    <definedName name="meoh_h12_ti_max">VARIABLES!$I$54</definedName>
    <definedName name="meoh_h12_ti_min">VARIABLES!$H$54</definedName>
    <definedName name="meoh_h12_to">VARIABLES!$E$55</definedName>
    <definedName name="meoh_h12_to_max">VARIABLES!$I$55</definedName>
    <definedName name="meoh_h12_to_min">VARIABLES!$H$55</definedName>
    <definedName name="meoh_h13_ho">VARIABLES!$E$59</definedName>
    <definedName name="meoh_h13_ho_max">VARIABLES!$I$59</definedName>
    <definedName name="meoh_h13_ho_min">VARIABLES!$H$59</definedName>
    <definedName name="meoh_h13_ti">VARIABLES!$E$57</definedName>
    <definedName name="meoh_h13_ti_max">VARIABLES!$I$57</definedName>
    <definedName name="meoh_h13_ti_min">VARIABLES!$H$57</definedName>
    <definedName name="meoh_h13_to">VARIABLES!$E$58</definedName>
    <definedName name="meoh_h13_to_max">VARIABLES!$I$58</definedName>
    <definedName name="meoh_h13_to_min">VARIABLES!$H$58</definedName>
    <definedName name="meoh_h14_ho">VARIABLES!$E$62</definedName>
    <definedName name="meoh_h14_ho_max">VARIABLES!$I$62</definedName>
    <definedName name="meoh_h14_ho_min">VARIABLES!$H$62</definedName>
    <definedName name="meoh_h14_ti">VARIABLES!$E$60</definedName>
    <definedName name="meoh_h14_ti_max">VARIABLES!$I$60</definedName>
    <definedName name="meoh_h14_ti_min">VARIABLES!$H$60</definedName>
    <definedName name="meoh_h14_to">VARIABLES!$E$61</definedName>
    <definedName name="meoh_h14_to_max">VARIABLES!$I$61</definedName>
    <definedName name="meoh_h14_to_min">VARIABLES!$H$61</definedName>
    <definedName name="meoh_h2_ho">VARIABLES!$E$24</definedName>
    <definedName name="meoh_h2_ho_max">VARIABLES!$I$24</definedName>
    <definedName name="meoh_h2_ho_min">VARIABLES!$H$24</definedName>
    <definedName name="meoh_h2_ti">VARIABLES!$E$22</definedName>
    <definedName name="meoh_h2_ti_max">VARIABLES!$I$22</definedName>
    <definedName name="meoh_h2_ti_min">VARIABLES!$H$22</definedName>
    <definedName name="meoh_h2_to">VARIABLES!$E$23</definedName>
    <definedName name="meoh_h2_to_max">VARIABLES!$I$23</definedName>
    <definedName name="meoh_h2_to_min">VARIABLES!$H$23</definedName>
    <definedName name="meoh_h5_ho">VARIABLES!$E$35</definedName>
    <definedName name="meoh_h5_ho_max">VARIABLES!$I$35</definedName>
    <definedName name="meoh_h5_ho_min">VARIABLES!$H$35</definedName>
    <definedName name="meoh_h5_ti">VARIABLES!$E$33</definedName>
    <definedName name="meoh_h5_ti_max">VARIABLES!$I$33</definedName>
    <definedName name="meoh_h5_ti_min">VARIABLES!$H$33</definedName>
    <definedName name="meoh_h5_to">VARIABLES!$E$34</definedName>
    <definedName name="meoh_h5_to_max">VARIABLES!$I$34</definedName>
    <definedName name="meoh_h5_to_min">VARIABLES!$H$34</definedName>
    <definedName name="meoh_h6_ho">VARIABLES!$E$38</definedName>
    <definedName name="meoh_h6_ho_max">VARIABLES!$I$38</definedName>
    <definedName name="meoh_h6_ho_min">VARIABLES!$H$38</definedName>
    <definedName name="meoh_h6_ti">VARIABLES!$E$36</definedName>
    <definedName name="meoh_h6_ti_max">VARIABLES!$I$36</definedName>
    <definedName name="meoh_h6_ti_min">VARIABLES!$H$36</definedName>
    <definedName name="meoh_h6_to">VARIABLES!$E$37</definedName>
    <definedName name="meoh_h6_to_max">VARIABLES!$I$37</definedName>
    <definedName name="meoh_h6_to_min">VARIABLES!$H$37</definedName>
    <definedName name="meoh_h7_ho">VARIABLES!$E$44</definedName>
    <definedName name="meoh_h7_ho_max">VARIABLES!$I$44</definedName>
    <definedName name="meoh_h7_ho_min">VARIABLES!$H$44</definedName>
    <definedName name="meoh_h7_ti">VARIABLES!$E$42</definedName>
    <definedName name="meoh_h7_ti_max">VARIABLES!$I$42</definedName>
    <definedName name="meoh_h7_ti_min">VARIABLES!$H$42</definedName>
    <definedName name="meoh_h7_to">VARIABLES!$E$43</definedName>
    <definedName name="meoh_h7_to_max">VARIABLES!$I$43</definedName>
    <definedName name="meoh_h7_to_min">VARIABLES!$H$43</definedName>
    <definedName name="meoh_h8_ho">VARIABLES!$E$47</definedName>
    <definedName name="meoh_h8_ho_max">VARIABLES!$I$47</definedName>
    <definedName name="meoh_h8_ho_min">VARIABLES!$H$47</definedName>
    <definedName name="meoh_h8_ti">VARIABLES!$E$45</definedName>
    <definedName name="meoh_h8_ti_max">VARIABLES!$I$45</definedName>
    <definedName name="meoh_h8_ti_min">VARIABLES!$H$45</definedName>
    <definedName name="meoh_h8_to">VARIABLES!$E$46</definedName>
    <definedName name="meoh_h8_to_max">VARIABLES!$I$46</definedName>
    <definedName name="meoh_h8_to_min">VARIABLES!$H$46</definedName>
    <definedName name="meoh_h9_ho">VARIABLES!$E$50</definedName>
    <definedName name="meoh_h9_ho_max">VARIABLES!$I$50</definedName>
    <definedName name="meoh_h9_ho_min">VARIABLES!$H$50</definedName>
    <definedName name="meoh_h9_ti">VARIABLES!$E$48</definedName>
    <definedName name="meoh_h9_ti_max">VARIABLES!$I$48</definedName>
    <definedName name="meoh_h9_ti_min">VARIABLES!$H$48</definedName>
    <definedName name="meoh_h9_to">VARIABLES!$E$49</definedName>
    <definedName name="meoh_h9_to_max">VARIABLES!$I$49</definedName>
    <definedName name="meoh_h9_to_min">VARIABLES!$H$49</definedName>
    <definedName name="meohmarket1">VARIABLES!$E$66</definedName>
    <definedName name="meohmarket1_max">VARIABLES!$I$66</definedName>
    <definedName name="meohmarket1_min">VARIABLES!$H$66</definedName>
    <definedName name="meohmarketoKW">VARIABLES!$E$74</definedName>
    <definedName name="meohmarketoKW_max">VARIABLES!$I$74</definedName>
    <definedName name="meohmarketoKW_min">VARIABLES!$H$74</definedName>
    <definedName name="meohmarketotal">VARIABLES!$E$66</definedName>
    <definedName name="meohmarketotal_max">VARIABLES!$I$66</definedName>
    <definedName name="meohmarketotal_min">VARIABLES!$H$66</definedName>
    <definedName name="meohmarkettotal">VARIABLES!#REF!</definedName>
    <definedName name="meohmarkettotal_max">VARIABLES!#REF!</definedName>
    <definedName name="meohmarkettotal_min">VARIABLES!#REF!</definedName>
    <definedName name="MeohProd">MeohProduction!$E$16</definedName>
    <definedName name="MeohProd_max">MeohProduction!$I$16</definedName>
    <definedName name="MeohProd_min">MeohProduction!$H$16</definedName>
    <definedName name="mix_c1_ho">[1]VARIABLES!$E$40</definedName>
    <definedName name="mix_c1_ti">[1]VARIABLES!$E$38</definedName>
    <definedName name="mix_c1_to">[1]VARIABLES!$E$39</definedName>
    <definedName name="mix_c2_ho">[1]VARIABLES!$E$43</definedName>
    <definedName name="mix_c2_ti">[1]VARIABLES!$E$41</definedName>
    <definedName name="mix_c2_to">[1]VARIABLES!$E$42</definedName>
    <definedName name="mix_c3_ho">[1]VARIABLES!$E$46</definedName>
    <definedName name="mix_c3_ti">[1]VARIABLES!$E$44</definedName>
    <definedName name="mix_c3_to">[1]VARIABLES!$E$45</definedName>
    <definedName name="n">VARIABLES!$E$71</definedName>
    <definedName name="n_max">VARIABLES!$I$71</definedName>
    <definedName name="n_min">VARIABLES!$H$71</definedName>
    <definedName name="O2_feed">[1]VARIABLES!$E$19</definedName>
    <definedName name="o2_h1_ho">[1]VARIABLES!$E$22</definedName>
    <definedName name="o2_h1_ti">[1]VARIABLES!$E$20</definedName>
    <definedName name="o2_h1_to">[1]VARIABLES!$E$21</definedName>
    <definedName name="o2_h2_ho">[1]VARIABLES!$E$25</definedName>
    <definedName name="o2_h2_ti">[1]VARIABLES!$E$23</definedName>
    <definedName name="o2_h2_to">[1]VARIABLES!$E$24</definedName>
    <definedName name="o2_h3_ho">[1]VARIABLES!$E$28</definedName>
    <definedName name="o2_h3_ti">[1]VARIABLES!$E$26</definedName>
    <definedName name="o2_h3_to">[1]VARIABLES!$E$27</definedName>
    <definedName name="o2_h4_ho">[1]VARIABLES!$E$31</definedName>
    <definedName name="o2_h4_ti">[1]VARIABLES!$E$29</definedName>
    <definedName name="o2_h4_to">[1]VARIABLES!$E$30</definedName>
    <definedName name="purifsyngasdry">[1]VARIABLES!$E$57</definedName>
    <definedName name="sc">VARIABLES!$E$70</definedName>
    <definedName name="sc_max">VARIABLES!$I$70</definedName>
    <definedName name="sc_min">VARIABLES!$H$70</definedName>
    <definedName name="sngprod_c1_ho">[1]VARIABLES!$E$61</definedName>
    <definedName name="sngprod_c1_ti">[1]VARIABLES!$E$59</definedName>
    <definedName name="sngprod_c1_to">[1]VARIABLES!$E$60</definedName>
    <definedName name="sngprod_h1_ho">[1]VARIABLES!$E$64</definedName>
    <definedName name="sngprod_h1_ti">[1]VARIABLES!$E$62</definedName>
    <definedName name="sngprod_h1_to">[1]VARIABLES!$E$63</definedName>
    <definedName name="sngprod_h2_ho">[1]VARIABLES!$E$67</definedName>
    <definedName name="sngprod_h2_ti">[1]VARIABLES!$E$65</definedName>
    <definedName name="sngprod_h2_to">[1]VARIABLES!$E$66</definedName>
    <definedName name="sngprod_h3_ho">[1]VARIABLES!$E$70</definedName>
    <definedName name="sngprod_h3_ti">[1]VARIABLES!$E$68</definedName>
    <definedName name="sngprod_h3_to">[1]VARIABLES!$E$69</definedName>
    <definedName name="Spec_MethntrCost">[1]VARIABLES!$E$77</definedName>
    <definedName name="Spec_reformwgspsa">[1]VARIABLES!$E$76</definedName>
    <definedName name="syngascon">VARIABLES!#REF!</definedName>
    <definedName name="syngascon_max">VARIABLES!#REF!</definedName>
    <definedName name="syngascon_min">VARIABLES!#REF!</definedName>
    <definedName name="SynGasCons">VARIABLES!$E$65</definedName>
    <definedName name="SynGasCons_max">VARIABLES!$I$65</definedName>
    <definedName name="SynGasCons_min">VARIABLES!$H$65</definedName>
    <definedName name="SyngasToMeOH">MeohProduction!$E$17</definedName>
    <definedName name="SyngasToMeOH_max">MeohProduction!$I$17</definedName>
    <definedName name="SyngasToMeOH_min">MeohProduction!$H$17</definedName>
    <definedName name="syngastoSNGtotal">[1]VARIABLES!$E$54</definedName>
    <definedName name="Tmilk">VARIABLES!#REF!</definedName>
    <definedName name="Tmilk.Variablename">VARIABLES!#REF!</definedName>
    <definedName name="water_cond">[1]VARIABLES!$E$18</definedName>
    <definedName name="water_feed">[1]VARIABLES!$E$17</definedName>
    <definedName name="waterfeedm3">[1]VARIABLES!$E$83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4" roundtripDataChecksum="bNxJkgama/kYeBi4o0J15qkHQT9g9UA3B49WFr4NTgI="/>
    </ext>
  </extLst>
</workbook>
</file>

<file path=xl/calcChain.xml><?xml version="1.0" encoding="utf-8"?>
<calcChain xmlns="http://schemas.openxmlformats.org/spreadsheetml/2006/main">
  <c r="A29" i="16" l="1"/>
  <c r="A28" i="16"/>
  <c r="A27" i="16"/>
  <c r="A26" i="16"/>
  <c r="A25" i="16"/>
  <c r="A24" i="16"/>
  <c r="A23" i="16"/>
  <c r="A22" i="16"/>
  <c r="A21" i="16"/>
  <c r="A20" i="16"/>
  <c r="A14" i="16"/>
  <c r="A5" i="16"/>
  <c r="M33" i="5"/>
  <c r="B12" i="2"/>
  <c r="M35" i="5"/>
  <c r="M28" i="5"/>
  <c r="M27" i="5"/>
  <c r="G34" i="5"/>
  <c r="M34" i="5" s="1"/>
  <c r="O37" i="5"/>
  <c r="O36" i="5"/>
  <c r="G38" i="5"/>
  <c r="G37" i="5"/>
  <c r="G36" i="5"/>
  <c r="C38" i="5"/>
  <c r="C37" i="5"/>
  <c r="E38" i="5"/>
  <c r="E36" i="5"/>
  <c r="E37" i="5"/>
  <c r="C36" i="5"/>
  <c r="D16" i="5"/>
  <c r="D17" i="5"/>
  <c r="D18" i="5"/>
  <c r="M38" i="5" l="1"/>
  <c r="M36" i="5"/>
  <c r="E74" i="4" a="1"/>
  <c r="E74" i="4" s="1"/>
  <c r="O35" i="5" l="1"/>
  <c r="G35" i="5"/>
  <c r="E35" i="5"/>
  <c r="C35" i="5"/>
  <c r="O34" i="5"/>
  <c r="E34" i="5"/>
  <c r="C34" i="5"/>
  <c r="O33" i="5"/>
  <c r="E33" i="5"/>
  <c r="C33" i="5"/>
  <c r="O32" i="5"/>
  <c r="G32" i="5"/>
  <c r="M32" i="5" s="1"/>
  <c r="E32" i="5"/>
  <c r="C32" i="5"/>
  <c r="O31" i="5"/>
  <c r="G31" i="5"/>
  <c r="E31" i="5"/>
  <c r="C31" i="5"/>
  <c r="O30" i="5"/>
  <c r="G30" i="5"/>
  <c r="E30" i="5"/>
  <c r="C30" i="5"/>
  <c r="O29" i="5"/>
  <c r="G29" i="5"/>
  <c r="E29" i="5"/>
  <c r="C29" i="5"/>
  <c r="O28" i="5"/>
  <c r="G28" i="5"/>
  <c r="E28" i="5"/>
  <c r="C28" i="5"/>
  <c r="O27" i="5"/>
  <c r="G27" i="5"/>
  <c r="E27" i="5"/>
  <c r="C27" i="5"/>
  <c r="O26" i="5"/>
  <c r="I26" i="5"/>
  <c r="E26" i="5"/>
  <c r="C26" i="5"/>
  <c r="O25" i="5"/>
  <c r="I25" i="5"/>
  <c r="E25" i="5"/>
  <c r="C25" i="5"/>
  <c r="M25" i="5" l="1"/>
  <c r="K27" i="5"/>
  <c r="M29" i="5"/>
  <c r="M26" i="5"/>
  <c r="K28" i="5"/>
  <c r="K35" i="5"/>
  <c r="M30" i="5"/>
  <c r="E76" i="4"/>
  <c r="E77" i="4" s="1"/>
  <c r="E75" i="4"/>
  <c r="D15"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tc={4B0F33F9-3743-4148-B346-0904A7B6F535}</author>
  </authors>
  <commentList>
    <comment ref="A8" authorId="0" shapeId="0" xr:uid="{4B0F33F9-3743-4148-B346-0904A7B6F535}">
      <text>
        <t>[Threaded comment]
Your version of Excel allows you to read this threaded comment; however, any edits to it will get removed if the file is opened in a newer version of Excel. Learn more: https://go.microsoft.com/fwlink/?linkid=870924
Comment:
    UID consistency</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tc={159E34AE-D917-4C0A-8ECB-39ADC85D0B12}</author>
    <author>tc={A4C92681-F237-4A38-B3DF-1EBC713FA8E8}</author>
  </authors>
  <commentList>
    <comment ref="K25" authorId="0" shapeId="0" xr:uid="{159E34AE-D917-4C0A-8ECB-39ADC85D0B12}">
      <text>
        <t>[Threaded comment]
Your version of Excel allows you to read this threaded comment; however, any edits to it will get removed if the file is opened in a newer version of Excel. Learn more: https://go.microsoft.com/fwlink/?linkid=870924
Comment:
    Constant cp assume for streams without mass flow information, cp computed from mass flow for other streams</t>
      </text>
    </comment>
    <comment ref="M25" authorId="1" shapeId="0" xr:uid="{A4C92681-F237-4A38-B3DF-1EBC713FA8E8}">
      <text>
        <t>[Threaded comment]
Your version of Excel allows you to read this threaded comment; however, any edits to it will get removed if the file is opened in a newer version of Excel. Learn more: https://go.microsoft.com/fwlink/?linkid=870924
Comment:
    Taken from variables or computed with cp when no information</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<sst xmlns="http://schemas.openxmlformats.org/spreadsheetml/2006/main" count="1132" uniqueCount="519">
  <si>
    <t>PURPOSE</t>
  </si>
  <si>
    <t>This document has been developed under the IETS Task XXIV: Process Integration for Industrial Decarbonization, as part of Activity 1: Specifications, Ontologies, and Procedures. It provides a standardized template for documenting and sharing ex-ante process and energy systems models. This template is intended to provide a structured, standardized format for documenting and sharing models in a way that supports collaboration, validation, and transparent reuse across the IETS community.</t>
  </si>
  <si>
    <t>CONNECTORS</t>
  </si>
  <si>
    <t>VARIABLES</t>
  </si>
  <si>
    <t>Variables are the core elements used to specify connectors and define the transformations taking place within units. Through these variables, the behavior of process and energy technologies is quantitatively described. The variables can can either have a default value that is assigned to them or they can be calculated by a mathematical operation. The type of variables that are proposed are, context, literature, measured and decision variables. The distinction between the types are explained further in the respective tab.</t>
  </si>
  <si>
    <t>UNITS</t>
  </si>
  <si>
    <t>A representative name for the model</t>
  </si>
  <si>
    <t>Daniel Florez-Orrego, Oktay Boztas</t>
  </si>
  <si>
    <t>Open</t>
  </si>
  <si>
    <t>The creation date of the model</t>
  </si>
  <si>
    <t>GRAY-BOX</t>
  </si>
  <si>
    <t>Softwares that are used during the development of the model</t>
  </si>
  <si>
    <t>URL</t>
  </si>
  <si>
    <t>The date of the last modification to the model</t>
  </si>
  <si>
    <t>Keywords can be assigned to enable structured categorization of the models</t>
  </si>
  <si>
    <t>DESCRIPTION</t>
  </si>
  <si>
    <t>EXTERNAL CONNECTORS</t>
  </si>
  <si>
    <t>NAME (ALIAS)</t>
  </si>
  <si>
    <t>TYPE</t>
  </si>
  <si>
    <t>PHYSICAL UNIT</t>
  </si>
  <si>
    <t>TEMPERATURE</t>
  </si>
  <si>
    <t>TEMPERATURE UNIT</t>
  </si>
  <si>
    <t>PRESSURE</t>
  </si>
  <si>
    <t>PRESSURE UNIT</t>
  </si>
  <si>
    <t>VAPOR FRACTION [MASS]</t>
  </si>
  <si>
    <t>PHASE</t>
  </si>
  <si>
    <t>COMPOSITION [MOLE/MASS]</t>
  </si>
  <si>
    <t>MASS</t>
  </si>
  <si>
    <t>kg/h</t>
  </si>
  <si>
    <t>ELECTRICITY</t>
  </si>
  <si>
    <t>kW</t>
  </si>
  <si>
    <t>-</t>
  </si>
  <si>
    <t>INTERNAL CONNECTORS</t>
  </si>
  <si>
    <t>VARIABLE TYPES</t>
  </si>
  <si>
    <r>
      <rPr>
        <b/>
        <sz val="11"/>
        <color theme="1"/>
        <rFont val="Calibri"/>
        <family val="2"/>
      </rPr>
      <t>Context:</t>
    </r>
    <r>
      <rPr>
        <sz val="11"/>
        <color theme="1"/>
        <rFont val="Calibri"/>
        <family val="2"/>
      </rPr>
      <t xml:space="preserve"> These variables are defined at a higher level and refer to local conditions (e.g., ambient temperature and pressure), economic factors (e.g., specific costs), or energy-related parameters.</t>
    </r>
  </si>
  <si>
    <r>
      <rPr>
        <b/>
        <sz val="11"/>
        <color theme="1"/>
        <rFont val="Calibri"/>
        <family val="2"/>
      </rPr>
      <t xml:space="preserve">Literature: </t>
    </r>
    <r>
      <rPr>
        <sz val="11"/>
        <color theme="1"/>
        <rFont val="Calibri"/>
        <family val="2"/>
      </rPr>
      <t>These variables are defined from the literature sources. They include physical constants, reported efficiencies or other variables that are not measured but assumed from literature sources.</t>
    </r>
  </si>
  <si>
    <r>
      <rPr>
        <b/>
        <sz val="11"/>
        <color theme="1"/>
        <rFont val="Calibri"/>
        <family val="2"/>
      </rPr>
      <t>Measured:</t>
    </r>
    <r>
      <rPr>
        <sz val="11"/>
        <color theme="1"/>
        <rFont val="Calibri"/>
        <family val="2"/>
      </rPr>
      <t xml:space="preserve"> These variables are directly measured directly in the industrial or technological system.</t>
    </r>
  </si>
  <si>
    <r>
      <rPr>
        <b/>
        <sz val="11"/>
        <color theme="1"/>
        <rFont val="Calibri"/>
        <family val="2"/>
      </rPr>
      <t>Decision:</t>
    </r>
    <r>
      <rPr>
        <sz val="11"/>
        <color theme="1"/>
        <rFont val="Calibri"/>
        <family val="2"/>
      </rPr>
      <t xml:space="preserve"> These variable are set by the engineers to as degrees of freedom to evaluate their impact on the performance of the energy system</t>
    </r>
  </si>
  <si>
    <t>USER GRADE</t>
  </si>
  <si>
    <r>
      <rPr>
        <b/>
        <sz val="11"/>
        <color theme="1"/>
        <rFont val="Calibri"/>
        <family val="2"/>
      </rPr>
      <t xml:space="preserve">Mandatory: </t>
    </r>
    <r>
      <rPr>
        <sz val="11"/>
        <color theme="1"/>
        <rFont val="Calibri"/>
        <family val="2"/>
      </rPr>
      <t>The user of the model is expected to assign a default value to the variable.</t>
    </r>
  </si>
  <si>
    <r>
      <rPr>
        <b/>
        <sz val="11"/>
        <color theme="1"/>
        <rFont val="Calibri"/>
        <family val="2"/>
      </rPr>
      <t xml:space="preserve">Optional: </t>
    </r>
    <r>
      <rPr>
        <sz val="11"/>
        <color theme="1"/>
        <rFont val="Calibri"/>
        <family val="2"/>
      </rPr>
      <t>Experienced users can modify the default value.</t>
    </r>
  </si>
  <si>
    <r>
      <rPr>
        <b/>
        <sz val="11"/>
        <color theme="1"/>
        <rFont val="Calibri"/>
        <family val="2"/>
      </rPr>
      <t xml:space="preserve">Private: </t>
    </r>
    <r>
      <rPr>
        <sz val="11"/>
        <color theme="1"/>
        <rFont val="Calibri"/>
        <family val="2"/>
      </rPr>
      <t>Decided by the model developer, and users are not allowed to change the default value.</t>
    </r>
  </si>
  <si>
    <t>DECISION</t>
  </si>
  <si>
    <t>CONTEXT</t>
  </si>
  <si>
    <t>LITERATURE</t>
  </si>
  <si>
    <t>MEASURED</t>
  </si>
  <si>
    <t>MANDATORY</t>
  </si>
  <si>
    <t>°C</t>
  </si>
  <si>
    <t>DIRECTION</t>
  </si>
  <si>
    <t>VALUE</t>
  </si>
  <si>
    <t>IN</t>
  </si>
  <si>
    <t>OUT</t>
  </si>
  <si>
    <t>HEAT STREAMS</t>
  </si>
  <si>
    <t>Cold</t>
  </si>
  <si>
    <t>Hot</t>
  </si>
  <si>
    <t>DEFAULT</t>
  </si>
  <si>
    <t>EQUIPMENTS</t>
  </si>
  <si>
    <t>year</t>
  </si>
  <si>
    <t>The fixed and variable operating costs includes manpower, fixed cost of operation, taxes etc.</t>
  </si>
  <si>
    <t>TRL</t>
  </si>
  <si>
    <t>EQUIPMENTS DESCRIPTION</t>
  </si>
  <si>
    <t>OPERATING COST DESCRIPTION</t>
  </si>
  <si>
    <t>UNIT DESCRIPTION</t>
  </si>
  <si>
    <t>CONNECTORS DESCRIPTION</t>
  </si>
  <si>
    <t>UNIT NAME</t>
  </si>
  <si>
    <t>MAXIMUM CAPACITY MULT</t>
  </si>
  <si>
    <t>MINIMUM CAPACITY MULT</t>
  </si>
  <si>
    <t>HEAT CASCADE</t>
  </si>
  <si>
    <t>NAME</t>
  </si>
  <si>
    <t>PARAMS</t>
  </si>
  <si>
    <t>FIXED OPERATING COST [EUR/y]</t>
  </si>
  <si>
    <t>VARIABLE OPERATING COST [EUR/h]</t>
  </si>
  <si>
    <t>HEAT STREAMS DESCRIPTION</t>
  </si>
  <si>
    <t>The variable operating cost is calculated by multiplying the specific operating cost [EUR/kWh or EUR/kg] and reference capacity [kW or kg/h]</t>
  </si>
  <si>
    <t>Fetch the intensive properties from the connectors tab</t>
  </si>
  <si>
    <t>The declared connectors within the units can be a mix of external and internal connectors</t>
  </si>
  <si>
    <t>kJ/kg</t>
  </si>
  <si>
    <t>FULL NAME</t>
  </si>
  <si>
    <t>MIN BOUND</t>
  </si>
  <si>
    <t>MAX BOUND</t>
  </si>
  <si>
    <t>LATEX SYNTAX</t>
  </si>
  <si>
    <t>Precheck that each of these internal connectors has at least one in and one out within a model.</t>
  </si>
  <si>
    <t>External connectors should be defined in a global database that documents the physical units and the quality of the connectors to be used for models integration</t>
  </si>
  <si>
    <t>MODEL UID</t>
  </si>
  <si>
    <t>MODEL NAME</t>
  </si>
  <si>
    <t>AUTHORS AND CONTRIBUTORS</t>
  </si>
  <si>
    <t>VERSION</t>
  </si>
  <si>
    <t>CONFIDENTIALITY</t>
  </si>
  <si>
    <t>CREATION DATE</t>
  </si>
  <si>
    <t>REFERENCES</t>
  </si>
  <si>
    <t>GRADE</t>
  </si>
  <si>
    <t>SOFTWARE</t>
  </si>
  <si>
    <t>LAST UPDATED</t>
  </si>
  <si>
    <t>KEYWORDS</t>
  </si>
  <si>
    <t>REFERENCE CAPACITY 
(MAIN PRODUCT/FEEDSTOCK)</t>
  </si>
  <si>
    <t>DOI</t>
  </si>
  <si>
    <t>BLOCK FLOW DIAGRAM ( .png or .svg)</t>
  </si>
  <si>
    <t>CONTACT INFO</t>
  </si>
  <si>
    <t>daniel.florezorrego@epfl.ch, oktay.boztas@epfl.ch</t>
  </si>
  <si>
    <t>MAIN RELATED PUBLICATION</t>
  </si>
  <si>
    <t>MODEL STATUS</t>
  </si>
  <si>
    <t>Maintained</t>
  </si>
  <si>
    <t>SUPPLEMENTARY MATERIAL</t>
  </si>
  <si>
    <t>AUTHORS</t>
  </si>
  <si>
    <t>SIZE</t>
  </si>
  <si>
    <t>FORMAT</t>
  </si>
  <si>
    <t>LIST OF SUPPLEMENTARY MATERIAL</t>
  </si>
  <si>
    <t>No.</t>
  </si>
  <si>
    <t>DATE</t>
  </si>
  <si>
    <t>COMMENTS</t>
  </si>
  <si>
    <t>CONTRIBUTOR</t>
  </si>
  <si>
    <t>1.0.1</t>
  </si>
  <si>
    <t>Original file</t>
  </si>
  <si>
    <t>PARAMETER</t>
  </si>
  <si>
    <t>Drawio</t>
  </si>
  <si>
    <t>50 kB</t>
  </si>
  <si>
    <t>See SUPPL MATERIAL tab</t>
  </si>
  <si>
    <t>VARIABLE NAME</t>
  </si>
  <si>
    <t>SOFTWARE FILE</t>
  </si>
  <si>
    <t>UID</t>
  </si>
  <si>
    <t>Metadata is important for model documentation and versioning, as well as for authorship and supplementary material indexation</t>
  </si>
  <si>
    <t>SHARING LAYER</t>
  </si>
  <si>
    <t>SUBTYPE</t>
  </si>
  <si>
    <t>REFERENCE</t>
  </si>
  <si>
    <t>INLET TEMPERATURE UNIT</t>
  </si>
  <si>
    <t>OUTLET TEMPERATURE UNIT</t>
  </si>
  <si>
    <t>OUTLET ENTHALPY FLOW UNIT</t>
  </si>
  <si>
    <t>SPEC HEAT CAP UNIT</t>
  </si>
  <si>
    <t>INLET TEMPERATURE VALUE</t>
  </si>
  <si>
    <t>OUTLET TEMPERATURE VALUE</t>
  </si>
  <si>
    <t>INLET ENTHALPY FLOW VALUE</t>
  </si>
  <si>
    <t>INLET ENTHALPY FLOW UNIT</t>
  </si>
  <si>
    <t>OUTLET ENTHALPY FLOW VALUE</t>
  </si>
  <si>
    <t>SPEC HEAT CAP VALUE</t>
  </si>
  <si>
    <t>MASS FLOW VALUE</t>
  </si>
  <si>
    <t>MASS FLOW UNIT</t>
  </si>
  <si>
    <t>DTMIN CONTR VALUE</t>
  </si>
  <si>
    <t>DTMIN CONTR UNIT</t>
  </si>
  <si>
    <t>HEAT TRANSFER COEF VALUE</t>
  </si>
  <si>
    <t>HEAT TRANSFER COEF UNIT</t>
  </si>
  <si>
    <t>REFERENCE STREAM</t>
  </si>
  <si>
    <t>Obtain investment from equipments cost database, which already provides the application range</t>
  </si>
  <si>
    <t>METADATA</t>
  </si>
  <si>
    <t>The metadata section includes essential metadata about the model. The information provided ensures clear classification, proper attribution, and traceability by capturing key details about the model’s identity, origin, and context.</t>
  </si>
  <si>
    <t>Interconnections between processes and energy technologies are established via connectors, which serve as structured representations of mass, electricity, and heat flows. They are analogous to pipelines that is mediating the exchange of flows at the boundaries of units. They can be categorised as:
- External connectors in case they are realizing an exchange between the unit and technosphere or environment. Example to external connectors are feedstock, product, waste or emission flows.
- Internal connectors, which represent exchanges occurring between subprocesses, where the flows remain within the boundaries of the overall process.</t>
  </si>
  <si>
    <t>Units are blocks that represent the transformations occurring within a defined boundary of a process or energy technology. These transformations are expressed through connector. Units may have material flows, electricity consumption or supply, and heat demand or supply, represented by hot and cold heat streams. Units are considered to be linearly scalable within a defined capacity range during MILP optimization, specified by minimum and maximum multipliers. The units are defined for a reference capacity.</t>
  </si>
  <si>
    <t>Digital object identifier of the model</t>
  </si>
  <si>
    <t>Description of the model for discoverability and overview</t>
  </si>
  <si>
    <t>List of supplementary material of the model</t>
  </si>
  <si>
    <t>Keeps a clear version history</t>
  </si>
  <si>
    <t>The level of sensitivity can be indicated as open, restricted, confidential</t>
  </si>
  <si>
    <t>Authors and contributors to the development of the model with their affiliated organizations.</t>
  </si>
  <si>
    <t>Contact information of the authors and contributors</t>
  </si>
  <si>
    <t>Maintained or Archived model</t>
  </si>
  <si>
    <t>The sharing layer is the extent of detail adopted for the model at certain time</t>
  </si>
  <si>
    <t>Black-box for static or surrogate models, Gray-box for partly adjustable models, and White-box for models with flowsheet</t>
  </si>
  <si>
    <t>The reference capacity of the model can be defined based on the main product</t>
  </si>
  <si>
    <t>Technology readiness level of the model. The minimum TRL corresponds to the minimum level considering the model units</t>
  </si>
  <si>
    <t>Link to the main related publication(s) to the model</t>
  </si>
  <si>
    <t>References used during the model development can be provided in a .bib file</t>
  </si>
  <si>
    <t>Physycal file of the model (if available), otherwise, N.A.</t>
  </si>
  <si>
    <t>Graphical representation of the block flow diagram of the model</t>
  </si>
  <si>
    <t>Link to the repository where the model is alternatively stored</t>
  </si>
  <si>
    <r>
      <rPr>
        <b/>
        <sz val="11"/>
        <color theme="1"/>
        <rFont val="Calibri"/>
        <family val="2"/>
        <scheme val="minor"/>
      </rPr>
      <t>Calculated</t>
    </r>
    <r>
      <rPr>
        <sz val="11"/>
        <color theme="1"/>
        <rFont val="Calibri"/>
        <family val="2"/>
        <scheme val="minor"/>
      </rPr>
      <t>: These are derived variables, calculated based on the previous types of variables and are considered as dependent variables</t>
    </r>
  </si>
  <si>
    <t>TEMPERATURE VALUE</t>
  </si>
  <si>
    <t>PRESSURE VALUE</t>
  </si>
  <si>
    <t>FLOW VALUE</t>
  </si>
  <si>
    <t>FLOW UNIT</t>
  </si>
  <si>
    <t>UNIT</t>
  </si>
  <si>
    <t>Compare Fmin and Fmax to define if it scalable of fixed, if fixed Fmin=Fmax=Fmult</t>
  </si>
  <si>
    <t>FORMULA OR PATH</t>
  </si>
  <si>
    <t>DEFAULT VALUE</t>
  </si>
  <si>
    <t>Methanol Production</t>
  </si>
  <si>
    <t>Daniel Florez-Orrego, Meire Domingos</t>
  </si>
  <si>
    <t>Methanol Production, Syngas, Distillation, Reactor, Compressor</t>
  </si>
  <si>
    <t>11.12.2025</t>
  </si>
  <si>
    <t>NA</t>
  </si>
  <si>
    <t>Figures/MeohProduction.svg</t>
  </si>
  <si>
    <t>Methanol production from purified syngas with H2/CO 2</t>
  </si>
  <si>
    <t>Elec</t>
  </si>
  <si>
    <t>dtmin_gas</t>
  </si>
  <si>
    <t>Minimum temperature difference for gases</t>
  </si>
  <si>
    <t>$\mathrm{dtmin\_gas}$</t>
  </si>
  <si>
    <t>Minimum temperature difference contribution from gases</t>
  </si>
  <si>
    <t>dtmin_liq</t>
  </si>
  <si>
    <t>Minimum temperature difference for liquids</t>
  </si>
  <si>
    <t>$\mathrm{dtmin\_liq}$</t>
  </si>
  <si>
    <t>Minimum temperature difference contribution from liquids</t>
  </si>
  <si>
    <t>dtmin_2ph</t>
  </si>
  <si>
    <t>Minimum temperature difference for phase change</t>
  </si>
  <si>
    <t>$\mathrm{dtmin\_2ph}$</t>
  </si>
  <si>
    <t>Minimum temperature difference contribution from phase change</t>
  </si>
  <si>
    <t>meoh_h1_ti</t>
  </si>
  <si>
    <t>$\mathrm{meoh\_h1\_ti}$</t>
  </si>
  <si>
    <t>meoh_h1_to</t>
  </si>
  <si>
    <t>$\mathrm{meoh\_h1\_to}$</t>
  </si>
  <si>
    <t>meoh_h1_ho</t>
  </si>
  <si>
    <t>Heat duty of first compressor intercooler</t>
  </si>
  <si>
    <t>$\mathrm{meoh\_h1\_ho}$</t>
  </si>
  <si>
    <t>Heat duty of the first syngas compressor stage</t>
  </si>
  <si>
    <t>meoh_h2_ti</t>
  </si>
  <si>
    <t>Inlet temperature of syngas compressor stage 2</t>
  </si>
  <si>
    <t>$\mathrm{meoh\_h2\_ti}$</t>
  </si>
  <si>
    <t>meoh_h2_to</t>
  </si>
  <si>
    <t>Outlet temperature of syngas compressor stage 2</t>
  </si>
  <si>
    <t>$\mathrm{meoh\_h2\_to}$</t>
  </si>
  <si>
    <t>meoh_h2_ho</t>
  </si>
  <si>
    <t>Heat duty of second compressor intercooler</t>
  </si>
  <si>
    <t>$\mathrm{meoh\_h2\_ho}$</t>
  </si>
  <si>
    <t>Heat duty of the second syngas compressor stage</t>
  </si>
  <si>
    <t>e_meoh_1</t>
  </si>
  <si>
    <t>Power consumption in syngas compressor stage 1</t>
  </si>
  <si>
    <t>$\mathrm{e\_meoh\_1}$</t>
  </si>
  <si>
    <t>Power consumption in the first syngas compressor stage</t>
  </si>
  <si>
    <t>e_meoh_2</t>
  </si>
  <si>
    <t>Power consumption in syngas compressor stage 2</t>
  </si>
  <si>
    <t>$\mathrm{e\_meoh\_2}$</t>
  </si>
  <si>
    <t>Power consumption in the second syngas compressor stage</t>
  </si>
  <si>
    <t>meoh_c1_ti</t>
  </si>
  <si>
    <t>Inlet temperature of preheater 1</t>
  </si>
  <si>
    <t>$\mathrm{meoh\_c1\_ti}$</t>
  </si>
  <si>
    <t>Temperature inlet of preheating</t>
  </si>
  <si>
    <t>meoh_c1_to</t>
  </si>
  <si>
    <t>Outlet temperature of preheater 1</t>
  </si>
  <si>
    <t>$\mathrm{meoh\_c1\_to}$</t>
  </si>
  <si>
    <t>Temperature outlet of preheating</t>
  </si>
  <si>
    <t>meoh_c1_ho</t>
  </si>
  <si>
    <t>Heat duty of preheater 1</t>
  </si>
  <si>
    <t>$\mathrm{meoh\_c1\_ho}$</t>
  </si>
  <si>
    <t>Heat duty of preheating</t>
  </si>
  <si>
    <t>meoh_c2_ti</t>
  </si>
  <si>
    <t>Inlet temperature of preheater 2</t>
  </si>
  <si>
    <t>$\mathrm{meoh\_c2\_ti}$</t>
  </si>
  <si>
    <t>meoh_c2_to</t>
  </si>
  <si>
    <t>Outlet temperature of preheater 2</t>
  </si>
  <si>
    <t>$\mathrm{meoh\_c2\_to}$</t>
  </si>
  <si>
    <t>meoh_c2_ho</t>
  </si>
  <si>
    <t>Heat duty of preheater 2</t>
  </si>
  <si>
    <t>$\mathrm{meoh\_c2\_ho}$</t>
  </si>
  <si>
    <t>meoh_h5_ti</t>
  </si>
  <si>
    <t>Inlet temperature of reactor effluent cooler</t>
  </si>
  <si>
    <t>$\mathrm{meoh\_h5\_ti}$</t>
  </si>
  <si>
    <t>Temperature inlet of cooling</t>
  </si>
  <si>
    <t>meoh_h5_to</t>
  </si>
  <si>
    <t>Outlet temperature of reactor effluent cooler</t>
  </si>
  <si>
    <t>$\mathrm{meoh\_h5\_to}$</t>
  </si>
  <si>
    <t>Temperature outlet of cooling</t>
  </si>
  <si>
    <t>meoh_h5_ho</t>
  </si>
  <si>
    <t>Heat duty of reactor effluent cooler</t>
  </si>
  <si>
    <t>$\mathrm{meoh\_h5\_ho}$</t>
  </si>
  <si>
    <t>Heat duty of reactor effluent cooling</t>
  </si>
  <si>
    <t>meoh_h6_ti</t>
  </si>
  <si>
    <t>Inlet temperature of preflash cooler 1</t>
  </si>
  <si>
    <t>$\mathrm{meoh\_h6\_ti}$</t>
  </si>
  <si>
    <t>Temperature inlet of preflash cooling</t>
  </si>
  <si>
    <t>meoh_h6_to</t>
  </si>
  <si>
    <t>Outlet temperature of preflash cooler 1</t>
  </si>
  <si>
    <t>$\mathrm{meoh\_h6\_to}$</t>
  </si>
  <si>
    <t>Temperature out of preflash cooling</t>
  </si>
  <si>
    <t>meoh_h6_ho</t>
  </si>
  <si>
    <t>Heat duty of preflash cooler 1</t>
  </si>
  <si>
    <t>$\mathrm{meoh\_h6\_ho}$</t>
  </si>
  <si>
    <t>Heat duty of preflash cooling</t>
  </si>
  <si>
    <t>meoh_h10_ti</t>
  </si>
  <si>
    <t>Inlet temperature of preflash cooler 2</t>
  </si>
  <si>
    <t>$\mathrm{meoh\_h10\_ti}$</t>
  </si>
  <si>
    <t>meoh_h10_to</t>
  </si>
  <si>
    <t>Outlet temperature of preflash cooler 2</t>
  </si>
  <si>
    <t>$\mathrm{meoh\_h10\_to}$</t>
  </si>
  <si>
    <t>meoh_h10_ho</t>
  </si>
  <si>
    <t>Heat duty of preflash cooler 2</t>
  </si>
  <si>
    <t>$\mathrm{meoh\_h10\_ho}$</t>
  </si>
  <si>
    <t>meoh_h7_ti</t>
  </si>
  <si>
    <t>Inlet temperature of methanol reactor</t>
  </si>
  <si>
    <t>$\mathrm{meoh\_h7\_ti}$</t>
  </si>
  <si>
    <t>Temperature inlet of methanol reactor</t>
  </si>
  <si>
    <t>meoh_h7_to</t>
  </si>
  <si>
    <t>Outlet temperature of methanol reactor</t>
  </si>
  <si>
    <t>$\mathrm{meoh\_h7\_to}$</t>
  </si>
  <si>
    <t>Temperature outlet of methanol reactor</t>
  </si>
  <si>
    <t>meoh_h7_ho</t>
  </si>
  <si>
    <t>Heat duty of methanol reactor cooling</t>
  </si>
  <si>
    <t>$\mathrm{meoh\_h7\_ho}$</t>
  </si>
  <si>
    <t>meoh_h8_ti</t>
  </si>
  <si>
    <t>Inlet temperature of distillation condenser</t>
  </si>
  <si>
    <t>$\mathrm{meoh\_h8\_ti}$</t>
  </si>
  <si>
    <t>Temperature inlet of condenser of distillation column</t>
  </si>
  <si>
    <t>meoh_h8_to</t>
  </si>
  <si>
    <t>Outlet temperature of distillation condenser</t>
  </si>
  <si>
    <t>$\mathrm{meoh\_h8\_to}$</t>
  </si>
  <si>
    <t>Temperature outlet of condenser of distillation column</t>
  </si>
  <si>
    <t>meoh_h8_ho</t>
  </si>
  <si>
    <t>Heat duty of distillation condenser</t>
  </si>
  <si>
    <t>$\mathrm{meoh\_h8\_ho}$</t>
  </si>
  <si>
    <t>Heat duty of the condenser of distillation column</t>
  </si>
  <si>
    <t>meoh_h9_ti</t>
  </si>
  <si>
    <t>Inlet temperature of distillation reboiler</t>
  </si>
  <si>
    <t>$\mathrm{meoh\_h9\_ti}$</t>
  </si>
  <si>
    <t>Temperature inlet of reboiler of distillation column</t>
  </si>
  <si>
    <t>meoh_h9_to</t>
  </si>
  <si>
    <t>Outlet temperature of distillation reboiler</t>
  </si>
  <si>
    <t>$\mathrm{meoh\_h9\_to}$</t>
  </si>
  <si>
    <t>Temperature outlet of reboiler of distillation column</t>
  </si>
  <si>
    <t>meoh_h9_ho</t>
  </si>
  <si>
    <t>Heat duty of distillation reboiler</t>
  </si>
  <si>
    <t>$\mathrm{meoh\_h9\_ho}$</t>
  </si>
  <si>
    <t>Heat duty of the reboiler of distillation column</t>
  </si>
  <si>
    <t>meoh_h11_ti</t>
  </si>
  <si>
    <t>Inlet temperature of condenser effluent cooler</t>
  </si>
  <si>
    <t>$\mathrm{meoh\_h11\_ti}$</t>
  </si>
  <si>
    <t>Temperature inlet of cooler of condenser effluent of distillation column</t>
  </si>
  <si>
    <t>meoh_h11_to</t>
  </si>
  <si>
    <t>Outlet temperature of condenser effluent cooler</t>
  </si>
  <si>
    <t>$\mathrm{meoh\_h11\_to}$</t>
  </si>
  <si>
    <t>Temperature outlet of cooler of condenser effluent of distillation column</t>
  </si>
  <si>
    <t>meoh_h11_ho</t>
  </si>
  <si>
    <t>Heat duty of condenser effluent cooler</t>
  </si>
  <si>
    <t>$\mathrm{meoh\_h11\_ho}$</t>
  </si>
  <si>
    <t>Heat duty of subcooling of condenser effluent of distillation column</t>
  </si>
  <si>
    <t>meoh_h12_ti</t>
  </si>
  <si>
    <t>Inlet temperature of column bottoms cooler</t>
  </si>
  <si>
    <t>$\mathrm{meoh\_h12\_ti}$</t>
  </si>
  <si>
    <t>Temperature inlet of cooler of bottoms effluent of distillation column</t>
  </si>
  <si>
    <t>meoh_h12_to</t>
  </si>
  <si>
    <t>Outlet temperature of column bottoms cooler</t>
  </si>
  <si>
    <t>$\mathrm{meoh\_h12\_to}$</t>
  </si>
  <si>
    <t>meoh_h12_ho</t>
  </si>
  <si>
    <t>Heat duty of column bottoms cooler</t>
  </si>
  <si>
    <t>$\mathrm{meoh\_h12\_ho}$</t>
  </si>
  <si>
    <t>Heat duty of subcooling of distillation column</t>
  </si>
  <si>
    <t>e_meoh_5</t>
  </si>
  <si>
    <t>Power consumption in methanol circulator pump</t>
  </si>
  <si>
    <t>$\mathrm{e\_meoh\_5}$</t>
  </si>
  <si>
    <t>Power consumption in the circulator pump of methanol</t>
  </si>
  <si>
    <t>SynGasCons</t>
  </si>
  <si>
    <t>Mass flow rate of syngas consumed</t>
  </si>
  <si>
    <t>$\mathrm{SynGasCons}$</t>
  </si>
  <si>
    <t>Mass flow rate of syngas consumed in the methanol production unit H2:CO 2:1 molar</t>
  </si>
  <si>
    <t>Mass flow rate of methanol produced</t>
  </si>
  <si>
    <t>$\mathrm{meohmarket1}$</t>
  </si>
  <si>
    <t>LHV_meoh</t>
  </si>
  <si>
    <t>Lower heating value of methanol</t>
  </si>
  <si>
    <t>$\mathrm{LHV\_meoh}$</t>
  </si>
  <si>
    <t>Base_MeOHCost</t>
  </si>
  <si>
    <t>Reference methanol plant cost</t>
  </si>
  <si>
    <t>Eur</t>
  </si>
  <si>
    <t>$\mathrm{Base\_MeOHCost}$</t>
  </si>
  <si>
    <t>Base_MeOHCapac</t>
  </si>
  <si>
    <t>$\mathrm{Base\_MeOHCapac}$</t>
  </si>
  <si>
    <t>Reference methanol plant energy production rate for costing</t>
  </si>
  <si>
    <t>sc</t>
  </si>
  <si>
    <t>Scaling power coefficient</t>
  </si>
  <si>
    <t>$\mathrm{sc}$</t>
  </si>
  <si>
    <t>n</t>
  </si>
  <si>
    <t>Lifetime of methanol plant</t>
  </si>
  <si>
    <t>$\mathrm{n}$</t>
  </si>
  <si>
    <t>Lifetime of the methanol production plant</t>
  </si>
  <si>
    <t>i</t>
  </si>
  <si>
    <t>Interest rate</t>
  </si>
  <si>
    <t>$\mathrm{i}$</t>
  </si>
  <si>
    <t>CEPCI_2022</t>
  </si>
  <si>
    <t>$\mathrm{CEPCI\_2022}$</t>
  </si>
  <si>
    <t>meohmarketoKW</t>
  </si>
  <si>
    <t>Methanol energy flow rate</t>
  </si>
  <si>
    <t>$\mathrm{meohmarketoKW}$</t>
  </si>
  <si>
    <t>Energy flow rate of methanol produced</t>
  </si>
  <si>
    <t>e_demand</t>
  </si>
  <si>
    <t>Total electrical demand</t>
  </si>
  <si>
    <t>$\mathrm{e\_demand}$</t>
  </si>
  <si>
    <t>Power consumption for syngas compressor and methanol circulator</t>
  </si>
  <si>
    <t>Annuity</t>
  </si>
  <si>
    <t>Annualization factor</t>
  </si>
  <si>
    <t>$\mathrm{Annuity}$</t>
  </si>
  <si>
    <t>Cinv2_meoh</t>
  </si>
  <si>
    <t>Investment cost of methanol plant</t>
  </si>
  <si>
    <t>Eur/y</t>
  </si>
  <si>
    <t>$\mathrm{Cinv2\_meoh}$</t>
  </si>
  <si>
    <t>MeohProduction</t>
  </si>
  <si>
    <t>qt_c110</t>
  </si>
  <si>
    <t>qt_c111</t>
  </si>
  <si>
    <t>qt_h118</t>
  </si>
  <si>
    <t>qt_h119</t>
  </si>
  <si>
    <t>qt_h122</t>
  </si>
  <si>
    <t>qt_h123</t>
  </si>
  <si>
    <t>qt_h124</t>
  </si>
  <si>
    <t>qt_h125</t>
  </si>
  <si>
    <t>qt_h126</t>
  </si>
  <si>
    <t>qt_h127</t>
  </si>
  <si>
    <t>qt_h128</t>
  </si>
  <si>
    <t>qt_h129</t>
  </si>
  <si>
    <t>.svg</t>
  </si>
  <si>
    <t>Net electrical power consumed by the methanol synthesis unit.</t>
  </si>
  <si>
    <t>bar</t>
  </si>
  <si>
    <t>(V)</t>
  </si>
  <si>
    <t>(L)</t>
  </si>
  <si>
    <t>MASSFRAC:CH3OH[1]</t>
  </si>
  <si>
    <t>Marketable methanol product flow from the methanol synthesis unit</t>
  </si>
  <si>
    <t>CO2-FLUEGAS</t>
  </si>
  <si>
    <t>CO2inFlueGas</t>
  </si>
  <si>
    <t>EMISSIONS</t>
  </si>
  <si>
    <t>MASSFRAC:CO2[1]</t>
  </si>
  <si>
    <t>MOLEFRAC:H2[0.6424]&amp;CO[0.3127]</t>
  </si>
  <si>
    <t>Purified syngas feed (H2:CO = 2:1) into the methanol synthesis unit</t>
  </si>
  <si>
    <t>CO2-containing flue gas from purge gas flaring, potentially capturable</t>
  </si>
  <si>
    <t>CO2inflarestack</t>
  </si>
  <si>
    <t>CO2 in purge gas flare stack</t>
  </si>
  <si>
    <t>$\mathrm{CO_2inflarestack}$</t>
  </si>
  <si>
    <t>Heat duty cooling of isothermal methanol reactor</t>
  </si>
  <si>
    <t>Temperature inlet syngas compressor stage 1 intercooling</t>
  </si>
  <si>
    <t>Temperature outlet syngas compressor stage 1 intercooling</t>
  </si>
  <si>
    <t>Temperature inlet syngas compressor stage 2 intercooling</t>
  </si>
  <si>
    <t>Temperature outlet syngas compressor stage 2 intercooling</t>
  </si>
  <si>
    <t>Inlet temperature of syngas intercooler 1</t>
  </si>
  <si>
    <t>Outlet temperature of syngas intercooler 1</t>
  </si>
  <si>
    <t>meohmarket1/3600*LHV_meoh</t>
  </si>
  <si>
    <t>e_meoh_1+e_meoh_2+e_meoh_5</t>
  </si>
  <si>
    <t>(i*(i+1)^n)/((i+1)^n-1)</t>
  </si>
  <si>
    <t>Base_MeOHCost*((meohmarketoKW/Base_MeOHCapac)^sc)*(CEPCI_2022/CEPCI_2022)*Annuity</t>
  </si>
  <si>
    <t>meohmarketotal</t>
  </si>
  <si>
    <t>Reference methanol plant investment cost 18.3M Eur per 30.2 MW of methanol produced(2022)</t>
  </si>
  <si>
    <t>2022 CEPCI</t>
  </si>
  <si>
    <t>No</t>
  </si>
  <si>
    <t>Yes</t>
  </si>
  <si>
    <t>qt_h130</t>
  </si>
  <si>
    <t>qt_h131</t>
  </si>
  <si>
    <t>meoh_h13_to</t>
  </si>
  <si>
    <t>meoh_h13_ti</t>
  </si>
  <si>
    <t>meoh_h13_ho</t>
  </si>
  <si>
    <t>meoh_h14_ti</t>
  </si>
  <si>
    <t>meoh_h14_to</t>
  </si>
  <si>
    <t>meoh_h14_ho</t>
  </si>
  <si>
    <t>Inlet temperature of purge flaring 1</t>
  </si>
  <si>
    <t>Outlet temperature of purge flaring 1</t>
  </si>
  <si>
    <t>Heat duty of purge flaring 1</t>
  </si>
  <si>
    <t>Inlet temperature of purge flaring 2</t>
  </si>
  <si>
    <t>Outlet temperature of purge flaring 2</t>
  </si>
  <si>
    <t>Heat duty of purge flaring 2</t>
  </si>
  <si>
    <t>$\mathrm{meoh\_h13\_ti}$</t>
  </si>
  <si>
    <t>$\mathrm{meoh\_h13\_to}$</t>
  </si>
  <si>
    <t>$\mathrm{meoh\_h13\_ho}$</t>
  </si>
  <si>
    <t>$\mathrm{meoh\_h14\_ti}$</t>
  </si>
  <si>
    <t>$\mathrm{meoh\_h14\_to}$</t>
  </si>
  <si>
    <t>$\mathrm{meoh\_h14\_ho}$</t>
  </si>
  <si>
    <t>Temperature inlet of cooler of bottoms effluent of purge flaring 1</t>
  </si>
  <si>
    <t>Temperature outlet of cooler of condenser effluent of purge flaring 1</t>
  </si>
  <si>
    <t>Heat duty of subcooling of purge flaring 1</t>
  </si>
  <si>
    <t>Temperature inlet of cooler of bottoms effluent of purge flaring 2</t>
  </si>
  <si>
    <t>Temperature outlet of cooler of condenser effluent of purge flaring 2</t>
  </si>
  <si>
    <t>Heat duty of subcooling of purge flaring 2</t>
  </si>
  <si>
    <t xml:space="preserve">Syngas preheating before methanol converter </t>
  </si>
  <si>
    <t>Syngas final preheat before methanol reactor inlet</t>
  </si>
  <si>
    <t>Intercooling after syngas compressor stage 1</t>
  </si>
  <si>
    <t>Intercooling after syngas compressor stage 2</t>
  </si>
  <si>
    <t>Reactor outlet cooling via feed-effluent heat exchanger</t>
  </si>
  <si>
    <t>Cooling methanol-rich stream to flash separation conditions</t>
  </si>
  <si>
    <t>Methanol reactor exothermic reaction heat removal</t>
  </si>
  <si>
    <t>Distillation column condenser, methanol vapour condensation</t>
  </si>
  <si>
    <t>Distillation column reboiler, methanol-water mixture vaporisation</t>
  </si>
  <si>
    <t>Pre-flash 2 condensation duty</t>
  </si>
  <si>
    <t xml:space="preserve">Cooling of liquid methanol distillate from condenser temperature to storage </t>
  </si>
  <si>
    <t>Cooling of liquid bottoms stream from reboiler temperature to storage</t>
  </si>
  <si>
    <t>Purge gas combustion in flare, isothermal radiation heat release</t>
  </si>
  <si>
    <t>Flue gas cooling from flare stack outlet to stack discharge temperature</t>
  </si>
  <si>
    <t>This unit models the production of methanol from purified syngas (H2:CO = 2:1), at a production capacity of 12102.8 kg/h of methanol, with syngas compression from 35 to 90 bar, catalytic methanol synthesis, and distillation purification.</t>
  </si>
  <si>
    <t>Purified syngas is compressed and converted to methanol over a catalyst. The crude methanol is separated by distillation yielding marketable methanol. Purge gas is flared producing CO2-containing flue gas. Electricity is consumed by compressors and the recirculation pump.</t>
  </si>
  <si>
    <t>The syngas is compressed in two stages with intercooling, preheated and fed to the methanol reactor. The reactor exotherm is recovered, crude methanol is flashed and purified by distillation. Purge gas is flared.</t>
  </si>
  <si>
    <t>Syngas compressors, a methanol synthesis reactor, a feed-effluent heat exchanger, flash separators, a distillation column and a recirculation pump are the main equipment items for cost calculation.</t>
  </si>
  <si>
    <t>SyngasCompressor1</t>
  </si>
  <si>
    <t>Compressor</t>
  </si>
  <si>
    <t>Centrifugal</t>
  </si>
  <si>
    <t>@Towler and Sinnott</t>
  </si>
  <si>
    <t>Power</t>
  </si>
  <si>
    <t>Material</t>
  </si>
  <si>
    <t>Carbon Steel</t>
  </si>
  <si>
    <t>Lifetime</t>
  </si>
  <si>
    <t>years</t>
  </si>
  <si>
    <t>Date</t>
  </si>
  <si>
    <t>SyngasCompressor2</t>
  </si>
  <si>
    <t>MeOHReactor</t>
  </si>
  <si>
    <t>Reactor</t>
  </si>
  <si>
    <t>Fixed-bed catalytic</t>
  </si>
  <si>
    <t>Volume</t>
  </si>
  <si>
    <t>m3</t>
  </si>
  <si>
    <t>Pressure</t>
  </si>
  <si>
    <t>Stainless Steel</t>
  </si>
  <si>
    <t>DistillationColumn</t>
  </si>
  <si>
    <t>Distillation</t>
  </si>
  <si>
    <t>Tray column</t>
  </si>
  <si>
    <t>Diameter</t>
  </si>
  <si>
    <t>m</t>
  </si>
  <si>
    <t>MeOHUnit</t>
  </si>
  <si>
    <t>Asset</t>
  </si>
  <si>
    <t>@Domingos et al</t>
  </si>
  <si>
    <t>Capital</t>
  </si>
  <si>
    <t>EUR</t>
  </si>
  <si>
    <t>1. Overview</t>
  </si>
  <si>
    <t>2. Process Description</t>
  </si>
  <si>
    <t>3. Energy Balance Summary</t>
  </si>
  <si>
    <t>4. Design Constraints</t>
  </si>
  <si>
    <t>5. Key Model Parameters</t>
  </si>
  <si>
    <t>6. References</t>
  </si>
  <si>
    <t>Purified syngas feed into the methanol synthesis unit</t>
  </si>
  <si>
    <t>Reference methanol plant capacity (power)</t>
  </si>
  <si>
    <t>kW/m2K</t>
  </si>
  <si>
    <t>kJ/kgK</t>
  </si>
  <si>
    <t>Syngas</t>
  </si>
  <si>
    <t>Meoh</t>
  </si>
  <si>
    <t>SYNGAS</t>
  </si>
  <si>
    <t>MEOH</t>
  </si>
  <si>
    <t>[1] Domingos et al. Techno-economic and environmental analysis of methanol and dimethyl ether production from syngas in a kraft pulp process, https://www.sciencedirect.com/science/article/pii/S009813542200148X?via%3Dihub;
[2] Tountas, A. A., Peng, X., Tavasoli, A. V., Duchesne, P. N., Dingle, T. L., Dong, Y., ... &amp; Ozin, G. A. (2019). Towards solar methanol: past, present, and future. Advanced Science, 6(8), 1801903. 
[3] Kiss, A.A., Pragt, J., Vos, H., Bargeman, G., De Groot, M., 2016. Novel efficient process for methanol synthesis by CO2 hydrogenation. Chem. Eng. J. 284, 260–269.
[4] https://doi.org/10.1016/j.jcou.2023.102563</t>
  </si>
  <si>
    <t>EPFL IPESE research group</t>
  </si>
  <si>
    <t>[4]</t>
  </si>
  <si>
    <t>The catalytic conversion of synthesis gas (syngas) to methanol is a well-established industrial process operated at elevated pressure and moderate temperature over a copper-based catalyst (Cu/ZnO/Al2O3). Syngas reacts according to the following equilibrium reactions:</t>
  </si>
  <si>
    <t>2.1 Syngas Compression: Syngas is compressed to 90 bar in two centrifugal stages with intercooling. The first stage rejects approximately 532.9 kW, and the second rejects 651.5 kW.</t>
  </si>
  <si>
    <t>2.2 Feed Preheating &amp; Synthesis: Syngas is preheated to the reactor inlet temperature of 210°C. The fixed-bed reactor operates isothermally, rejecting 10,746 kW of reaction heat.</t>
  </si>
  <si>
    <t>2.3 Separation &amp; Distillation: Reactor effluent is cooled and undergoes flash separation. Crude methanol is then purified in a distillation column. The condenser rejects heat at 54°C, while the reboiler absorbs heat at 67°C.</t>
  </si>
  <si>
    <t>2.4 Purge Gas Flaring: Non-condensable purge gas is combusted, generating 1,093.2 kg/h of CO2.</t>
  </si>
  <si>
    <t>The synthesis loop pressure is maintained at 90 bar to optimize per-pass conversion. The reactor temperature (210°C) balances reaction kinetics with thermodynamic yield. The distillation column operating pressure ensures the condenser (54°C) can be cooled with standard utilities.</t>
  </si>
  <si>
    <t>$CO + 2H_2 = CH_3OH$ (DH = -90.5 kJ/mol) and $CO_2 + 3H_2 = CH_3OH + H_2O$ (DH = -49.5 kJ/mol).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</si>
</sst>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00"/>
    <numFmt numFmtId="166" formatCode="#,##0.0"/>
  </numFmts>
  <fonts count="22"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font>
    <font>
      <sz val="11"/>
      <color theme="1"/>
      <name val="Calibri"/>
      <family val="2"/>
    </font>
    <font>
      <sz val="11"/>
      <color rgb="FF000000"/>
      <name val="Calibri"/>
      <family val="2"/>
    </font>
    <font>
      <b/>
      <sz val="11"/>
      <color rgb="FFFF0000"/>
      <name val="Calibri"/>
      <family val="2"/>
    </font>
    <font>
      <i/>
      <sz val="11"/>
      <color rgb="FF000000"/>
      <name val="Calibri"/>
      <family val="2"/>
    </font>
    <font>
      <sz val="8"/>
      <color rgb="FF3B3B3B"/>
      <name val="Consolas"/>
      <family val="3"/>
    </font>
    <font>
      <sz val="8"/>
      <color rgb="FF267F99"/>
      <name val="Consolas"/>
      <family val="3"/>
    </font>
    <font>
      <sz val="8"/>
      <name val="Calibri"/>
      <family val="2"/>
      <scheme val="minor"/>
    </font>
  </fonts>
  <fills count="15">
    <fill>
      <patternFill patternType="none"/>
    </fill>
    <fill>
      <patternFill patternType="gray125"/>
    </fill>
    <fill>
      <patternFill patternType="solid">
        <fgColor rgb="FFBDD6EE"/>
        <bgColor rgb="FFBDD6EE"/>
      </patternFill>
    </fill>
    <fill>
      <patternFill patternType="solid">
        <fgColor theme="0"/>
        <bgColor theme="0"/>
      </patternFill>
    </fill>
    <fill>
      <patternFill patternType="solid">
        <fgColor rgb="FFFFFFFF"/>
        <bgColor rgb="FFFFFFFF"/>
      </patternFill>
    </fill>
    <fill>
      <patternFill patternType="solid">
        <fgColor rgb="FF9CC2E5"/>
        <bgColor rgb="FF9CC2E5"/>
      </patternFill>
    </fill>
    <fill>
      <patternFill patternType="solid">
        <fgColor theme="0"/>
        <bgColor indexed="64"/>
      </patternFill>
    </fill>
    <fill>
      <patternFill patternType="solid">
        <fgColor theme="2"/>
        <bgColor theme="0"/>
      </patternFill>
    </fill>
    <fill>
      <patternFill patternType="solid">
        <fgColor theme="2"/>
        <bgColor indexed="64"/>
      </patternFill>
    </fill>
    <fill>
      <patternFill patternType="solid">
        <fgColor theme="2"/>
        <bgColor rgb="FFFFFFFF"/>
      </patternFill>
    </fill>
    <fill>
      <patternFill patternType="solid">
        <fgColor rgb="FFFFFFFF"/>
      </patternFill>
    </fill>
    <fill>
      <patternFill patternType="solid">
        <fgColor theme="5" tint="0.79998168889431442"/>
        <bgColor theme="0"/>
      </patternFill>
    </fill>
    <fill>
      <patternFill patternType="solid">
        <fgColor theme="5" tint="0.79998168889431442"/>
        <bgColor indexed="64"/>
      </patternFill>
    </fill>
    <fill>
      <patternFill patternType="solid">
        <fgColor theme="5" tint="0.79998168889431442"/>
        <bgColor rgb="FFFFFFFF"/>
      </patternFill>
    </fill>
    <fill>
      <patternFill patternType="solid">
        <fgColor rgb="FFBDD6EE"/>
        <bgColor indexed="64"/>
      </patternFill>
    </fill>
  </fills>
  <borders count="87">
    <border>
      <left/>
      <right/>
      <top/>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right style="thin">
        <color rgb="FFFFFFFF"/>
      </right>
      <top style="thin">
        <color rgb="FFFFFFFF"/>
      </top>
      <bottom style="thin">
        <color rgb="FFFFFFFF"/>
      </bottom>
      <diagonal/>
    </border>
    <border>
      <left/>
      <right/>
      <top/>
      <bottom/>
      <diagonal/>
    </border>
    <border>
      <left/>
      <right/>
      <top/>
      <bottom/>
      <diagonal/>
    </border>
    <border>
      <left/>
      <right/>
      <top/>
      <bottom/>
      <diagonal/>
    </border>
    <border>
      <left/>
      <right/>
      <top/>
      <bottom/>
      <diagonal/>
    </border>
    <border>
      <left/>
      <right/>
      <top/>
      <bottom/>
      <diagonal/>
    </border>
    <border>
      <left style="medium">
        <color rgb="FFFFFFFF"/>
      </left>
      <right style="medium">
        <color rgb="FFFFFFFF"/>
      </right>
      <top style="medium">
        <color rgb="FFFFFFFF"/>
      </top>
      <bottom style="medium">
        <color rgb="FFFFFFFF"/>
      </bottom>
      <diagonal/>
    </border>
    <border>
      <left style="medium">
        <color rgb="FF000000"/>
      </left>
      <right/>
      <top style="medium">
        <color rgb="FF000000"/>
      </top>
      <bottom/>
      <diagonal/>
    </border>
    <border>
      <left/>
      <right/>
      <top style="medium">
        <color rgb="FF000000"/>
      </top>
      <bottom/>
      <diagonal/>
    </border>
    <border>
      <left style="medium">
        <color rgb="FF000000"/>
      </left>
      <right/>
      <top/>
      <bottom/>
      <diagonal/>
    </border>
    <border>
      <left/>
      <right style="medium">
        <color rgb="FF000000"/>
      </right>
      <top/>
      <bottom/>
      <diagonal/>
    </border>
    <border>
      <left style="thin">
        <color rgb="FFFFFFFF"/>
      </left>
      <right style="thin">
        <color rgb="FFFFFFFF"/>
      </right>
      <top/>
      <bottom style="thin">
        <color rgb="FFFFFFFF"/>
      </bottom>
      <diagonal/>
    </border>
    <border>
      <left/>
      <right/>
      <top/>
      <bottom/>
      <diagonal/>
    </border>
    <border>
      <left/>
      <right/>
      <top/>
      <bottom/>
      <diagonal/>
    </border>
    <border>
      <left/>
      <right style="medium">
        <color rgb="FFFFFFFF"/>
      </right>
      <top/>
      <bottom style="medium">
        <color rgb="FFFFFFFF"/>
      </bottom>
      <diagonal/>
    </border>
    <border>
      <left style="thin">
        <color rgb="FFFFFFFF"/>
      </left>
      <right style="thin">
        <color rgb="FFFFFFFF"/>
      </right>
      <top style="thin">
        <color rgb="FFFFFFFF"/>
      </top>
      <bottom/>
      <diagonal/>
    </border>
    <border>
      <left/>
      <right/>
      <top/>
      <bottom/>
      <diagonal/>
    </border>
    <border>
      <left style="medium">
        <color rgb="FFFFFFFF"/>
      </left>
      <right style="medium">
        <color rgb="FFFFFFFF"/>
      </right>
      <top style="medium">
        <color rgb="FFFFFFFF"/>
      </top>
      <bottom/>
      <diagonal/>
    </border>
    <border>
      <left/>
      <right style="medium">
        <color rgb="FFFFFFFF"/>
      </right>
      <top style="medium">
        <color rgb="FFFFFFFF"/>
      </top>
      <bottom style="medium">
        <color rgb="FFFFFFFF"/>
      </bottom>
      <diagonal/>
    </border>
    <border>
      <left style="thin">
        <color rgb="FFFFFFFF"/>
      </left>
      <right style="thin">
        <color rgb="FFFFFFFF"/>
      </right>
      <top/>
      <bottom/>
      <diagonal/>
    </border>
    <border>
      <left/>
      <right/>
      <top/>
      <bottom/>
      <diagonal/>
    </border>
    <border>
      <left/>
      <right/>
      <top/>
      <bottom/>
      <diagonal/>
    </border>
    <border>
      <left style="medium">
        <color rgb="FFFFFFFF"/>
      </left>
      <right style="medium">
        <color rgb="FFFFFFFF"/>
      </right>
      <top/>
      <bottom style="medium">
        <color rgb="FFFFFFFF"/>
      </bottom>
      <diagonal/>
    </border>
    <border>
      <left style="thin">
        <color rgb="FFFFFFFF"/>
      </left>
      <right/>
      <top style="thin">
        <color rgb="FFFFFFFF"/>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FFFFFF"/>
      </left>
      <right style="medium">
        <color rgb="FFFFFFFF"/>
      </right>
      <top/>
      <bottom style="medium">
        <color rgb="FFFFFFFF"/>
      </bottom>
      <diagonal/>
    </border>
    <border>
      <left/>
      <right style="medium">
        <color rgb="FFFFFFFF"/>
      </right>
      <top style="medium">
        <color rgb="FFFFFFFF"/>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bottom/>
      <diagonal/>
    </border>
    <border>
      <left style="medium">
        <color rgb="FFFFFFFF"/>
      </left>
      <right style="medium">
        <color rgb="FFFFFFFF"/>
      </right>
      <top/>
      <bottom style="medium">
        <color rgb="FFFFFFFF"/>
      </bottom>
      <diagonal/>
    </border>
    <border>
      <left style="medium">
        <color rgb="FF000000"/>
      </left>
      <right style="thin">
        <color rgb="FFCCCCCC"/>
      </right>
      <top style="medium">
        <color rgb="FF000000"/>
      </top>
      <bottom style="medium">
        <color rgb="FF000000"/>
      </bottom>
      <diagonal/>
    </border>
    <border>
      <left style="thin">
        <color rgb="FFCCCCCC"/>
      </left>
      <right style="thin">
        <color rgb="FFCCCCCC"/>
      </right>
      <top style="medium">
        <color rgb="FF000000"/>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top/>
      <bottom/>
      <diagonal/>
    </border>
    <border>
      <left style="medium">
        <color rgb="FFFFFFFF"/>
      </left>
      <right style="medium">
        <color rgb="FFFFFFFF"/>
      </right>
      <top style="medium">
        <color rgb="FFFFFFFF"/>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indexed="64"/>
      </left>
      <right style="medium">
        <color indexed="64"/>
      </right>
      <top style="medium">
        <color indexed="64"/>
      </top>
      <bottom style="medium">
        <color indexed="64"/>
      </bottom>
      <diagonal/>
    </border>
    <border>
      <left style="medium">
        <color rgb="FF000000"/>
      </left>
      <right style="medium">
        <color rgb="FF000000"/>
      </right>
      <top style="medium">
        <color rgb="FF000000"/>
      </top>
      <bottom style="medium">
        <color indexed="64"/>
      </bottom>
      <diagonal/>
    </border>
    <border>
      <left style="medium">
        <color indexed="64"/>
      </left>
      <right/>
      <top/>
      <bottom/>
      <diagonal/>
    </border>
    <border>
      <left/>
      <right style="medium">
        <color indexed="64"/>
      </right>
      <top/>
      <bottom/>
      <diagonal/>
    </border>
    <border>
      <left/>
      <right/>
      <top style="medium">
        <color rgb="FF000000"/>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rgb="FF000000"/>
      </right>
      <top style="medium">
        <color rgb="FF000000"/>
      </top>
      <bottom style="medium">
        <color indexed="64"/>
      </bottom>
      <diagonal/>
    </border>
    <border>
      <left/>
      <right/>
      <top style="medium">
        <color indexed="64"/>
      </top>
      <bottom/>
      <diagonal/>
    </border>
    <border>
      <left style="medium">
        <color rgb="FF000000"/>
      </left>
      <right style="thin">
        <color rgb="FFCCCCCC"/>
      </right>
      <top/>
      <bottom/>
      <diagonal/>
    </border>
    <border>
      <left style="thin">
        <color rgb="FFCCCCCC"/>
      </left>
      <right style="thin">
        <color rgb="FFCCCCCC"/>
      </right>
      <top/>
      <bottom/>
      <diagonal/>
    </border>
    <border>
      <left style="thin">
        <color rgb="FFCCCCCC"/>
      </left>
      <right style="thin">
        <color rgb="FFCCCCCC"/>
      </right>
      <top style="medium">
        <color rgb="FF000000"/>
      </top>
      <bottom/>
      <diagonal/>
    </border>
    <border>
      <left style="thin">
        <color rgb="FFCCCCCC"/>
      </left>
      <right/>
      <top style="medium">
        <color rgb="FF000000"/>
      </top>
      <bottom/>
      <diagonal/>
    </border>
    <border>
      <left style="medium">
        <color indexed="64"/>
      </left>
      <right style="thin">
        <color theme="2" tint="-0.14996795556505021"/>
      </right>
      <top style="medium">
        <color indexed="64"/>
      </top>
      <bottom style="thin">
        <color theme="2" tint="-0.14996795556505021"/>
      </bottom>
      <diagonal/>
    </border>
    <border>
      <left style="thin">
        <color theme="2" tint="-0.14996795556505021"/>
      </left>
      <right style="thin">
        <color theme="2" tint="-0.14996795556505021"/>
      </right>
      <top style="medium">
        <color indexed="64"/>
      </top>
      <bottom style="thin">
        <color theme="2" tint="-0.14996795556505021"/>
      </bottom>
      <diagonal/>
    </border>
    <border>
      <left style="thin">
        <color theme="2" tint="-0.14996795556505021"/>
      </left>
      <right style="medium">
        <color indexed="64"/>
      </right>
      <top style="medium">
        <color indexed="64"/>
      </top>
      <bottom style="thin">
        <color theme="2" tint="-0.14996795556505021"/>
      </bottom>
      <diagonal/>
    </border>
    <border>
      <left style="medium">
        <color indexed="64"/>
      </left>
      <right style="thin">
        <color theme="2" tint="-0.14996795556505021"/>
      </right>
      <top style="thin">
        <color theme="2" tint="-0.14996795556505021"/>
      </top>
      <bottom style="thin">
        <color theme="2" tint="-0.14996795556505021"/>
      </bottom>
      <diagonal/>
    </border>
    <border>
      <left style="thin">
        <color theme="2" tint="-0.14996795556505021"/>
      </left>
      <right style="thin">
        <color theme="2" tint="-0.14996795556505021"/>
      </right>
      <top style="thin">
        <color theme="2" tint="-0.14996795556505021"/>
      </top>
      <bottom style="thin">
        <color theme="2" tint="-0.14996795556505021"/>
      </bottom>
      <diagonal/>
    </border>
    <border>
      <left style="thin">
        <color theme="2" tint="-0.14996795556505021"/>
      </left>
      <right style="medium">
        <color indexed="64"/>
      </right>
      <top style="thin">
        <color theme="2" tint="-0.14996795556505021"/>
      </top>
      <bottom style="thin">
        <color theme="2" tint="-0.14996795556505021"/>
      </bottom>
      <diagonal/>
    </border>
    <border>
      <left style="medium">
        <color indexed="64"/>
      </left>
      <right style="thin">
        <color theme="2" tint="-0.14996795556505021"/>
      </right>
      <top style="thin">
        <color theme="2" tint="-0.14996795556505021"/>
      </top>
      <bottom style="medium">
        <color indexed="64"/>
      </bottom>
      <diagonal/>
    </border>
    <border>
      <left style="thin">
        <color theme="2" tint="-0.14996795556505021"/>
      </left>
      <right style="thin">
        <color theme="2" tint="-0.14996795556505021"/>
      </right>
      <top style="thin">
        <color theme="2" tint="-0.14996795556505021"/>
      </top>
      <bottom style="medium">
        <color indexed="64"/>
      </bottom>
      <diagonal/>
    </border>
    <border>
      <left style="thin">
        <color theme="2" tint="-0.14996795556505021"/>
      </left>
      <right style="medium">
        <color indexed="64"/>
      </right>
      <top style="thin">
        <color theme="2" tint="-0.14996795556505021"/>
      </top>
      <bottom style="medium">
        <color indexed="64"/>
      </bottom>
      <diagonal/>
    </border>
    <border>
      <left style="medium">
        <color rgb="FFFFFFFF"/>
      </left>
      <right/>
      <top style="medium">
        <color rgb="FFFFFFFF"/>
      </top>
      <bottom style="medium">
        <color rgb="FFFFFFFF"/>
      </bottom>
      <diagonal/>
    </border>
    <border>
      <left style="medium">
        <color indexed="64"/>
      </left>
      <right style="thin">
        <color theme="2" tint="-0.14996795556505021"/>
      </right>
      <top style="thin">
        <color theme="2" tint="-0.14996795556505021"/>
      </top>
      <bottom/>
      <diagonal/>
    </border>
    <border>
      <left style="thin">
        <color theme="2" tint="-0.14996795556505021"/>
      </left>
      <right style="thin">
        <color theme="2" tint="-0.14996795556505021"/>
      </right>
      <top style="thin">
        <color theme="2" tint="-0.14996795556505021"/>
      </top>
      <bottom/>
      <diagonal/>
    </border>
    <border>
      <left style="thin">
        <color theme="2" tint="-0.14996795556505021"/>
      </left>
      <right style="medium">
        <color indexed="64"/>
      </right>
      <top style="thin">
        <color theme="2" tint="-0.14996795556505021"/>
      </top>
      <bottom/>
      <diagonal/>
    </border>
    <border>
      <left style="thin">
        <color rgb="FFCCCCCC"/>
      </left>
      <right/>
      <top style="medium">
        <color rgb="FF000000"/>
      </top>
      <bottom style="medium">
        <color indexed="64"/>
      </bottom>
      <diagonal/>
    </border>
    <border>
      <left style="thin">
        <color theme="2" tint="-0.14996795556505021"/>
      </left>
      <right style="thin">
        <color theme="2" tint="-0.14996795556505021"/>
      </right>
      <top/>
      <bottom style="thin">
        <color theme="2" tint="-0.14996795556505021"/>
      </bottom>
      <diagonal/>
    </border>
    <border>
      <left/>
      <right style="thin">
        <color rgb="FFFFFFFF"/>
      </right>
      <top/>
      <bottom style="thin">
        <color rgb="FFFFFFFF"/>
      </bottom>
      <diagonal/>
    </border>
    <border>
      <left style="thick">
        <color indexed="64"/>
      </left>
      <right style="thick">
        <color indexed="64"/>
      </right>
      <top style="thick">
        <color indexed="64"/>
      </top>
      <bottom style="thick">
        <color indexed="64"/>
      </bottom>
      <diagonal/>
    </border>
  </borders>
  <cellStyleXfs count="3">
    <xf numFmtId="0" fontId="0" fillId="0" borderId="0"/>
    <xf numFmtId="0" fontId="7" fillId="0" borderId="45"/>
    <xf numFmtId="0" fontId="4" fillId="0" borderId="45"/>
  </cellStyleXfs>
  <cellXfs count="321">
    <xf numFmtId="0" fontId="0" fillId="0" borderId="0" xfId="0"/>
    <xf numFmtId="0" fontId="15" fillId="3" borderId="5" xfId="0" applyFont="1" applyFill="1" applyBorder="1" applyAlignment="1">
      <alignment horizontal="center" vertical="center"/>
    </xf>
    <xf numFmtId="0" fontId="15" fillId="3" borderId="6" xfId="0" applyFont="1" applyFill="1" applyBorder="1" applyAlignment="1">
      <alignment horizontal="left" vertical="center"/>
    </xf>
    <xf numFmtId="0" fontId="15" fillId="3" borderId="8" xfId="0" applyFont="1" applyFill="1" applyBorder="1"/>
    <xf numFmtId="0" fontId="15" fillId="3" borderId="4" xfId="0" applyFont="1" applyFill="1" applyBorder="1"/>
    <xf numFmtId="0" fontId="12" fillId="0" borderId="9" xfId="0" applyFont="1" applyBorder="1"/>
    <xf numFmtId="0" fontId="12" fillId="4" borderId="9" xfId="0" applyFont="1" applyFill="1" applyBorder="1"/>
    <xf numFmtId="0" fontId="14" fillId="4" borderId="9" xfId="0" applyFont="1" applyFill="1" applyBorder="1" applyAlignment="1">
      <alignment horizontal="center"/>
    </xf>
    <xf numFmtId="0" fontId="12" fillId="0" borderId="14" xfId="0" applyFont="1" applyBorder="1"/>
    <xf numFmtId="0" fontId="15" fillId="3" borderId="15" xfId="0" applyFont="1" applyFill="1" applyBorder="1"/>
    <xf numFmtId="0" fontId="15" fillId="3" borderId="16" xfId="0" applyFont="1" applyFill="1" applyBorder="1"/>
    <xf numFmtId="0" fontId="13" fillId="0" borderId="18" xfId="0" applyFont="1" applyBorder="1"/>
    <xf numFmtId="0" fontId="12" fillId="0" borderId="18" xfId="0" applyFont="1" applyBorder="1"/>
    <xf numFmtId="0" fontId="15" fillId="3" borderId="19" xfId="0" applyFont="1" applyFill="1" applyBorder="1"/>
    <xf numFmtId="0" fontId="15" fillId="4" borderId="20" xfId="0" applyFont="1" applyFill="1" applyBorder="1"/>
    <xf numFmtId="0" fontId="12" fillId="4" borderId="21" xfId="0" applyFont="1" applyFill="1" applyBorder="1"/>
    <xf numFmtId="0" fontId="15" fillId="3" borderId="14" xfId="0" applyFont="1" applyFill="1" applyBorder="1"/>
    <xf numFmtId="0" fontId="15" fillId="3" borderId="22" xfId="0" applyFont="1" applyFill="1" applyBorder="1"/>
    <xf numFmtId="0" fontId="15" fillId="3" borderId="18" xfId="0" applyFont="1" applyFill="1" applyBorder="1"/>
    <xf numFmtId="0" fontId="15" fillId="3" borderId="26" xfId="0" applyFont="1" applyFill="1" applyBorder="1"/>
    <xf numFmtId="0" fontId="15" fillId="3" borderId="20" xfId="0" applyFont="1" applyFill="1" applyBorder="1"/>
    <xf numFmtId="0" fontId="12" fillId="0" borderId="20" xfId="0" applyFont="1" applyBorder="1"/>
    <xf numFmtId="0" fontId="12" fillId="4" borderId="20" xfId="0" applyFont="1" applyFill="1" applyBorder="1"/>
    <xf numFmtId="0" fontId="17" fillId="4" borderId="1" xfId="0" applyFont="1" applyFill="1" applyBorder="1" applyAlignment="1">
      <alignment horizontal="left"/>
    </xf>
    <xf numFmtId="0" fontId="15" fillId="4" borderId="1" xfId="0" applyFont="1" applyFill="1" applyBorder="1"/>
    <xf numFmtId="0" fontId="15" fillId="4" borderId="1" xfId="0" applyFont="1" applyFill="1" applyBorder="1" applyAlignment="1">
      <alignment horizontal="left"/>
    </xf>
    <xf numFmtId="0" fontId="12" fillId="4" borderId="1" xfId="0" applyFont="1" applyFill="1" applyBorder="1" applyAlignment="1">
      <alignment horizontal="left"/>
    </xf>
    <xf numFmtId="0" fontId="12" fillId="4" borderId="1" xfId="0" applyFont="1" applyFill="1" applyBorder="1"/>
    <xf numFmtId="0" fontId="13" fillId="4" borderId="1" xfId="0" applyFont="1" applyFill="1" applyBorder="1"/>
    <xf numFmtId="0" fontId="11" fillId="4" borderId="18" xfId="0" applyFont="1" applyFill="1" applyBorder="1"/>
    <xf numFmtId="0" fontId="12" fillId="4" borderId="18" xfId="0" applyFont="1" applyFill="1" applyBorder="1"/>
    <xf numFmtId="0" fontId="15" fillId="4" borderId="18" xfId="0" applyFont="1" applyFill="1" applyBorder="1"/>
    <xf numFmtId="0" fontId="11" fillId="4" borderId="1" xfId="0" applyFont="1" applyFill="1" applyBorder="1"/>
    <xf numFmtId="0" fontId="15" fillId="4" borderId="30" xfId="0" applyFont="1" applyFill="1" applyBorder="1" applyAlignment="1">
      <alignment horizontal="center"/>
    </xf>
    <xf numFmtId="0" fontId="15" fillId="4" borderId="25" xfId="0" applyFont="1" applyFill="1" applyBorder="1" applyAlignment="1">
      <alignment horizontal="center"/>
    </xf>
    <xf numFmtId="0" fontId="15" fillId="4" borderId="31" xfId="0" applyFont="1" applyFill="1" applyBorder="1" applyAlignment="1">
      <alignment horizontal="center"/>
    </xf>
    <xf numFmtId="0" fontId="15" fillId="4" borderId="20" xfId="0" applyFont="1" applyFill="1" applyBorder="1" applyAlignment="1">
      <alignment horizontal="center"/>
    </xf>
    <xf numFmtId="0" fontId="17" fillId="4" borderId="21" xfId="0" applyFont="1" applyFill="1" applyBorder="1" applyAlignment="1">
      <alignment horizontal="left"/>
    </xf>
    <xf numFmtId="0" fontId="15" fillId="4" borderId="9" xfId="0" applyFont="1" applyFill="1" applyBorder="1" applyAlignment="1">
      <alignment horizontal="center"/>
    </xf>
    <xf numFmtId="0" fontId="14" fillId="4" borderId="20" xfId="0" applyFont="1" applyFill="1" applyBorder="1" applyAlignment="1">
      <alignment horizontal="center" vertical="center" wrapText="1"/>
    </xf>
    <xf numFmtId="0" fontId="15" fillId="3" borderId="9" xfId="0" applyFont="1" applyFill="1" applyBorder="1" applyAlignment="1">
      <alignment horizontal="center"/>
    </xf>
    <xf numFmtId="0" fontId="17" fillId="3" borderId="9" xfId="0" applyFont="1" applyFill="1" applyBorder="1" applyAlignment="1">
      <alignment horizontal="left"/>
    </xf>
    <xf numFmtId="0" fontId="14" fillId="4" borderId="0" xfId="0" applyFont="1" applyFill="1" applyAlignment="1">
      <alignment horizontal="center"/>
    </xf>
    <xf numFmtId="0" fontId="15" fillId="3" borderId="7" xfId="0" applyFont="1" applyFill="1" applyBorder="1" applyAlignment="1">
      <alignment horizontal="center"/>
    </xf>
    <xf numFmtId="0" fontId="17" fillId="3" borderId="7" xfId="0" applyFont="1" applyFill="1" applyBorder="1" applyAlignment="1">
      <alignment horizontal="left"/>
    </xf>
    <xf numFmtId="0" fontId="15" fillId="3" borderId="5" xfId="0" applyFont="1" applyFill="1" applyBorder="1" applyAlignment="1">
      <alignment horizontal="center"/>
    </xf>
    <xf numFmtId="0" fontId="17" fillId="3" borderId="35" xfId="0" quotePrefix="1" applyFont="1" applyFill="1" applyBorder="1" applyAlignment="1">
      <alignment horizontal="left"/>
    </xf>
    <xf numFmtId="0" fontId="15" fillId="3" borderId="35" xfId="0" applyFont="1" applyFill="1" applyBorder="1" applyAlignment="1">
      <alignment horizontal="center"/>
    </xf>
    <xf numFmtId="0" fontId="15" fillId="3" borderId="4" xfId="0" applyFont="1" applyFill="1" applyBorder="1" applyAlignment="1">
      <alignment horizontal="center"/>
    </xf>
    <xf numFmtId="0" fontId="17" fillId="3" borderId="4" xfId="0" applyFont="1" applyFill="1" applyBorder="1" applyAlignment="1">
      <alignment horizontal="left"/>
    </xf>
    <xf numFmtId="0" fontId="17" fillId="3" borderId="25" xfId="0" applyFont="1" applyFill="1" applyBorder="1" applyAlignment="1">
      <alignment horizontal="left" vertical="center"/>
    </xf>
    <xf numFmtId="0" fontId="15" fillId="3" borderId="25" xfId="0" applyFont="1" applyFill="1" applyBorder="1" applyAlignment="1">
      <alignment horizontal="center"/>
    </xf>
    <xf numFmtId="0" fontId="17" fillId="3" borderId="9" xfId="0" quotePrefix="1" applyFont="1" applyFill="1" applyBorder="1" applyAlignment="1">
      <alignment horizontal="left"/>
    </xf>
    <xf numFmtId="0" fontId="17" fillId="3" borderId="9" xfId="0" applyFont="1" applyFill="1" applyBorder="1" applyAlignment="1">
      <alignment horizontal="left" vertical="center"/>
    </xf>
    <xf numFmtId="0" fontId="17" fillId="3" borderId="15" xfId="0" applyFont="1" applyFill="1" applyBorder="1" applyAlignment="1">
      <alignment horizontal="left" vertical="center"/>
    </xf>
    <xf numFmtId="0" fontId="17" fillId="3" borderId="16" xfId="0" applyFont="1" applyFill="1" applyBorder="1" applyAlignment="1">
      <alignment horizontal="left"/>
    </xf>
    <xf numFmtId="0" fontId="15" fillId="3" borderId="16" xfId="0" applyFont="1" applyFill="1" applyBorder="1" applyAlignment="1">
      <alignment horizontal="center"/>
    </xf>
    <xf numFmtId="0" fontId="15" fillId="3" borderId="16" xfId="0" applyFont="1" applyFill="1" applyBorder="1" applyAlignment="1">
      <alignment horizontal="left"/>
    </xf>
    <xf numFmtId="0" fontId="15" fillId="3" borderId="9" xfId="0" applyFont="1" applyFill="1" applyBorder="1" applyAlignment="1">
      <alignment horizontal="center" vertical="center"/>
    </xf>
    <xf numFmtId="0" fontId="15" fillId="3" borderId="17" xfId="0" applyFont="1" applyFill="1" applyBorder="1" applyAlignment="1">
      <alignment horizontal="center" vertical="center"/>
    </xf>
    <xf numFmtId="0" fontId="12" fillId="0" borderId="25" xfId="0" applyFont="1" applyBorder="1"/>
    <xf numFmtId="0" fontId="15" fillId="3" borderId="25" xfId="0" applyFont="1" applyFill="1" applyBorder="1" applyAlignment="1">
      <alignment horizontal="center" vertical="center"/>
    </xf>
    <xf numFmtId="0" fontId="17" fillId="3" borderId="25" xfId="0" applyFont="1" applyFill="1" applyBorder="1" applyAlignment="1">
      <alignment horizontal="left"/>
    </xf>
    <xf numFmtId="0" fontId="15" fillId="3" borderId="36" xfId="0" applyFont="1" applyFill="1" applyBorder="1" applyAlignment="1">
      <alignment horizontal="center"/>
    </xf>
    <xf numFmtId="0" fontId="17" fillId="3" borderId="6" xfId="0" quotePrefix="1" applyFont="1" applyFill="1" applyBorder="1" applyAlignment="1">
      <alignment horizontal="left"/>
    </xf>
    <xf numFmtId="0" fontId="15" fillId="3" borderId="23" xfId="0" applyFont="1" applyFill="1" applyBorder="1" applyAlignment="1">
      <alignment horizontal="center"/>
    </xf>
    <xf numFmtId="0" fontId="15" fillId="3" borderId="24" xfId="0" applyFont="1" applyFill="1" applyBorder="1" applyAlignment="1">
      <alignment horizontal="center"/>
    </xf>
    <xf numFmtId="0" fontId="17" fillId="3" borderId="15" xfId="0" quotePrefix="1" applyFont="1" applyFill="1" applyBorder="1" applyAlignment="1">
      <alignment horizontal="left"/>
    </xf>
    <xf numFmtId="0" fontId="15" fillId="4" borderId="5" xfId="0" applyFont="1" applyFill="1" applyBorder="1" applyAlignment="1">
      <alignment horizontal="center"/>
    </xf>
    <xf numFmtId="0" fontId="15" fillId="4" borderId="6" xfId="0" applyFont="1" applyFill="1" applyBorder="1" applyAlignment="1">
      <alignment horizontal="center"/>
    </xf>
    <xf numFmtId="0" fontId="15" fillId="4" borderId="14" xfId="0" applyFont="1" applyFill="1" applyBorder="1" applyAlignment="1">
      <alignment horizontal="center" vertical="center"/>
    </xf>
    <xf numFmtId="0" fontId="15" fillId="4" borderId="17" xfId="0" applyFont="1" applyFill="1" applyBorder="1" applyAlignment="1">
      <alignment horizontal="center" vertical="center"/>
    </xf>
    <xf numFmtId="0" fontId="15" fillId="4" borderId="25" xfId="0" applyFont="1" applyFill="1" applyBorder="1" applyAlignment="1">
      <alignment horizontal="center" vertical="center"/>
    </xf>
    <xf numFmtId="0" fontId="17" fillId="4" borderId="0" xfId="0" applyFont="1" applyFill="1" applyAlignment="1">
      <alignment horizontal="left"/>
    </xf>
    <xf numFmtId="0" fontId="15" fillId="4" borderId="0" xfId="0" applyFont="1" applyFill="1" applyAlignment="1">
      <alignment horizontal="center"/>
    </xf>
    <xf numFmtId="0" fontId="15" fillId="4" borderId="7" xfId="0" applyFont="1" applyFill="1" applyBorder="1" applyAlignment="1">
      <alignment horizontal="center"/>
    </xf>
    <xf numFmtId="0" fontId="15" fillId="4" borderId="36" xfId="0" applyFont="1" applyFill="1" applyBorder="1" applyAlignment="1">
      <alignment horizontal="center"/>
    </xf>
    <xf numFmtId="0" fontId="15" fillId="4" borderId="46" xfId="0" applyFont="1" applyFill="1" applyBorder="1" applyAlignment="1">
      <alignment horizontal="center"/>
    </xf>
    <xf numFmtId="0" fontId="0" fillId="6" borderId="0" xfId="0" applyFill="1"/>
    <xf numFmtId="0" fontId="11" fillId="0" borderId="1" xfId="0" applyFont="1" applyBorder="1" applyAlignment="1">
      <alignment horizontal="left" vertical="top"/>
    </xf>
    <xf numFmtId="0" fontId="15" fillId="3" borderId="45" xfId="0" applyFont="1" applyFill="1" applyBorder="1" applyAlignment="1">
      <alignment horizontal="left" vertical="center"/>
    </xf>
    <xf numFmtId="0" fontId="0" fillId="8" borderId="0" xfId="0" applyFill="1"/>
    <xf numFmtId="0" fontId="14" fillId="4" borderId="20" xfId="0" applyFont="1" applyFill="1" applyBorder="1" applyAlignment="1">
      <alignment horizontal="center" vertical="center"/>
    </xf>
    <xf numFmtId="2" fontId="12" fillId="4" borderId="9" xfId="0" applyNumberFormat="1" applyFont="1" applyFill="1" applyBorder="1"/>
    <xf numFmtId="0" fontId="14" fillId="2" borderId="27" xfId="0" applyFont="1" applyFill="1" applyBorder="1" applyAlignment="1">
      <alignment horizontal="left" vertical="top"/>
    </xf>
    <xf numFmtId="0" fontId="14" fillId="2" borderId="28" xfId="0" applyFont="1" applyFill="1" applyBorder="1" applyAlignment="1">
      <alignment horizontal="left" vertical="top"/>
    </xf>
    <xf numFmtId="0" fontId="14" fillId="2" borderId="37" xfId="0" applyFont="1" applyFill="1" applyBorder="1" applyAlignment="1">
      <alignment horizontal="left" vertical="top"/>
    </xf>
    <xf numFmtId="0" fontId="14" fillId="2" borderId="38" xfId="0" applyFont="1" applyFill="1" applyBorder="1" applyAlignment="1">
      <alignment horizontal="left" vertical="top"/>
    </xf>
    <xf numFmtId="0" fontId="14" fillId="2" borderId="40" xfId="0" applyFont="1" applyFill="1" applyBorder="1" applyAlignment="1">
      <alignment horizontal="left" vertical="top"/>
    </xf>
    <xf numFmtId="0" fontId="15" fillId="3" borderId="32" xfId="0" applyFont="1" applyFill="1" applyBorder="1" applyAlignment="1">
      <alignment horizontal="right"/>
    </xf>
    <xf numFmtId="0" fontId="14" fillId="2" borderId="39" xfId="0" applyFont="1" applyFill="1" applyBorder="1" applyAlignment="1">
      <alignment horizontal="left" vertical="top"/>
    </xf>
    <xf numFmtId="0" fontId="15" fillId="2" borderId="40" xfId="0" applyFont="1" applyFill="1" applyBorder="1" applyAlignment="1">
      <alignment horizontal="left" vertical="top"/>
    </xf>
    <xf numFmtId="0" fontId="15" fillId="2" borderId="41" xfId="0" applyFont="1" applyFill="1" applyBorder="1" applyAlignment="1">
      <alignment horizontal="left" vertical="top"/>
    </xf>
    <xf numFmtId="0" fontId="14" fillId="2" borderId="10" xfId="0" applyFont="1" applyFill="1" applyBorder="1" applyAlignment="1">
      <alignment horizontal="left" vertical="top"/>
    </xf>
    <xf numFmtId="0" fontId="14" fillId="2" borderId="11" xfId="0" applyFont="1" applyFill="1" applyBorder="1" applyAlignment="1">
      <alignment horizontal="left" vertical="top"/>
    </xf>
    <xf numFmtId="0" fontId="14" fillId="2" borderId="42" xfId="0" applyFont="1" applyFill="1" applyBorder="1" applyAlignment="1">
      <alignment horizontal="left" vertical="top"/>
    </xf>
    <xf numFmtId="164" fontId="10" fillId="8" borderId="47" xfId="0" applyNumberFormat="1" applyFont="1" applyFill="1" applyBorder="1"/>
    <xf numFmtId="0" fontId="10" fillId="8" borderId="48" xfId="0" applyFont="1" applyFill="1" applyBorder="1"/>
    <xf numFmtId="14" fontId="0" fillId="8" borderId="48" xfId="0" applyNumberFormat="1" applyFill="1" applyBorder="1"/>
    <xf numFmtId="0" fontId="10" fillId="8" borderId="49" xfId="0" applyFont="1" applyFill="1" applyBorder="1"/>
    <xf numFmtId="0" fontId="15" fillId="2" borderId="39" xfId="0" applyFont="1" applyFill="1" applyBorder="1" applyAlignment="1">
      <alignment horizontal="left" vertical="top"/>
    </xf>
    <xf numFmtId="0" fontId="14" fillId="2" borderId="41" xfId="0" applyFont="1" applyFill="1" applyBorder="1" applyAlignment="1">
      <alignment horizontal="left" vertical="top"/>
    </xf>
    <xf numFmtId="0" fontId="0" fillId="8" borderId="47" xfId="0" applyFill="1" applyBorder="1" applyAlignment="1">
      <alignment horizontal="right"/>
    </xf>
    <xf numFmtId="0" fontId="10" fillId="8" borderId="48" xfId="0" applyFont="1" applyFill="1" applyBorder="1" applyAlignment="1">
      <alignment horizontal="right"/>
    </xf>
    <xf numFmtId="14" fontId="0" fillId="8" borderId="49" xfId="0" applyNumberFormat="1" applyFill="1" applyBorder="1" applyAlignment="1">
      <alignment horizontal="right"/>
    </xf>
    <xf numFmtId="0" fontId="14" fillId="2" borderId="50" xfId="0" applyFont="1" applyFill="1" applyBorder="1" applyAlignment="1">
      <alignment horizontal="left" vertical="top"/>
    </xf>
    <xf numFmtId="0" fontId="14" fillId="2" borderId="52" xfId="0" applyFont="1" applyFill="1" applyBorder="1" applyAlignment="1">
      <alignment horizontal="left" vertical="top"/>
    </xf>
    <xf numFmtId="0" fontId="15" fillId="9" borderId="51" xfId="0" applyFont="1" applyFill="1" applyBorder="1" applyAlignment="1">
      <alignment horizontal="left" vertical="top" wrapText="1"/>
    </xf>
    <xf numFmtId="0" fontId="14" fillId="2" borderId="51" xfId="0" applyFont="1" applyFill="1" applyBorder="1" applyAlignment="1">
      <alignment horizontal="left" vertical="top"/>
    </xf>
    <xf numFmtId="0" fontId="15" fillId="4" borderId="22" xfId="0" applyFont="1" applyFill="1" applyBorder="1" applyAlignment="1">
      <alignment horizontal="center" vertical="center"/>
    </xf>
    <xf numFmtId="0" fontId="15" fillId="2" borderId="28" xfId="0" applyFont="1" applyFill="1" applyBorder="1" applyAlignment="1">
      <alignment horizontal="left" vertical="top"/>
    </xf>
    <xf numFmtId="0" fontId="15" fillId="2" borderId="29" xfId="0" applyFont="1" applyFill="1" applyBorder="1" applyAlignment="1">
      <alignment horizontal="left" vertical="top"/>
    </xf>
    <xf numFmtId="0" fontId="15" fillId="2" borderId="12" xfId="0" applyFont="1" applyFill="1" applyBorder="1" applyAlignment="1">
      <alignment horizontal="left" vertical="top"/>
    </xf>
    <xf numFmtId="0" fontId="15" fillId="2" borderId="45" xfId="0" applyFont="1" applyFill="1" applyBorder="1" applyAlignment="1">
      <alignment horizontal="left" vertical="top"/>
    </xf>
    <xf numFmtId="0" fontId="10" fillId="2" borderId="45" xfId="0" applyFont="1" applyFill="1" applyBorder="1" applyAlignment="1">
      <alignment horizontal="left" vertical="top"/>
    </xf>
    <xf numFmtId="0" fontId="15" fillId="2" borderId="13" xfId="0" applyFont="1" applyFill="1" applyBorder="1" applyAlignment="1">
      <alignment horizontal="left" vertical="top"/>
    </xf>
    <xf numFmtId="0" fontId="14" fillId="2" borderId="56" xfId="0" applyFont="1" applyFill="1" applyBorder="1" applyAlignment="1">
      <alignment horizontal="left" vertical="top"/>
    </xf>
    <xf numFmtId="0" fontId="14" fillId="2" borderId="57" xfId="0" applyFont="1" applyFill="1" applyBorder="1" applyAlignment="1">
      <alignment horizontal="left" vertical="top"/>
    </xf>
    <xf numFmtId="0" fontId="14" fillId="2" borderId="58" xfId="0" applyFont="1" applyFill="1" applyBorder="1" applyAlignment="1">
      <alignment horizontal="left" vertical="top"/>
    </xf>
    <xf numFmtId="0" fontId="15" fillId="2" borderId="56" xfId="0" applyFont="1" applyFill="1" applyBorder="1" applyAlignment="1">
      <alignment horizontal="left" vertical="top"/>
    </xf>
    <xf numFmtId="0" fontId="15" fillId="2" borderId="57" xfId="0" applyFont="1" applyFill="1" applyBorder="1" applyAlignment="1">
      <alignment horizontal="left" vertical="top"/>
    </xf>
    <xf numFmtId="0" fontId="10" fillId="2" borderId="57" xfId="0" applyFont="1" applyFill="1" applyBorder="1" applyAlignment="1">
      <alignment horizontal="left" vertical="top"/>
    </xf>
    <xf numFmtId="0" fontId="15" fillId="2" borderId="58" xfId="0" applyFont="1" applyFill="1" applyBorder="1" applyAlignment="1">
      <alignment horizontal="left" vertical="top"/>
    </xf>
    <xf numFmtId="0" fontId="0" fillId="6" borderId="45" xfId="0" applyFill="1" applyBorder="1"/>
    <xf numFmtId="0" fontId="0" fillId="6" borderId="54" xfId="0" applyFill="1" applyBorder="1"/>
    <xf numFmtId="0" fontId="14" fillId="2" borderId="59" xfId="0" applyFont="1" applyFill="1" applyBorder="1" applyAlignment="1">
      <alignment horizontal="left" vertical="center"/>
    </xf>
    <xf numFmtId="0" fontId="14" fillId="2" borderId="53" xfId="0" applyFont="1" applyFill="1" applyBorder="1" applyAlignment="1">
      <alignment horizontal="left" vertical="center"/>
    </xf>
    <xf numFmtId="0" fontId="15" fillId="3" borderId="54" xfId="0" applyFont="1" applyFill="1" applyBorder="1" applyAlignment="1">
      <alignment horizontal="right"/>
    </xf>
    <xf numFmtId="164" fontId="15" fillId="3" borderId="54" xfId="0" applyNumberFormat="1" applyFont="1" applyFill="1" applyBorder="1" applyAlignment="1">
      <alignment horizontal="right"/>
    </xf>
    <xf numFmtId="0" fontId="14" fillId="2" borderId="53" xfId="0" applyFont="1" applyFill="1" applyBorder="1" applyAlignment="1">
      <alignment horizontal="left" vertical="center" wrapText="1"/>
    </xf>
    <xf numFmtId="0" fontId="15" fillId="3" borderId="54" xfId="0" applyFont="1" applyFill="1" applyBorder="1" applyAlignment="1">
      <alignment horizontal="right" wrapText="1"/>
    </xf>
    <xf numFmtId="0" fontId="14" fillId="2" borderId="61" xfId="0" applyFont="1" applyFill="1" applyBorder="1" applyAlignment="1">
      <alignment horizontal="left" vertical="center" wrapText="1"/>
    </xf>
    <xf numFmtId="0" fontId="15" fillId="3" borderId="63" xfId="0" applyFont="1" applyFill="1" applyBorder="1" applyAlignment="1">
      <alignment horizontal="right"/>
    </xf>
    <xf numFmtId="0" fontId="15" fillId="3" borderId="54" xfId="0" applyFont="1" applyFill="1" applyBorder="1" applyAlignment="1">
      <alignment horizontal="right" vertical="center"/>
    </xf>
    <xf numFmtId="0" fontId="14" fillId="2" borderId="56" xfId="0" applyFont="1" applyFill="1" applyBorder="1" applyAlignment="1">
      <alignment vertical="top"/>
    </xf>
    <xf numFmtId="0" fontId="14" fillId="2" borderId="57" xfId="0" applyFont="1" applyFill="1" applyBorder="1" applyAlignment="1">
      <alignment vertical="top"/>
    </xf>
    <xf numFmtId="0" fontId="14" fillId="2" borderId="58" xfId="0" applyFont="1" applyFill="1" applyBorder="1" applyAlignment="1">
      <alignment vertical="top"/>
    </xf>
    <xf numFmtId="0" fontId="14" fillId="2" borderId="55" xfId="0" applyFont="1" applyFill="1" applyBorder="1" applyAlignment="1">
      <alignment horizontal="left" vertical="top"/>
    </xf>
    <xf numFmtId="0" fontId="14" fillId="2" borderId="64" xfId="0" applyFont="1" applyFill="1" applyBorder="1" applyAlignment="1">
      <alignment horizontal="left" vertical="top"/>
    </xf>
    <xf numFmtId="0" fontId="15" fillId="2" borderId="44" xfId="0" applyFont="1" applyFill="1" applyBorder="1" applyAlignment="1">
      <alignment horizontal="left" vertical="top"/>
    </xf>
    <xf numFmtId="0" fontId="12" fillId="2" borderId="2" xfId="0" applyFont="1" applyFill="1" applyBorder="1" applyAlignment="1">
      <alignment vertical="top"/>
    </xf>
    <xf numFmtId="0" fontId="12" fillId="2" borderId="2" xfId="0" applyFont="1" applyFill="1" applyBorder="1" applyAlignment="1" applyProtection="1">
      <alignment vertical="top"/>
      <protection locked="0"/>
    </xf>
    <xf numFmtId="0" fontId="0" fillId="0" borderId="0" xfId="0" applyProtection="1">
      <protection locked="0"/>
    </xf>
    <xf numFmtId="0" fontId="10" fillId="0" borderId="1" xfId="0" applyFont="1" applyBorder="1" applyAlignment="1" applyProtection="1">
      <alignment horizontal="left" vertical="top" wrapText="1"/>
      <protection locked="0"/>
    </xf>
    <xf numFmtId="0" fontId="9" fillId="0" borderId="1" xfId="0" applyFont="1" applyBorder="1" applyAlignment="1" applyProtection="1">
      <alignment horizontal="left" vertical="top" wrapText="1"/>
      <protection locked="0"/>
    </xf>
    <xf numFmtId="0" fontId="10" fillId="6" borderId="0" xfId="0" applyFont="1" applyFill="1" applyAlignment="1">
      <alignment horizontal="left" vertical="center"/>
    </xf>
    <xf numFmtId="0" fontId="8" fillId="6" borderId="0" xfId="0" applyFont="1" applyFill="1" applyAlignment="1">
      <alignment horizontal="left" vertical="center"/>
    </xf>
    <xf numFmtId="0" fontId="8" fillId="4" borderId="1" xfId="0" applyFont="1" applyFill="1" applyBorder="1"/>
    <xf numFmtId="0" fontId="15" fillId="2" borderId="43" xfId="0" applyFont="1" applyFill="1" applyBorder="1" applyAlignment="1">
      <alignment horizontal="left" vertical="top"/>
    </xf>
    <xf numFmtId="2" fontId="16" fillId="6" borderId="57" xfId="0" applyNumberFormat="1" applyFont="1" applyFill="1" applyBorder="1" applyAlignment="1">
      <alignment horizontal="right"/>
    </xf>
    <xf numFmtId="0" fontId="16" fillId="6" borderId="56" xfId="0" applyFont="1" applyFill="1" applyBorder="1" applyAlignment="1">
      <alignment horizontal="right"/>
    </xf>
    <xf numFmtId="0" fontId="16" fillId="6" borderId="58" xfId="0" applyFont="1" applyFill="1" applyBorder="1" applyAlignment="1">
      <alignment horizontal="right"/>
    </xf>
    <xf numFmtId="0" fontId="14" fillId="2" borderId="57" xfId="0" applyFont="1" applyFill="1" applyBorder="1" applyAlignment="1">
      <alignment horizontal="left" vertical="top" wrapText="1"/>
    </xf>
    <xf numFmtId="0" fontId="14" fillId="2" borderId="58" xfId="0" applyFont="1" applyFill="1" applyBorder="1" applyAlignment="1">
      <alignment horizontal="left" vertical="top" wrapText="1"/>
    </xf>
    <xf numFmtId="0" fontId="15" fillId="3" borderId="33" xfId="0" applyFont="1" applyFill="1" applyBorder="1" applyAlignment="1">
      <alignment horizontal="right"/>
    </xf>
    <xf numFmtId="0" fontId="15" fillId="3" borderId="34" xfId="0" applyFont="1" applyFill="1" applyBorder="1" applyAlignment="1">
      <alignment horizontal="right"/>
    </xf>
    <xf numFmtId="0" fontId="15" fillId="2" borderId="66" xfId="0" applyFont="1" applyFill="1" applyBorder="1" applyAlignment="1">
      <alignment horizontal="left" vertical="top"/>
    </xf>
    <xf numFmtId="0" fontId="15" fillId="2" borderId="67" xfId="0" applyFont="1" applyFill="1" applyBorder="1" applyAlignment="1">
      <alignment horizontal="left" vertical="top"/>
    </xf>
    <xf numFmtId="0" fontId="15" fillId="2" borderId="68" xfId="0" applyFont="1" applyFill="1" applyBorder="1" applyAlignment="1">
      <alignment horizontal="left" vertical="top"/>
    </xf>
    <xf numFmtId="0" fontId="15" fillId="2" borderId="69" xfId="0" applyFont="1" applyFill="1" applyBorder="1" applyAlignment="1">
      <alignment horizontal="left" vertical="top"/>
    </xf>
    <xf numFmtId="0" fontId="14" fillId="5" borderId="56" xfId="0" applyFont="1" applyFill="1" applyBorder="1" applyAlignment="1">
      <alignment horizontal="left" vertical="top"/>
    </xf>
    <xf numFmtId="0" fontId="14" fillId="5" borderId="58" xfId="0" applyFont="1" applyFill="1" applyBorder="1" applyAlignment="1">
      <alignment horizontal="left" vertical="top"/>
    </xf>
    <xf numFmtId="0" fontId="15" fillId="3" borderId="56" xfId="0" applyFont="1" applyFill="1" applyBorder="1" applyAlignment="1">
      <alignment horizontal="right"/>
    </xf>
    <xf numFmtId="0" fontId="15" fillId="3" borderId="58" xfId="0" applyFont="1" applyFill="1" applyBorder="1" applyAlignment="1">
      <alignment horizontal="right"/>
    </xf>
    <xf numFmtId="0" fontId="15" fillId="8" borderId="70" xfId="0" applyFont="1" applyFill="1" applyBorder="1" applyAlignment="1">
      <alignment horizontal="right"/>
    </xf>
    <xf numFmtId="0" fontId="15" fillId="8" borderId="71" xfId="0" applyFont="1" applyFill="1" applyBorder="1" applyAlignment="1">
      <alignment horizontal="right"/>
    </xf>
    <xf numFmtId="2" fontId="15" fillId="8" borderId="71" xfId="0" applyNumberFormat="1" applyFont="1" applyFill="1" applyBorder="1" applyAlignment="1">
      <alignment horizontal="right"/>
    </xf>
    <xf numFmtId="0" fontId="12" fillId="8" borderId="71" xfId="0" applyFont="1" applyFill="1" applyBorder="1" applyAlignment="1">
      <alignment horizontal="right"/>
    </xf>
    <xf numFmtId="0" fontId="15" fillId="8" borderId="73" xfId="0" applyFont="1" applyFill="1" applyBorder="1" applyAlignment="1">
      <alignment horizontal="right"/>
    </xf>
    <xf numFmtId="0" fontId="15" fillId="8" borderId="74" xfId="0" applyFont="1" applyFill="1" applyBorder="1" applyAlignment="1">
      <alignment horizontal="right"/>
    </xf>
    <xf numFmtId="2" fontId="15" fillId="8" borderId="74" xfId="0" applyNumberFormat="1" applyFont="1" applyFill="1" applyBorder="1" applyAlignment="1">
      <alignment horizontal="right"/>
    </xf>
    <xf numFmtId="0" fontId="12" fillId="8" borderId="74" xfId="0" applyFont="1" applyFill="1" applyBorder="1" applyAlignment="1">
      <alignment horizontal="right"/>
    </xf>
    <xf numFmtId="0" fontId="15" fillId="8" borderId="76" xfId="0" applyFont="1" applyFill="1" applyBorder="1" applyAlignment="1">
      <alignment horizontal="right"/>
    </xf>
    <xf numFmtId="0" fontId="15" fillId="8" borderId="77" xfId="0" applyFont="1" applyFill="1" applyBorder="1" applyAlignment="1">
      <alignment horizontal="right"/>
    </xf>
    <xf numFmtId="2" fontId="15" fillId="8" borderId="77" xfId="0" applyNumberFormat="1" applyFont="1" applyFill="1" applyBorder="1" applyAlignment="1">
      <alignment horizontal="right"/>
    </xf>
    <xf numFmtId="0" fontId="12" fillId="8" borderId="77" xfId="0" applyFont="1" applyFill="1" applyBorder="1" applyAlignment="1">
      <alignment horizontal="right"/>
    </xf>
    <xf numFmtId="0" fontId="0" fillId="0" borderId="70" xfId="0" applyBorder="1" applyAlignment="1">
      <alignment horizontal="right"/>
    </xf>
    <xf numFmtId="0" fontId="0" fillId="0" borderId="71" xfId="0" applyBorder="1" applyAlignment="1">
      <alignment horizontal="right"/>
    </xf>
    <xf numFmtId="0" fontId="0" fillId="0" borderId="73" xfId="0" applyBorder="1" applyAlignment="1">
      <alignment horizontal="right"/>
    </xf>
    <xf numFmtId="0" fontId="0" fillId="0" borderId="74" xfId="0" applyBorder="1" applyAlignment="1">
      <alignment horizontal="right"/>
    </xf>
    <xf numFmtId="0" fontId="9" fillId="6" borderId="74" xfId="0" applyFont="1" applyFill="1" applyBorder="1" applyAlignment="1">
      <alignment horizontal="right"/>
    </xf>
    <xf numFmtId="2" fontId="15" fillId="7" borderId="74" xfId="0" applyNumberFormat="1" applyFont="1" applyFill="1" applyBorder="1" applyAlignment="1">
      <alignment horizontal="right"/>
    </xf>
    <xf numFmtId="0" fontId="6" fillId="8" borderId="48" xfId="0" applyFont="1" applyFill="1" applyBorder="1" applyAlignment="1">
      <alignment horizontal="right"/>
    </xf>
    <xf numFmtId="0" fontId="16" fillId="10" borderId="70" xfId="0" applyFont="1" applyFill="1" applyBorder="1" applyAlignment="1">
      <alignment horizontal="right"/>
    </xf>
    <xf numFmtId="0" fontId="16" fillId="10" borderId="71" xfId="0" applyFont="1" applyFill="1" applyBorder="1" applyAlignment="1">
      <alignment horizontal="right"/>
    </xf>
    <xf numFmtId="165" fontId="16" fillId="10" borderId="71" xfId="0" applyNumberFormat="1" applyFont="1" applyFill="1" applyBorder="1" applyAlignment="1">
      <alignment horizontal="right"/>
    </xf>
    <xf numFmtId="0" fontId="0" fillId="6" borderId="71" xfId="0" applyFill="1" applyBorder="1" applyAlignment="1">
      <alignment horizontal="right"/>
    </xf>
    <xf numFmtId="0" fontId="16" fillId="10" borderId="73" xfId="0" applyFont="1" applyFill="1" applyBorder="1" applyAlignment="1">
      <alignment horizontal="right"/>
    </xf>
    <xf numFmtId="0" fontId="16" fillId="10" borderId="74" xfId="0" applyFont="1" applyFill="1" applyBorder="1" applyAlignment="1">
      <alignment horizontal="right"/>
    </xf>
    <xf numFmtId="165" fontId="16" fillId="10" borderId="74" xfId="0" applyNumberFormat="1" applyFont="1" applyFill="1" applyBorder="1" applyAlignment="1">
      <alignment horizontal="right"/>
    </xf>
    <xf numFmtId="0" fontId="0" fillId="6" borderId="74" xfId="0" applyFill="1" applyBorder="1" applyAlignment="1">
      <alignment horizontal="right"/>
    </xf>
    <xf numFmtId="0" fontId="18" fillId="10" borderId="74" xfId="0" applyFont="1" applyFill="1" applyBorder="1" applyAlignment="1">
      <alignment horizontal="right"/>
    </xf>
    <xf numFmtId="0" fontId="15" fillId="0" borderId="73" xfId="0" applyFont="1" applyBorder="1" applyAlignment="1">
      <alignment horizontal="right"/>
    </xf>
    <xf numFmtId="0" fontId="15" fillId="0" borderId="74" xfId="0" applyFont="1" applyBorder="1" applyAlignment="1">
      <alignment horizontal="right"/>
    </xf>
    <xf numFmtId="165" fontId="15" fillId="0" borderId="74" xfId="0" applyNumberFormat="1" applyFont="1" applyBorder="1" applyAlignment="1">
      <alignment horizontal="right"/>
    </xf>
    <xf numFmtId="0" fontId="16" fillId="0" borderId="74" xfId="0" applyFont="1" applyBorder="1" applyAlignment="1">
      <alignment horizontal="right"/>
    </xf>
    <xf numFmtId="165" fontId="16" fillId="0" borderId="74" xfId="0" applyNumberFormat="1" applyFont="1" applyBorder="1" applyAlignment="1">
      <alignment horizontal="right"/>
    </xf>
    <xf numFmtId="165" fontId="0" fillId="0" borderId="74" xfId="0" applyNumberFormat="1" applyBorder="1" applyAlignment="1">
      <alignment horizontal="right"/>
    </xf>
    <xf numFmtId="4" fontId="16" fillId="10" borderId="74" xfId="0" applyNumberFormat="1" applyFont="1" applyFill="1" applyBorder="1" applyAlignment="1">
      <alignment horizontal="right"/>
    </xf>
    <xf numFmtId="166" fontId="16" fillId="10" borderId="74" xfId="0" applyNumberFormat="1" applyFont="1" applyFill="1" applyBorder="1" applyAlignment="1">
      <alignment horizontal="right"/>
    </xf>
    <xf numFmtId="0" fontId="16" fillId="10" borderId="76" xfId="0" applyFont="1" applyFill="1" applyBorder="1" applyAlignment="1">
      <alignment horizontal="right"/>
    </xf>
    <xf numFmtId="0" fontId="16" fillId="10" borderId="77" xfId="0" applyFont="1" applyFill="1" applyBorder="1" applyAlignment="1">
      <alignment horizontal="right"/>
    </xf>
    <xf numFmtId="4" fontId="16" fillId="10" borderId="77" xfId="0" applyNumberFormat="1" applyFont="1" applyFill="1" applyBorder="1" applyAlignment="1">
      <alignment horizontal="right"/>
    </xf>
    <xf numFmtId="0" fontId="16" fillId="0" borderId="77" xfId="0" applyFont="1" applyBorder="1" applyAlignment="1">
      <alignment horizontal="right"/>
    </xf>
    <xf numFmtId="0" fontId="0" fillId="6" borderId="77" xfId="0" applyFill="1" applyBorder="1" applyAlignment="1">
      <alignment horizontal="right"/>
    </xf>
    <xf numFmtId="0" fontId="0" fillId="6" borderId="65" xfId="0" applyFill="1" applyBorder="1" applyAlignment="1">
      <alignment horizontal="right"/>
    </xf>
    <xf numFmtId="0" fontId="0" fillId="6" borderId="45" xfId="0" applyFill="1" applyBorder="1" applyAlignment="1">
      <alignment horizontal="right"/>
    </xf>
    <xf numFmtId="0" fontId="5" fillId="8" borderId="45" xfId="0" applyFont="1" applyFill="1" applyBorder="1" applyAlignment="1">
      <alignment horizontal="right"/>
    </xf>
    <xf numFmtId="0" fontId="5" fillId="0" borderId="0" xfId="0" applyFont="1" applyAlignment="1">
      <alignment vertical="center" wrapText="1"/>
    </xf>
    <xf numFmtId="0" fontId="6" fillId="0" borderId="14" xfId="0" applyFont="1" applyBorder="1"/>
    <xf numFmtId="0" fontId="5" fillId="0" borderId="0" xfId="0" applyFont="1" applyAlignment="1">
      <alignment horizontal="right" vertical="center" wrapText="1"/>
    </xf>
    <xf numFmtId="0" fontId="0" fillId="0" borderId="45" xfId="0" applyBorder="1"/>
    <xf numFmtId="0" fontId="12" fillId="4" borderId="79" xfId="0" applyFont="1" applyFill="1" applyBorder="1"/>
    <xf numFmtId="0" fontId="12" fillId="0" borderId="79" xfId="0" applyFont="1" applyBorder="1"/>
    <xf numFmtId="0" fontId="12" fillId="4" borderId="46" xfId="0" applyFont="1" applyFill="1" applyBorder="1"/>
    <xf numFmtId="0" fontId="12" fillId="4" borderId="36" xfId="0" applyFont="1" applyFill="1" applyBorder="1"/>
    <xf numFmtId="0" fontId="12" fillId="4" borderId="45" xfId="0" applyFont="1" applyFill="1" applyBorder="1"/>
    <xf numFmtId="0" fontId="20" fillId="0" borderId="0" xfId="0" applyFont="1" applyAlignment="1">
      <alignment vertical="center"/>
    </xf>
    <xf numFmtId="0" fontId="15" fillId="8" borderId="80" xfId="0" applyFont="1" applyFill="1" applyBorder="1" applyAlignment="1">
      <alignment horizontal="right"/>
    </xf>
    <xf numFmtId="0" fontId="15" fillId="8" borderId="81" xfId="0" applyFont="1" applyFill="1" applyBorder="1" applyAlignment="1">
      <alignment horizontal="right"/>
    </xf>
    <xf numFmtId="2" fontId="15" fillId="8" borderId="81" xfId="0" applyNumberFormat="1" applyFont="1" applyFill="1" applyBorder="1" applyAlignment="1">
      <alignment horizontal="right"/>
    </xf>
    <xf numFmtId="0" fontId="12" fillId="8" borderId="81" xfId="0" applyFont="1" applyFill="1" applyBorder="1" applyAlignment="1">
      <alignment horizontal="right"/>
    </xf>
    <xf numFmtId="0" fontId="5" fillId="8" borderId="74" xfId="0" applyFont="1" applyFill="1" applyBorder="1" applyAlignment="1">
      <alignment horizontal="right"/>
    </xf>
    <xf numFmtId="0" fontId="5" fillId="8" borderId="81" xfId="0" applyFont="1" applyFill="1" applyBorder="1" applyAlignment="1">
      <alignment horizontal="right"/>
    </xf>
    <xf numFmtId="0" fontId="5" fillId="8" borderId="77" xfId="0" applyFont="1" applyFill="1" applyBorder="1" applyAlignment="1">
      <alignment horizontal="right"/>
    </xf>
    <xf numFmtId="0" fontId="0" fillId="0" borderId="80" xfId="0" applyBorder="1" applyAlignment="1">
      <alignment horizontal="right"/>
    </xf>
    <xf numFmtId="0" fontId="0" fillId="0" borderId="81" xfId="0" applyBorder="1" applyAlignment="1">
      <alignment horizontal="right"/>
    </xf>
    <xf numFmtId="0" fontId="19" fillId="0" borderId="0" xfId="0" applyFont="1" applyAlignment="1">
      <alignment vertical="center"/>
    </xf>
    <xf numFmtId="0" fontId="5" fillId="0" borderId="74" xfId="0" applyFont="1" applyBorder="1" applyAlignment="1">
      <alignment horizontal="right"/>
    </xf>
    <xf numFmtId="0" fontId="5" fillId="0" borderId="71" xfId="0" applyFont="1" applyBorder="1" applyAlignment="1">
      <alignment horizontal="right"/>
    </xf>
    <xf numFmtId="0" fontId="5" fillId="0" borderId="0" xfId="0" applyFont="1" applyAlignment="1">
      <alignment horizontal="right"/>
    </xf>
    <xf numFmtId="2" fontId="15" fillId="7" borderId="84" xfId="0" applyNumberFormat="1" applyFont="1" applyFill="1" applyBorder="1" applyAlignment="1">
      <alignment horizontal="right"/>
    </xf>
    <xf numFmtId="0" fontId="15" fillId="2" borderId="83" xfId="0" applyFont="1" applyFill="1" applyBorder="1" applyAlignment="1">
      <alignment horizontal="left" vertical="top"/>
    </xf>
    <xf numFmtId="0" fontId="5" fillId="6" borderId="71" xfId="0" applyFont="1" applyFill="1" applyBorder="1" applyAlignment="1">
      <alignment horizontal="right"/>
    </xf>
    <xf numFmtId="0" fontId="15" fillId="3" borderId="45" xfId="0" applyFont="1" applyFill="1" applyBorder="1"/>
    <xf numFmtId="0" fontId="15" fillId="4" borderId="36" xfId="0" applyFont="1" applyFill="1" applyBorder="1"/>
    <xf numFmtId="0" fontId="0" fillId="6" borderId="56" xfId="0" applyFill="1" applyBorder="1" applyAlignment="1">
      <alignment horizontal="right"/>
    </xf>
    <xf numFmtId="0" fontId="0" fillId="6" borderId="57" xfId="0" applyFill="1" applyBorder="1" applyAlignment="1">
      <alignment horizontal="right"/>
    </xf>
    <xf numFmtId="0" fontId="5" fillId="0" borderId="45" xfId="0" applyFont="1" applyBorder="1"/>
    <xf numFmtId="0" fontId="5" fillId="0" borderId="80" xfId="0" applyFont="1" applyBorder="1" applyAlignment="1">
      <alignment horizontal="right"/>
    </xf>
    <xf numFmtId="0" fontId="9" fillId="0" borderId="74" xfId="0" applyFont="1" applyBorder="1" applyAlignment="1">
      <alignment horizontal="right"/>
    </xf>
    <xf numFmtId="2" fontId="15" fillId="0" borderId="74" xfId="0" applyNumberFormat="1" applyFont="1" applyBorder="1" applyAlignment="1">
      <alignment horizontal="right"/>
    </xf>
    <xf numFmtId="0" fontId="5" fillId="0" borderId="76" xfId="0" applyFont="1" applyBorder="1" applyAlignment="1">
      <alignment horizontal="right"/>
    </xf>
    <xf numFmtId="0" fontId="0" fillId="0" borderId="77" xfId="0" applyBorder="1" applyAlignment="1">
      <alignment horizontal="right"/>
    </xf>
    <xf numFmtId="0" fontId="5" fillId="0" borderId="77" xfId="0" applyFont="1" applyBorder="1" applyAlignment="1">
      <alignment horizontal="right"/>
    </xf>
    <xf numFmtId="0" fontId="15" fillId="0" borderId="77" xfId="0" applyFont="1" applyBorder="1" applyAlignment="1">
      <alignment horizontal="right"/>
    </xf>
    <xf numFmtId="0" fontId="15" fillId="11" borderId="54" xfId="0" applyFont="1" applyFill="1" applyBorder="1" applyAlignment="1">
      <alignment horizontal="right" wrapText="1"/>
    </xf>
    <xf numFmtId="0" fontId="15" fillId="11" borderId="60" xfId="0" applyFont="1" applyFill="1" applyBorder="1" applyAlignment="1">
      <alignment horizontal="right"/>
    </xf>
    <xf numFmtId="0" fontId="0" fillId="12" borderId="54" xfId="0" applyFill="1" applyBorder="1" applyAlignment="1">
      <alignment horizontal="right"/>
    </xf>
    <xf numFmtId="0" fontId="5" fillId="0" borderId="62" xfId="0" applyFont="1" applyBorder="1" applyAlignment="1">
      <alignment horizontal="right" vertical="center" wrapText="1"/>
    </xf>
    <xf numFmtId="0" fontId="12" fillId="0" borderId="45" xfId="0" applyFont="1" applyBorder="1"/>
    <xf numFmtId="0" fontId="0" fillId="0" borderId="45" xfId="0" applyBorder="1" applyAlignment="1">
      <alignment horizontal="right"/>
    </xf>
    <xf numFmtId="0" fontId="0" fillId="0" borderId="57" xfId="0" applyBorder="1" applyAlignment="1">
      <alignment horizontal="right"/>
    </xf>
    <xf numFmtId="0" fontId="3" fillId="8" borderId="57" xfId="0" applyFont="1" applyFill="1" applyBorder="1" applyAlignment="1">
      <alignment horizontal="right"/>
    </xf>
    <xf numFmtId="0" fontId="3" fillId="0" borderId="57" xfId="0" applyFont="1" applyBorder="1" applyAlignment="1">
      <alignment horizontal="right" vertical="center" wrapText="1"/>
    </xf>
    <xf numFmtId="0" fontId="3" fillId="0" borderId="58" xfId="0" applyFont="1" applyBorder="1" applyAlignment="1">
      <alignment horizontal="right"/>
    </xf>
    <xf numFmtId="0" fontId="0" fillId="0" borderId="65" xfId="0" applyBorder="1" applyAlignment="1">
      <alignment horizontal="right"/>
    </xf>
    <xf numFmtId="0" fontId="5" fillId="8" borderId="65" xfId="0" applyFont="1" applyFill="1" applyBorder="1" applyAlignment="1">
      <alignment horizontal="right"/>
    </xf>
    <xf numFmtId="0" fontId="4" fillId="0" borderId="65" xfId="0" applyFont="1" applyBorder="1" applyAlignment="1">
      <alignment horizontal="right" vertical="center" wrapText="1"/>
    </xf>
    <xf numFmtId="0" fontId="5" fillId="6" borderId="45" xfId="0" applyFont="1" applyFill="1" applyBorder="1" applyAlignment="1">
      <alignment horizontal="right"/>
    </xf>
    <xf numFmtId="0" fontId="0" fillId="8" borderId="45" xfId="0" applyFill="1" applyBorder="1" applyAlignment="1">
      <alignment horizontal="right"/>
    </xf>
    <xf numFmtId="0" fontId="4" fillId="12" borderId="60" xfId="0" applyFont="1" applyFill="1" applyBorder="1" applyAlignment="1">
      <alignment horizontal="right"/>
    </xf>
    <xf numFmtId="0" fontId="9" fillId="12" borderId="54" xfId="0" applyFont="1" applyFill="1" applyBorder="1" applyAlignment="1">
      <alignment horizontal="right"/>
    </xf>
    <xf numFmtId="0" fontId="5" fillId="12" borderId="63" xfId="0" applyFont="1" applyFill="1" applyBorder="1" applyAlignment="1">
      <alignment horizontal="right" vertical="center" wrapText="1"/>
    </xf>
    <xf numFmtId="0" fontId="16" fillId="0" borderId="73" xfId="0" applyFont="1" applyBorder="1" applyAlignment="1">
      <alignment horizontal="right"/>
    </xf>
    <xf numFmtId="0" fontId="18" fillId="0" borderId="74" xfId="0" applyFont="1" applyBorder="1" applyAlignment="1">
      <alignment horizontal="right"/>
    </xf>
    <xf numFmtId="0" fontId="16" fillId="12" borderId="72" xfId="0" applyFont="1" applyFill="1" applyBorder="1" applyAlignment="1">
      <alignment horizontal="right"/>
    </xf>
    <xf numFmtId="0" fontId="16" fillId="12" borderId="75" xfId="0" applyFont="1" applyFill="1" applyBorder="1" applyAlignment="1">
      <alignment horizontal="right"/>
    </xf>
    <xf numFmtId="0" fontId="16" fillId="12" borderId="78" xfId="0" applyFont="1" applyFill="1" applyBorder="1" applyAlignment="1">
      <alignment horizontal="right"/>
    </xf>
    <xf numFmtId="49" fontId="16" fillId="12" borderId="71" xfId="0" applyNumberFormat="1" applyFont="1" applyFill="1" applyBorder="1" applyAlignment="1">
      <alignment horizontal="right"/>
    </xf>
    <xf numFmtId="49" fontId="16" fillId="12" borderId="74" xfId="0" applyNumberFormat="1" applyFont="1" applyFill="1" applyBorder="1" applyAlignment="1">
      <alignment horizontal="right"/>
    </xf>
    <xf numFmtId="49" fontId="18" fillId="12" borderId="74" xfId="0" applyNumberFormat="1" applyFont="1" applyFill="1" applyBorder="1" applyAlignment="1">
      <alignment horizontal="right"/>
    </xf>
    <xf numFmtId="49" fontId="0" fillId="12" borderId="74" xfId="0" applyNumberFormat="1" applyFill="1" applyBorder="1" applyAlignment="1">
      <alignment horizontal="right"/>
    </xf>
    <xf numFmtId="49" fontId="15" fillId="12" borderId="74" xfId="0" applyNumberFormat="1" applyFont="1" applyFill="1" applyBorder="1" applyAlignment="1">
      <alignment horizontal="right"/>
    </xf>
    <xf numFmtId="0" fontId="16" fillId="12" borderId="74" xfId="0" applyFont="1" applyFill="1" applyBorder="1" applyAlignment="1">
      <alignment horizontal="right"/>
    </xf>
    <xf numFmtId="2" fontId="16" fillId="12" borderId="74" xfId="0" applyNumberFormat="1" applyFont="1" applyFill="1" applyBorder="1" applyAlignment="1">
      <alignment horizontal="right"/>
    </xf>
    <xf numFmtId="49" fontId="16" fillId="12" borderId="77" xfId="0" applyNumberFormat="1" applyFont="1" applyFill="1" applyBorder="1" applyAlignment="1">
      <alignment horizontal="right"/>
    </xf>
    <xf numFmtId="0" fontId="15" fillId="0" borderId="45" xfId="0" applyFont="1" applyBorder="1" applyAlignment="1">
      <alignment horizontal="center"/>
    </xf>
    <xf numFmtId="0" fontId="15" fillId="0" borderId="3" xfId="0" applyFont="1" applyBorder="1" applyAlignment="1">
      <alignment horizontal="center" vertical="center"/>
    </xf>
    <xf numFmtId="0" fontId="15" fillId="0" borderId="85" xfId="0" applyFont="1" applyBorder="1" applyAlignment="1">
      <alignment horizontal="center" vertical="center"/>
    </xf>
    <xf numFmtId="0" fontId="15" fillId="0" borderId="17" xfId="0" applyFont="1" applyBorder="1" applyAlignment="1">
      <alignment horizontal="center" vertical="center"/>
    </xf>
    <xf numFmtId="0" fontId="0" fillId="12" borderId="59" xfId="0" applyFill="1" applyBorder="1" applyAlignment="1">
      <alignment horizontal="right"/>
    </xf>
    <xf numFmtId="0" fontId="0" fillId="12" borderId="65" xfId="0" applyFill="1" applyBorder="1" applyAlignment="1">
      <alignment horizontal="right"/>
    </xf>
    <xf numFmtId="0" fontId="0" fillId="12" borderId="60" xfId="0" applyFill="1" applyBorder="1" applyAlignment="1">
      <alignment horizontal="right"/>
    </xf>
    <xf numFmtId="0" fontId="0" fillId="12" borderId="53" xfId="0" applyFill="1" applyBorder="1" applyAlignment="1">
      <alignment horizontal="right"/>
    </xf>
    <xf numFmtId="0" fontId="0" fillId="12" borderId="45" xfId="0" applyFill="1" applyBorder="1" applyAlignment="1">
      <alignment horizontal="right"/>
    </xf>
    <xf numFmtId="0" fontId="0" fillId="12" borderId="61" xfId="0" applyFill="1" applyBorder="1" applyAlignment="1">
      <alignment horizontal="right"/>
    </xf>
    <xf numFmtId="0" fontId="0" fillId="12" borderId="62" xfId="0" applyFill="1" applyBorder="1" applyAlignment="1">
      <alignment horizontal="right"/>
    </xf>
    <xf numFmtId="0" fontId="5" fillId="12" borderId="62" xfId="0" applyFont="1" applyFill="1" applyBorder="1" applyAlignment="1">
      <alignment horizontal="right"/>
    </xf>
    <xf numFmtId="0" fontId="5" fillId="12" borderId="63" xfId="0" applyFont="1" applyFill="1" applyBorder="1" applyAlignment="1">
      <alignment horizontal="right"/>
    </xf>
    <xf numFmtId="0" fontId="15" fillId="13" borderId="51" xfId="0" applyFont="1" applyFill="1" applyBorder="1" applyAlignment="1">
      <alignment horizontal="left" vertical="top" wrapText="1"/>
    </xf>
    <xf numFmtId="0" fontId="3" fillId="0" borderId="71" xfId="0" applyFont="1" applyBorder="1" applyAlignment="1">
      <alignment horizontal="right"/>
    </xf>
    <xf numFmtId="0" fontId="15" fillId="11" borderId="72" xfId="0" applyFont="1" applyFill="1" applyBorder="1" applyAlignment="1">
      <alignment horizontal="right" vertical="top"/>
    </xf>
    <xf numFmtId="0" fontId="15" fillId="11" borderId="75" xfId="0" applyFont="1" applyFill="1" applyBorder="1" applyAlignment="1">
      <alignment horizontal="right" vertical="top"/>
    </xf>
    <xf numFmtId="0" fontId="15" fillId="13" borderId="75" xfId="0" applyFont="1" applyFill="1" applyBorder="1" applyAlignment="1">
      <alignment horizontal="right"/>
    </xf>
    <xf numFmtId="0" fontId="15" fillId="13" borderId="82" xfId="0" applyFont="1" applyFill="1" applyBorder="1" applyAlignment="1">
      <alignment horizontal="right"/>
    </xf>
    <xf numFmtId="0" fontId="15" fillId="12" borderId="82" xfId="0" applyFont="1" applyFill="1" applyBorder="1" applyAlignment="1">
      <alignment horizontal="right"/>
    </xf>
    <xf numFmtId="0" fontId="15" fillId="12" borderId="78" xfId="0" applyFont="1" applyFill="1" applyBorder="1" applyAlignment="1">
      <alignment horizontal="right"/>
    </xf>
    <xf numFmtId="0" fontId="15" fillId="13" borderId="51" xfId="0" applyFont="1" applyFill="1" applyBorder="1" applyAlignment="1">
      <alignment vertical="top" wrapText="1"/>
    </xf>
    <xf numFmtId="0" fontId="15" fillId="12" borderId="72" xfId="0" applyFont="1" applyFill="1" applyBorder="1" applyAlignment="1">
      <alignment horizontal="right"/>
    </xf>
    <xf numFmtId="0" fontId="9" fillId="12" borderId="75" xfId="0" applyFont="1" applyFill="1" applyBorder="1" applyAlignment="1">
      <alignment horizontal="right"/>
    </xf>
    <xf numFmtId="0" fontId="9" fillId="12" borderId="82" xfId="0" applyFont="1" applyFill="1" applyBorder="1" applyAlignment="1">
      <alignment horizontal="right"/>
    </xf>
    <xf numFmtId="0" fontId="9" fillId="12" borderId="78" xfId="0" applyFont="1" applyFill="1" applyBorder="1" applyAlignment="1">
      <alignment horizontal="right"/>
    </xf>
    <xf numFmtId="0" fontId="3" fillId="6" borderId="65" xfId="0" applyFont="1" applyFill="1" applyBorder="1" applyAlignment="1">
      <alignment horizontal="right"/>
    </xf>
    <xf numFmtId="0" fontId="3" fillId="6" borderId="45" xfId="0" applyFont="1" applyFill="1" applyBorder="1" applyAlignment="1">
      <alignment horizontal="right"/>
    </xf>
    <xf numFmtId="0" fontId="16" fillId="12" borderId="71" xfId="0" applyFont="1" applyFill="1" applyBorder="1" applyAlignment="1">
      <alignment horizontal="right"/>
    </xf>
    <xf numFmtId="0" fontId="16" fillId="12" borderId="77" xfId="0" applyFont="1" applyFill="1" applyBorder="1" applyAlignment="1">
      <alignment horizontal="right"/>
    </xf>
    <xf numFmtId="2" fontId="0" fillId="12" borderId="71" xfId="0" applyNumberFormat="1" applyFill="1" applyBorder="1" applyAlignment="1">
      <alignment horizontal="right"/>
    </xf>
    <xf numFmtId="2" fontId="0" fillId="12" borderId="74" xfId="0" applyNumberFormat="1" applyFill="1" applyBorder="1" applyAlignment="1">
      <alignment horizontal="right"/>
    </xf>
    <xf numFmtId="2" fontId="0" fillId="12" borderId="81" xfId="0" applyNumberFormat="1" applyFill="1" applyBorder="1" applyAlignment="1">
      <alignment horizontal="right"/>
    </xf>
    <xf numFmtId="2" fontId="0" fillId="12" borderId="77" xfId="0" applyNumberFormat="1" applyFill="1" applyBorder="1" applyAlignment="1">
      <alignment horizontal="right"/>
    </xf>
    <xf numFmtId="2" fontId="5" fillId="12" borderId="71" xfId="0" applyNumberFormat="1" applyFont="1" applyFill="1" applyBorder="1" applyAlignment="1">
      <alignment horizontal="right"/>
    </xf>
    <xf numFmtId="2" fontId="9" fillId="12" borderId="74" xfId="0" applyNumberFormat="1" applyFont="1" applyFill="1" applyBorder="1" applyAlignment="1">
      <alignment horizontal="right"/>
    </xf>
    <xf numFmtId="0" fontId="3" fillId="12" borderId="59" xfId="0" applyFont="1" applyFill="1" applyBorder="1" applyAlignment="1">
      <alignment horizontal="right"/>
    </xf>
    <xf numFmtId="0" fontId="3" fillId="12" borderId="53" xfId="0" applyFont="1" applyFill="1" applyBorder="1" applyAlignment="1">
      <alignment horizontal="right"/>
    </xf>
    <xf numFmtId="0" fontId="5" fillId="12" borderId="61" xfId="0" applyFont="1" applyFill="1" applyBorder="1" applyAlignment="1">
      <alignment horizontal="right" vertical="center" wrapText="1"/>
    </xf>
    <xf numFmtId="0" fontId="2" fillId="0" borderId="0" xfId="0" applyFont="1" applyAlignment="1">
      <alignment vertical="top" wrapText="1"/>
    </xf>
    <xf numFmtId="0" fontId="11" fillId="14" borderId="86" xfId="0" applyFont="1" applyFill="1" applyBorder="1" applyAlignment="1">
      <alignment wrapText="1"/>
    </xf>
    <xf numFmtId="0" fontId="2" fillId="0" borderId="0" xfId="0" applyFont="1" applyAlignment="1">
      <alignment wrapText="1"/>
    </xf>
    <xf numFmtId="0" fontId="15" fillId="11" borderId="54" xfId="0" applyFont="1" applyFill="1" applyBorder="1" applyAlignment="1">
      <alignment horizontal="right"/>
    </xf>
    <xf numFmtId="0" fontId="1" fillId="0" borderId="0" xfId="0" applyFont="1" applyAlignment="1">
      <alignment wrapText="1"/>
    </xf>
  </cellXfs>
  <cellStyles count="3">
    <cellStyle name="Normal" xfId="0" builtinId="0"/>
    <cellStyle name="Normal 2" xfId="1" xr:uid="{E6FC7F08-7D14-4BD2-B45C-80CEE6AAD665}"/>
    <cellStyle name="Normal 3" xfId="2" xr:uid="{6461478F-9BCA-4D33-B9AA-A67BDD689BDA}"/>
  </cellStyles>
  <dxfs count="2">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externalLink" Target="externalLinks/externalLink1.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customschemas.google.com/relationships/workbookmetadata" Target="metadata"/></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11</xdr:col>
      <xdr:colOff>24581</xdr:colOff>
      <xdr:row>40</xdr:row>
      <xdr:rowOff>319549</xdr:rowOff>
    </xdr:from>
    <xdr:to>
      <xdr:col>13</xdr:col>
      <xdr:colOff>768146</xdr:colOff>
      <xdr:row>59</xdr:row>
      <xdr:rowOff>89105</xdr:rowOff>
    </xdr:to>
    <xdr:pic>
      <xdr:nvPicPr>
        <xdr:cNvPr id="4" name="Picture 3">
          <a:extLst>
            <a:ext uri="{FF2B5EF4-FFF2-40B4-BE49-F238E27FC236}">
              <a16:creationId xmlns:a16="http://schemas.microsoft.com/office/drawing/2014/main" id="{6F0FB9B6-CF62-76DA-07CB-1AECB7C7F6D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795065" y="10041194"/>
          <a:ext cx="6667500" cy="40957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3185161</xdr:colOff>
      <xdr:row>19</xdr:row>
      <xdr:rowOff>152401</xdr:rowOff>
    </xdr:from>
    <xdr:to>
      <xdr:col>3</xdr:col>
      <xdr:colOff>510541</xdr:colOff>
      <xdr:row>28</xdr:row>
      <xdr:rowOff>179373</xdr:rowOff>
    </xdr:to>
    <xdr:pic>
      <xdr:nvPicPr>
        <xdr:cNvPr id="3" name="Graphic 2">
          <a:extLst>
            <a:ext uri="{FF2B5EF4-FFF2-40B4-BE49-F238E27FC236}">
              <a16:creationId xmlns:a16="http://schemas.microsoft.com/office/drawing/2014/main" id="{8E5BF1FA-CF2D-DFA9-1E78-8537B713EA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185161" y="4861561"/>
          <a:ext cx="7513320" cy="168051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MethanoltoSNG/MeOHtoSNG_old.xlsx" TargetMode="External"/><Relationship Id="rId2" Type="http://schemas.openxmlformats.org/officeDocument/2006/relationships/externalLinkPath" Target="https://d.docs.live.net/f3aee38b355b722b/Documents/02_EPFL/01_MA2/SemesterProject/PdS2026/MethanoltoSNG/MeOHtoSNG_old.xlsx" TargetMode="External"/><Relationship Id="rId1" Type="http://schemas.openxmlformats.org/officeDocument/2006/relationships/externalLinkPath" Target="/f3aee38b355b722b/Documents/02_EPFL/01_MA2/SemesterProject/PdS2026/MethanoltoSNG/MeOHtoSNG_ol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README"/>
      <sheetName val="HEADER"/>
      <sheetName val="VARIABLES"/>
      <sheetName val="CONNECTORS"/>
      <sheetName val="MeOH_reform"/>
      <sheetName val="SyngasMethanator"/>
    </sheetNames>
    <sheetDataSet>
      <sheetData sheetId="0" refreshError="1"/>
      <sheetData sheetId="1" refreshError="1"/>
      <sheetData sheetId="2">
        <row r="15">
          <cell r="E15">
            <v>8</v>
          </cell>
        </row>
        <row r="16">
          <cell r="E16">
            <v>12103</v>
          </cell>
        </row>
        <row r="17">
          <cell r="E17">
            <v>14953</v>
          </cell>
        </row>
        <row r="18">
          <cell r="E18">
            <v>10731</v>
          </cell>
        </row>
        <row r="19">
          <cell r="E19">
            <v>1760</v>
          </cell>
        </row>
        <row r="20">
          <cell r="E20">
            <v>156</v>
          </cell>
        </row>
        <row r="21">
          <cell r="E21">
            <v>35</v>
          </cell>
        </row>
        <row r="22">
          <cell r="E22">
            <v>55</v>
          </cell>
        </row>
        <row r="23">
          <cell r="E23">
            <v>163</v>
          </cell>
        </row>
        <row r="24">
          <cell r="E24">
            <v>35</v>
          </cell>
        </row>
        <row r="25">
          <cell r="E25">
            <v>59</v>
          </cell>
        </row>
        <row r="26">
          <cell r="E26">
            <v>163</v>
          </cell>
        </row>
        <row r="27">
          <cell r="E27">
            <v>35</v>
          </cell>
        </row>
        <row r="28">
          <cell r="E28">
            <v>61</v>
          </cell>
        </row>
        <row r="29">
          <cell r="E29">
            <v>50</v>
          </cell>
        </row>
        <row r="30">
          <cell r="E30">
            <v>350</v>
          </cell>
        </row>
        <row r="31">
          <cell r="E31">
            <v>145</v>
          </cell>
        </row>
        <row r="32">
          <cell r="E32">
            <v>57</v>
          </cell>
        </row>
        <row r="33">
          <cell r="E33">
            <v>58</v>
          </cell>
        </row>
        <row r="34">
          <cell r="E34">
            <v>58</v>
          </cell>
        </row>
        <row r="35">
          <cell r="E35">
            <v>7</v>
          </cell>
        </row>
        <row r="36">
          <cell r="E36">
            <v>18</v>
          </cell>
        </row>
        <row r="37">
          <cell r="E37">
            <v>21</v>
          </cell>
        </row>
        <row r="38">
          <cell r="E38">
            <v>22</v>
          </cell>
        </row>
        <row r="39">
          <cell r="E39">
            <v>131</v>
          </cell>
        </row>
        <row r="40">
          <cell r="E40">
            <v>3495</v>
          </cell>
        </row>
        <row r="41">
          <cell r="E41">
            <v>131</v>
          </cell>
        </row>
        <row r="42">
          <cell r="E42">
            <v>241</v>
          </cell>
        </row>
        <row r="43">
          <cell r="E43">
            <v>13437</v>
          </cell>
        </row>
        <row r="44">
          <cell r="E44">
            <v>241</v>
          </cell>
        </row>
        <row r="45">
          <cell r="E45">
            <v>350</v>
          </cell>
        </row>
        <row r="46">
          <cell r="E46">
            <v>1894</v>
          </cell>
        </row>
        <row r="47">
          <cell r="E47">
            <v>365</v>
          </cell>
        </row>
        <row r="48">
          <cell r="E48">
            <v>179</v>
          </cell>
        </row>
        <row r="49">
          <cell r="E49">
            <v>3563</v>
          </cell>
        </row>
        <row r="50">
          <cell r="E50">
            <v>179</v>
          </cell>
        </row>
        <row r="51">
          <cell r="E51">
            <v>30</v>
          </cell>
        </row>
        <row r="52">
          <cell r="E52">
            <v>10022</v>
          </cell>
        </row>
        <row r="53">
          <cell r="E53">
            <v>28815</v>
          </cell>
        </row>
        <row r="54">
          <cell r="E54">
            <v>12709</v>
          </cell>
        </row>
        <row r="56">
          <cell r="E56">
            <v>5375</v>
          </cell>
        </row>
        <row r="57">
          <cell r="E57">
            <v>12709</v>
          </cell>
        </row>
        <row r="59">
          <cell r="E59">
            <v>30</v>
          </cell>
        </row>
        <row r="60">
          <cell r="E60">
            <v>250</v>
          </cell>
        </row>
        <row r="61">
          <cell r="E61">
            <v>2429</v>
          </cell>
        </row>
        <row r="62">
          <cell r="E62">
            <v>610</v>
          </cell>
        </row>
        <row r="63">
          <cell r="E63">
            <v>300</v>
          </cell>
        </row>
        <row r="64">
          <cell r="E64">
            <v>10200</v>
          </cell>
        </row>
        <row r="65">
          <cell r="E65">
            <v>462</v>
          </cell>
        </row>
        <row r="66">
          <cell r="E66">
            <v>200</v>
          </cell>
        </row>
        <row r="67">
          <cell r="E67">
            <v>3889</v>
          </cell>
        </row>
        <row r="68">
          <cell r="E68">
            <v>212</v>
          </cell>
        </row>
        <row r="69">
          <cell r="E69">
            <v>30</v>
          </cell>
        </row>
        <row r="70">
          <cell r="E70">
            <v>6003</v>
          </cell>
        </row>
        <row r="71">
          <cell r="E71">
            <v>50000</v>
          </cell>
        </row>
        <row r="72">
          <cell r="E72">
            <v>4081</v>
          </cell>
        </row>
        <row r="74">
          <cell r="E74">
            <v>7.06</v>
          </cell>
        </row>
        <row r="75">
          <cell r="E75">
            <v>34</v>
          </cell>
        </row>
        <row r="76">
          <cell r="E76">
            <v>1000</v>
          </cell>
        </row>
        <row r="77">
          <cell r="E77">
            <v>300</v>
          </cell>
        </row>
        <row r="80">
          <cell r="E80">
            <v>596.20000000000005</v>
          </cell>
        </row>
        <row r="82">
          <cell r="E82">
            <v>56680.555555555555</v>
          </cell>
        </row>
        <row r="83">
          <cell r="E83">
            <v>4.2220000000000004</v>
          </cell>
        </row>
      </sheetData>
      <sheetData sheetId="3" refreshError="1"/>
      <sheetData sheetId="4" refreshError="1"/>
      <sheetData sheetId="5" refreshError="1"/>
    </sheetDataSet>
  </externalBook>
</externalLink>
</file>

<file path=xl/persons/person.xml><?xml version="1.0" encoding="utf-8"?>
<personList xmlns="http://schemas.microsoft.com/office/spreadsheetml/2018/threadedcomments" xmlns:x="http://schemas.openxmlformats.org/spreadsheetml/2006/main">
  <person displayName="baptiste mabboux" id="{E406933E-93E9-4A72-91D9-7BD54ED75B42}" userId="f3aee38b355b722b" providerId="Windows Live"/>
</personList>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8" dT="2026-05-05T13:30:55.87" personId="{E406933E-93E9-4A72-91D9-7BD54ED75B42}" id="{4B0F33F9-3743-4148-B346-0904A7B6F535}">
    <text>UID consistency</text>
  </threadedComment>
</ThreadedComments>
</file>

<file path=xl/threadedComments/threadedComment2.xml><?xml version="1.0" encoding="utf-8"?>
<ThreadedComments xmlns="http://schemas.microsoft.com/office/spreadsheetml/2018/threadedcomments" xmlns:x="http://schemas.openxmlformats.org/spreadsheetml/2006/main">
  <threadedComment ref="K25" dT="2026-05-05T13:00:03.73" personId="{E406933E-93E9-4A72-91D9-7BD54ED75B42}" id="{159E34AE-D917-4C0A-8ECB-39ADC85D0B12}">
    <text>Constant cp assume for streams without mass flow information, cp computed from mass flow for other streams</text>
  </threadedComment>
  <threadedComment ref="M25" dT="2026-05-05T13:23:08.17" personId="{E406933E-93E9-4A72-91D9-7BD54ED75B42}" id="{A4C92681-F237-4A38-B3DF-1EBC713FA8E8}">
    <text>Taken from variables or computed with cp when no information</text>
  </threadedComment>
</ThreadedComment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2:B10"/>
  <sheetViews>
    <sheetView showGridLines="0" zoomScale="55" zoomScaleNormal="55" workbookViewId="0">
      <selection activeCell="B10" sqref="B10"/>
    </sheetView>
  </sheetViews>
  <sheetFormatPr defaultColWidth="14.44140625" defaultRowHeight="15" customHeight="1" x14ac:dyDescent="0.3"/>
  <cols>
    <col min="1" max="1" width="18.109375" bestFit="1" customWidth="1"/>
    <col min="2" max="2" width="255.77734375" style="142" customWidth="1"/>
    <col min="3" max="3" width="29.44140625" customWidth="1"/>
  </cols>
  <sheetData>
    <row r="2" spans="1:2" ht="37.799999999999997" customHeight="1" x14ac:dyDescent="0.3">
      <c r="A2" s="79" t="s">
        <v>0</v>
      </c>
      <c r="B2" s="143" t="s">
        <v>1</v>
      </c>
    </row>
    <row r="3" spans="1:2" ht="15" customHeight="1" x14ac:dyDescent="0.3">
      <c r="A3" s="140"/>
      <c r="B3" s="141"/>
    </row>
    <row r="4" spans="1:2" ht="23.55" customHeight="1" x14ac:dyDescent="0.3">
      <c r="A4" s="79" t="s">
        <v>142</v>
      </c>
      <c r="B4" s="144" t="s">
        <v>143</v>
      </c>
    </row>
    <row r="5" spans="1:2" ht="14.4" x14ac:dyDescent="0.3">
      <c r="A5" s="140"/>
      <c r="B5" s="141"/>
    </row>
    <row r="6" spans="1:2" ht="72.45" customHeight="1" x14ac:dyDescent="0.3">
      <c r="A6" s="79" t="s">
        <v>2</v>
      </c>
      <c r="B6" s="144" t="s">
        <v>144</v>
      </c>
    </row>
    <row r="7" spans="1:2" ht="14.4" x14ac:dyDescent="0.3">
      <c r="A7" s="140"/>
      <c r="B7" s="141"/>
    </row>
    <row r="8" spans="1:2" ht="39.450000000000003" customHeight="1" x14ac:dyDescent="0.3">
      <c r="A8" s="79" t="s">
        <v>3</v>
      </c>
      <c r="B8" s="143" t="s">
        <v>4</v>
      </c>
    </row>
    <row r="9" spans="1:2" ht="14.4" x14ac:dyDescent="0.3">
      <c r="A9" s="140"/>
      <c r="B9" s="141"/>
    </row>
    <row r="10" spans="1:2" ht="55.8" customHeight="1" x14ac:dyDescent="0.3">
      <c r="A10" s="79" t="s">
        <v>5</v>
      </c>
      <c r="B10" s="144" t="s">
        <v>145</v>
      </c>
    </row>
  </sheetData>
  <dataValidations count="1">
    <dataValidation type="list" errorStyle="information" allowBlank="1" showInputMessage="1" showErrorMessage="1" sqref="B3 B7 B9" xr:uid="{9CD2750C-5548-400D-8B33-A867BC4F2D4D}">
      <formula1>"-,kg,s,m,K,°C,W,bar,kg/h,t/h,kW,kW/m2K,W/m2K,kJ/kgK,kJ/kg,m3/h,%,eur,eur/y,kWel/kWth,year"</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23"/>
  <sheetViews>
    <sheetView showGridLines="0" zoomScale="70" zoomScaleNormal="70" workbookViewId="0">
      <selection activeCell="B18" sqref="B18"/>
    </sheetView>
  </sheetViews>
  <sheetFormatPr defaultColWidth="14.44140625" defaultRowHeight="15" customHeight="1" x14ac:dyDescent="0.3"/>
  <cols>
    <col min="1" max="1" width="59" bestFit="1" customWidth="1"/>
    <col min="2" max="2" width="90.77734375" bestFit="1" customWidth="1"/>
    <col min="3" max="3" width="17.77734375" customWidth="1"/>
    <col min="4" max="4" width="12.6640625" customWidth="1"/>
    <col min="5" max="5" width="4.6640625" customWidth="1"/>
    <col min="6" max="6" width="7" customWidth="1"/>
    <col min="7" max="26" width="10.6640625" customWidth="1"/>
    <col min="27" max="16384" width="14.44140625" style="81"/>
  </cols>
  <sheetData>
    <row r="1" spans="1:4" ht="14.4" x14ac:dyDescent="0.3">
      <c r="A1" s="125" t="s">
        <v>83</v>
      </c>
      <c r="B1" s="247"/>
      <c r="C1" s="2"/>
      <c r="D1" s="11" t="s">
        <v>120</v>
      </c>
    </row>
    <row r="2" spans="1:4" ht="14.4" x14ac:dyDescent="0.3">
      <c r="A2" s="126" t="s">
        <v>84</v>
      </c>
      <c r="B2" s="127" t="s">
        <v>172</v>
      </c>
      <c r="D2" s="145" t="s">
        <v>6</v>
      </c>
    </row>
    <row r="3" spans="1:4" ht="14.4" x14ac:dyDescent="0.3">
      <c r="A3" s="126" t="s">
        <v>85</v>
      </c>
      <c r="B3" s="127" t="s">
        <v>173</v>
      </c>
      <c r="C3" s="81"/>
      <c r="D3" s="146" t="s">
        <v>151</v>
      </c>
    </row>
    <row r="4" spans="1:4" ht="14.4" x14ac:dyDescent="0.3">
      <c r="A4" s="126" t="s">
        <v>97</v>
      </c>
      <c r="B4" s="127" t="s">
        <v>98</v>
      </c>
      <c r="C4" s="81"/>
      <c r="D4" s="146" t="s">
        <v>152</v>
      </c>
    </row>
    <row r="5" spans="1:4" ht="14.4" x14ac:dyDescent="0.3">
      <c r="A5" s="126" t="s">
        <v>88</v>
      </c>
      <c r="B5" s="127" t="s">
        <v>175</v>
      </c>
      <c r="C5" s="81"/>
      <c r="D5" s="145" t="s">
        <v>9</v>
      </c>
    </row>
    <row r="6" spans="1:4" ht="14.4" x14ac:dyDescent="0.3">
      <c r="A6" s="126" t="s">
        <v>92</v>
      </c>
      <c r="B6" s="127" t="s">
        <v>175</v>
      </c>
      <c r="C6" s="81"/>
      <c r="D6" s="145" t="s">
        <v>13</v>
      </c>
    </row>
    <row r="7" spans="1:4" ht="14.4" x14ac:dyDescent="0.3">
      <c r="A7" s="126" t="s">
        <v>100</v>
      </c>
      <c r="B7" s="127" t="s">
        <v>101</v>
      </c>
      <c r="D7" s="146" t="s">
        <v>153</v>
      </c>
    </row>
    <row r="8" spans="1:4" ht="14.4" x14ac:dyDescent="0.3">
      <c r="A8" s="126" t="s">
        <v>86</v>
      </c>
      <c r="B8" s="128">
        <v>1</v>
      </c>
      <c r="C8" s="81"/>
      <c r="D8" s="146" t="s">
        <v>149</v>
      </c>
    </row>
    <row r="9" spans="1:4" ht="14.4" x14ac:dyDescent="0.3">
      <c r="A9" s="126" t="s">
        <v>87</v>
      </c>
      <c r="B9" s="127" t="s">
        <v>8</v>
      </c>
      <c r="C9" s="81"/>
      <c r="D9" s="146" t="s">
        <v>150</v>
      </c>
    </row>
    <row r="10" spans="1:4" ht="14.4" x14ac:dyDescent="0.3">
      <c r="A10" s="126" t="s">
        <v>121</v>
      </c>
      <c r="B10" s="124">
        <v>1</v>
      </c>
      <c r="D10" s="146" t="s">
        <v>154</v>
      </c>
    </row>
    <row r="11" spans="1:4" ht="14.4" x14ac:dyDescent="0.3">
      <c r="A11" s="126" t="s">
        <v>90</v>
      </c>
      <c r="B11" s="127" t="s">
        <v>10</v>
      </c>
      <c r="C11" s="81"/>
      <c r="D11" s="146" t="s">
        <v>155</v>
      </c>
    </row>
    <row r="12" spans="1:4" ht="28.8" x14ac:dyDescent="0.3">
      <c r="A12" s="129" t="s">
        <v>94</v>
      </c>
      <c r="B12" s="133" t="str">
        <f>meohmarketotal&amp;" kg/h"</f>
        <v>12102.8 kg/h</v>
      </c>
      <c r="C12" s="1"/>
      <c r="D12" s="146" t="s">
        <v>156</v>
      </c>
    </row>
    <row r="13" spans="1:4" ht="21.45" customHeight="1" x14ac:dyDescent="0.3">
      <c r="A13" s="129" t="s">
        <v>59</v>
      </c>
      <c r="B13" s="127">
        <v>9</v>
      </c>
      <c r="C13" s="1"/>
      <c r="D13" s="146" t="s">
        <v>157</v>
      </c>
    </row>
    <row r="14" spans="1:4" ht="14.4" x14ac:dyDescent="0.3">
      <c r="A14" s="126" t="s">
        <v>93</v>
      </c>
      <c r="B14" s="319" t="s">
        <v>174</v>
      </c>
      <c r="C14" s="80"/>
      <c r="D14" s="145" t="s">
        <v>14</v>
      </c>
    </row>
    <row r="15" spans="1:4" ht="14.4" x14ac:dyDescent="0.3">
      <c r="A15" s="129" t="s">
        <v>15</v>
      </c>
      <c r="B15" s="130" t="s">
        <v>178</v>
      </c>
      <c r="C15" s="1"/>
      <c r="D15" s="145" t="s">
        <v>147</v>
      </c>
    </row>
    <row r="16" spans="1:4" ht="14.4" x14ac:dyDescent="0.3">
      <c r="A16" s="129" t="s">
        <v>95</v>
      </c>
      <c r="B16" s="248"/>
      <c r="C16" s="1"/>
      <c r="D16" s="145" t="s">
        <v>146</v>
      </c>
    </row>
    <row r="17" spans="1:4" ht="14.4" x14ac:dyDescent="0.3">
      <c r="A17" s="129" t="s">
        <v>99</v>
      </c>
      <c r="B17" s="248"/>
      <c r="C17" s="1"/>
      <c r="D17" s="146" t="s">
        <v>158</v>
      </c>
    </row>
    <row r="18" spans="1:4" ht="20.55" customHeight="1" x14ac:dyDescent="0.3">
      <c r="A18" s="126" t="s">
        <v>89</v>
      </c>
      <c r="B18" s="246" t="s">
        <v>509</v>
      </c>
      <c r="C18" s="81"/>
      <c r="D18" s="146" t="s">
        <v>159</v>
      </c>
    </row>
    <row r="19" spans="1:4" ht="14.4" x14ac:dyDescent="0.3">
      <c r="A19" s="126" t="s">
        <v>91</v>
      </c>
      <c r="B19" s="127" t="s">
        <v>176</v>
      </c>
      <c r="C19" s="81"/>
      <c r="D19" s="145" t="s">
        <v>11</v>
      </c>
    </row>
    <row r="20" spans="1:4" ht="14.4" x14ac:dyDescent="0.3">
      <c r="A20" s="126" t="s">
        <v>118</v>
      </c>
      <c r="B20" s="127" t="s">
        <v>176</v>
      </c>
      <c r="C20" s="81"/>
      <c r="D20" s="146" t="s">
        <v>160</v>
      </c>
    </row>
    <row r="21" spans="1:4" ht="15.75" customHeight="1" x14ac:dyDescent="0.3">
      <c r="A21" s="129" t="s">
        <v>96</v>
      </c>
      <c r="B21" s="127" t="s">
        <v>177</v>
      </c>
      <c r="C21" s="1"/>
      <c r="D21" s="146" t="s">
        <v>161</v>
      </c>
    </row>
    <row r="22" spans="1:4" ht="14.4" x14ac:dyDescent="0.3">
      <c r="A22" s="126" t="s">
        <v>12</v>
      </c>
      <c r="B22" s="248"/>
      <c r="C22" s="81"/>
      <c r="D22" s="146" t="s">
        <v>162</v>
      </c>
    </row>
    <row r="23" spans="1:4" ht="15.75" customHeight="1" thickBot="1" x14ac:dyDescent="0.35">
      <c r="A23" s="131" t="s">
        <v>102</v>
      </c>
      <c r="B23" s="132" t="s">
        <v>116</v>
      </c>
      <c r="C23" s="1"/>
      <c r="D23" s="146" t="s">
        <v>148</v>
      </c>
    </row>
  </sheetData>
  <dataValidations count="1">
    <dataValidation type="list" errorStyle="information" allowBlank="1" showInputMessage="1" showErrorMessage="1" sqref="D14:D23" xr:uid="{A164BC42-E230-47CE-BB40-ADFB8D316B9C}">
      <formula1>"-,kg,s,m,K,°C,W,bar,kg/h,t/h,kW,kW/m2K,W/m2K,kJ/kgK,kJ/kg,m3/h,%,eur,eur/y,kWel/kWth,year"</formula1>
    </dataValidation>
  </dataValidations>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N56"/>
  <sheetViews>
    <sheetView showGridLines="0" zoomScale="97" zoomScaleNormal="100" workbookViewId="0">
      <selection activeCell="D20" sqref="D20"/>
    </sheetView>
  </sheetViews>
  <sheetFormatPr defaultColWidth="14.44140625" defaultRowHeight="15" customHeight="1" x14ac:dyDescent="0.3"/>
  <cols>
    <col min="1" max="1" width="42.6640625" style="78" customWidth="1"/>
    <col min="2" max="2" width="19.44140625" style="78" bestFit="1" customWidth="1"/>
    <col min="3" max="3" width="17.33203125" style="78" customWidth="1"/>
    <col min="4" max="4" width="20.109375" style="78" bestFit="1" customWidth="1"/>
    <col min="5" max="5" width="19.44140625" style="78" bestFit="1" customWidth="1"/>
    <col min="6" max="6" width="23.44140625" style="78" customWidth="1"/>
    <col min="7" max="7" width="27" style="78" customWidth="1"/>
    <col min="8" max="8" width="23.44140625" style="78" customWidth="1"/>
    <col min="9" max="9" width="33.109375" style="78" bestFit="1" customWidth="1"/>
    <col min="10" max="10" width="27" style="78" customWidth="1"/>
    <col min="11" max="11" width="54.77734375" bestFit="1" customWidth="1"/>
    <col min="12" max="12" width="61.33203125" customWidth="1"/>
    <col min="13" max="13" width="16" customWidth="1"/>
    <col min="14" max="14" width="18.44140625" customWidth="1"/>
  </cols>
  <sheetData>
    <row r="1" spans="1:14" ht="15" customHeight="1" thickBot="1" x14ac:dyDescent="0.35"/>
    <row r="2" spans="1:14" thickBot="1" x14ac:dyDescent="0.35">
      <c r="A2" s="11" t="s">
        <v>82</v>
      </c>
      <c r="B2" s="4"/>
      <c r="C2" s="4"/>
      <c r="D2" s="4"/>
      <c r="E2" s="4"/>
      <c r="F2" s="4"/>
      <c r="G2" s="4"/>
      <c r="H2" s="4"/>
      <c r="I2" s="4"/>
      <c r="J2" s="4"/>
      <c r="K2" s="3"/>
      <c r="L2" s="5"/>
      <c r="M2" s="6"/>
      <c r="N2" s="6"/>
    </row>
    <row r="3" spans="1:14" thickBot="1" x14ac:dyDescent="0.35">
      <c r="A3" s="93" t="s">
        <v>16</v>
      </c>
      <c r="B3" s="94"/>
      <c r="C3" s="94"/>
      <c r="D3" s="94"/>
      <c r="E3" s="94"/>
      <c r="F3" s="94"/>
      <c r="G3" s="94"/>
      <c r="H3" s="94"/>
      <c r="I3" s="94"/>
      <c r="J3" s="94"/>
      <c r="K3" s="137"/>
      <c r="L3" s="138"/>
      <c r="M3" s="6"/>
      <c r="N3" s="6"/>
    </row>
    <row r="4" spans="1:14" thickBot="1" x14ac:dyDescent="0.35">
      <c r="A4" s="119" t="s">
        <v>119</v>
      </c>
      <c r="B4" s="120" t="s">
        <v>17</v>
      </c>
      <c r="C4" s="120" t="s">
        <v>18</v>
      </c>
      <c r="D4" s="120" t="s">
        <v>167</v>
      </c>
      <c r="E4" s="120" t="s">
        <v>20</v>
      </c>
      <c r="F4" s="121" t="s">
        <v>21</v>
      </c>
      <c r="G4" s="120" t="s">
        <v>22</v>
      </c>
      <c r="H4" s="120" t="s">
        <v>23</v>
      </c>
      <c r="I4" s="120" t="s">
        <v>24</v>
      </c>
      <c r="J4" s="120" t="s">
        <v>25</v>
      </c>
      <c r="K4" s="120" t="s">
        <v>26</v>
      </c>
      <c r="L4" s="122" t="s">
        <v>15</v>
      </c>
      <c r="M4" s="5"/>
      <c r="N4" s="214"/>
    </row>
    <row r="5" spans="1:14" s="211" customFormat="1" ht="14.4" x14ac:dyDescent="0.3">
      <c r="A5" s="313" t="s">
        <v>507</v>
      </c>
      <c r="B5" s="303" t="s">
        <v>505</v>
      </c>
      <c r="C5" s="205" t="s">
        <v>27</v>
      </c>
      <c r="D5" s="205" t="s">
        <v>28</v>
      </c>
      <c r="E5" s="256">
        <v>25</v>
      </c>
      <c r="F5" s="256" t="s">
        <v>47</v>
      </c>
      <c r="G5" s="256">
        <v>35</v>
      </c>
      <c r="H5" s="256" t="s">
        <v>392</v>
      </c>
      <c r="I5" s="205">
        <v>-1</v>
      </c>
      <c r="J5" s="257" t="s">
        <v>393</v>
      </c>
      <c r="K5" s="258" t="s">
        <v>401</v>
      </c>
      <c r="L5" s="261" t="s">
        <v>501</v>
      </c>
      <c r="M5" s="123"/>
      <c r="N5" s="216"/>
    </row>
    <row r="6" spans="1:14" s="211" customFormat="1" ht="14.4" x14ac:dyDescent="0.3">
      <c r="A6" s="284" t="s">
        <v>29</v>
      </c>
      <c r="B6" s="206" t="s">
        <v>179</v>
      </c>
      <c r="C6" s="206" t="s">
        <v>29</v>
      </c>
      <c r="D6" s="259" t="s">
        <v>30</v>
      </c>
      <c r="E6" s="206" t="s">
        <v>31</v>
      </c>
      <c r="F6" s="206" t="s">
        <v>31</v>
      </c>
      <c r="G6" s="206" t="s">
        <v>31</v>
      </c>
      <c r="H6" s="206" t="s">
        <v>31</v>
      </c>
      <c r="I6" s="206" t="s">
        <v>31</v>
      </c>
      <c r="J6" s="260" t="s">
        <v>31</v>
      </c>
      <c r="K6" s="260" t="s">
        <v>31</v>
      </c>
      <c r="L6" s="248" t="s">
        <v>391</v>
      </c>
      <c r="N6" s="216"/>
    </row>
    <row r="7" spans="1:14" ht="14.4" x14ac:dyDescent="0.3">
      <c r="A7" s="314" t="s">
        <v>508</v>
      </c>
      <c r="B7" s="304" t="s">
        <v>506</v>
      </c>
      <c r="C7" s="206" t="s">
        <v>27</v>
      </c>
      <c r="D7" s="206" t="s">
        <v>28</v>
      </c>
      <c r="E7" s="251">
        <v>25</v>
      </c>
      <c r="F7" s="251" t="s">
        <v>47</v>
      </c>
      <c r="G7" s="251">
        <v>1</v>
      </c>
      <c r="H7" s="251" t="s">
        <v>392</v>
      </c>
      <c r="I7" s="206">
        <v>-1</v>
      </c>
      <c r="J7" s="207" t="s">
        <v>394</v>
      </c>
      <c r="K7" s="210" t="s">
        <v>395</v>
      </c>
      <c r="L7" s="262" t="s">
        <v>396</v>
      </c>
      <c r="M7" s="123"/>
      <c r="N7" s="216"/>
    </row>
    <row r="8" spans="1:14" thickBot="1" x14ac:dyDescent="0.35">
      <c r="A8" s="315" t="s">
        <v>397</v>
      </c>
      <c r="B8" s="249" t="s">
        <v>398</v>
      </c>
      <c r="C8" s="249" t="s">
        <v>399</v>
      </c>
      <c r="D8" s="249" t="s">
        <v>28</v>
      </c>
      <c r="E8" s="249">
        <v>150</v>
      </c>
      <c r="F8" s="249" t="s">
        <v>47</v>
      </c>
      <c r="G8" s="249">
        <v>1</v>
      </c>
      <c r="H8" s="249" t="s">
        <v>392</v>
      </c>
      <c r="I8" s="249">
        <v>-1</v>
      </c>
      <c r="J8" s="249" t="s">
        <v>393</v>
      </c>
      <c r="K8" s="249" t="s">
        <v>400</v>
      </c>
      <c r="L8" s="263" t="s">
        <v>403</v>
      </c>
      <c r="M8" s="211"/>
      <c r="N8" s="250"/>
    </row>
    <row r="9" spans="1:14" thickBot="1" x14ac:dyDescent="0.35">
      <c r="A9" s="209"/>
      <c r="B9" s="8"/>
      <c r="C9" s="8"/>
      <c r="D9" s="8"/>
      <c r="E9" s="8"/>
      <c r="F9" s="8"/>
      <c r="G9" s="8"/>
      <c r="H9" s="8"/>
      <c r="I9" s="9"/>
      <c r="J9" s="10"/>
      <c r="K9" s="10"/>
      <c r="L9" s="10"/>
      <c r="M9" s="211"/>
      <c r="N9" s="216"/>
    </row>
    <row r="10" spans="1:14" thickBot="1" x14ac:dyDescent="0.35">
      <c r="A10" s="11" t="s">
        <v>81</v>
      </c>
      <c r="B10" s="12"/>
      <c r="C10" s="12"/>
      <c r="D10" s="12"/>
      <c r="E10" s="12"/>
      <c r="F10" s="12"/>
      <c r="G10" s="12"/>
      <c r="H10" s="12"/>
      <c r="I10" s="13"/>
      <c r="J10" s="14"/>
      <c r="K10" s="14"/>
      <c r="L10" s="14"/>
      <c r="M10" s="212"/>
      <c r="N10" s="216"/>
    </row>
    <row r="11" spans="1:14" thickBot="1" x14ac:dyDescent="0.35">
      <c r="A11" s="93" t="s">
        <v>32</v>
      </c>
      <c r="B11" s="94"/>
      <c r="C11" s="94"/>
      <c r="D11" s="94"/>
      <c r="E11" s="94"/>
      <c r="F11" s="94"/>
      <c r="G11" s="94"/>
      <c r="H11" s="94"/>
      <c r="I11" s="94"/>
      <c r="J11" s="94"/>
      <c r="K11" s="137"/>
      <c r="L11" s="138"/>
      <c r="M11" s="213"/>
      <c r="N11" s="216"/>
    </row>
    <row r="12" spans="1:14" thickBot="1" x14ac:dyDescent="0.35">
      <c r="A12" s="119" t="s">
        <v>119</v>
      </c>
      <c r="B12" s="120" t="s">
        <v>17</v>
      </c>
      <c r="C12" s="120" t="s">
        <v>18</v>
      </c>
      <c r="D12" s="120" t="s">
        <v>167</v>
      </c>
      <c r="E12" s="120" t="s">
        <v>20</v>
      </c>
      <c r="F12" s="121" t="s">
        <v>21</v>
      </c>
      <c r="G12" s="120" t="s">
        <v>22</v>
      </c>
      <c r="H12" s="120" t="s">
        <v>23</v>
      </c>
      <c r="I12" s="120" t="s">
        <v>24</v>
      </c>
      <c r="J12" s="120" t="s">
        <v>25</v>
      </c>
      <c r="K12" s="120" t="s">
        <v>26</v>
      </c>
      <c r="L12" s="122" t="s">
        <v>15</v>
      </c>
      <c r="M12" s="5"/>
      <c r="N12" s="215"/>
    </row>
    <row r="13" spans="1:14" thickBot="1" x14ac:dyDescent="0.35">
      <c r="A13" s="236" t="s">
        <v>31</v>
      </c>
      <c r="B13" s="237" t="s">
        <v>31</v>
      </c>
      <c r="C13" s="237" t="s">
        <v>31</v>
      </c>
      <c r="D13" s="237" t="s">
        <v>31</v>
      </c>
      <c r="E13" s="252" t="s">
        <v>31</v>
      </c>
      <c r="F13" s="252" t="s">
        <v>31</v>
      </c>
      <c r="G13" s="252" t="s">
        <v>31</v>
      </c>
      <c r="H13" s="252" t="s">
        <v>31</v>
      </c>
      <c r="I13" s="237" t="s">
        <v>31</v>
      </c>
      <c r="J13" s="253" t="s">
        <v>31</v>
      </c>
      <c r="K13" s="254" t="s">
        <v>31</v>
      </c>
      <c r="L13" s="255" t="s">
        <v>31</v>
      </c>
      <c r="M13" s="123"/>
      <c r="N13" s="216"/>
    </row>
    <row r="14" spans="1:14" ht="15.75" customHeight="1" thickBot="1" x14ac:dyDescent="0.35">
      <c r="A14" s="16"/>
      <c r="B14" s="16"/>
      <c r="C14" s="16"/>
      <c r="D14" s="16"/>
      <c r="E14" s="16"/>
      <c r="F14" s="16"/>
      <c r="G14" s="17"/>
      <c r="H14" s="234"/>
      <c r="I14" s="234"/>
      <c r="J14" s="235"/>
      <c r="K14" s="215"/>
      <c r="L14" s="215"/>
      <c r="M14" s="6"/>
      <c r="N14" s="6"/>
    </row>
    <row r="15" spans="1:14" ht="15.75" customHeight="1" thickBot="1" x14ac:dyDescent="0.35">
      <c r="A15"/>
      <c r="B15" s="18"/>
      <c r="C15" s="18"/>
      <c r="D15" s="18"/>
      <c r="E15" s="18"/>
      <c r="F15" s="19"/>
      <c r="G15" s="20"/>
      <c r="H15" s="21"/>
      <c r="I15" s="20"/>
      <c r="J15" s="14"/>
      <c r="K15" s="22"/>
      <c r="L15" s="6"/>
      <c r="M15" s="6"/>
      <c r="N15" s="6"/>
    </row>
    <row r="16" spans="1:14" ht="15.75" customHeight="1" thickBot="1" x14ac:dyDescent="0.35">
      <c r="K16" s="15"/>
      <c r="L16" s="15"/>
      <c r="M16" s="6"/>
      <c r="N16" s="6"/>
    </row>
    <row r="17" spans="1:14" ht="15.75" customHeight="1" thickBot="1" x14ac:dyDescent="0.35">
      <c r="L17" s="15"/>
      <c r="M17" s="6"/>
      <c r="N17" s="6"/>
    </row>
    <row r="18" spans="1:14" ht="15.75" customHeight="1" thickBot="1" x14ac:dyDescent="0.35">
      <c r="A18" s="208"/>
      <c r="B18" s="208"/>
      <c r="C18" s="208"/>
      <c r="D18" s="208"/>
      <c r="E18" s="208"/>
      <c r="F18" s="208"/>
      <c r="G18" s="208"/>
      <c r="H18" s="208"/>
      <c r="I18" s="208"/>
      <c r="J18" s="208"/>
      <c r="L18" s="208"/>
      <c r="M18" s="6"/>
      <c r="N18" s="6"/>
    </row>
    <row r="19" spans="1:14" ht="15.75" customHeight="1" thickBot="1" x14ac:dyDescent="0.35">
      <c r="A19" s="208"/>
      <c r="B19" s="208"/>
      <c r="C19" s="208"/>
      <c r="D19" s="208"/>
      <c r="E19" s="208"/>
      <c r="F19" s="208"/>
      <c r="G19" s="208"/>
      <c r="H19" s="208"/>
      <c r="I19" s="208"/>
      <c r="J19" s="208"/>
      <c r="L19" s="208"/>
      <c r="M19" s="6"/>
      <c r="N19" s="6"/>
    </row>
    <row r="20" spans="1:14" ht="15.75" customHeight="1" thickBot="1" x14ac:dyDescent="0.35">
      <c r="M20" s="6"/>
      <c r="N20" s="6"/>
    </row>
    <row r="21" spans="1:14" ht="15.75" customHeight="1" thickBot="1" x14ac:dyDescent="0.35">
      <c r="M21" s="6"/>
      <c r="N21" s="6"/>
    </row>
    <row r="22" spans="1:14" ht="15.75" customHeight="1" thickBot="1" x14ac:dyDescent="0.35">
      <c r="J22" s="81"/>
      <c r="K22" s="81"/>
      <c r="L22" s="78"/>
      <c r="M22" s="6"/>
      <c r="N22" s="6"/>
    </row>
    <row r="23" spans="1:14" ht="15.75" customHeight="1" thickBot="1" x14ac:dyDescent="0.35">
      <c r="J23" s="81"/>
      <c r="K23" s="81"/>
      <c r="L23" s="78"/>
      <c r="M23" s="6"/>
      <c r="N23" s="6"/>
    </row>
    <row r="24" spans="1:14" ht="15.75" customHeight="1" thickBot="1" x14ac:dyDescent="0.35">
      <c r="J24" s="81"/>
      <c r="K24" s="81"/>
      <c r="L24" s="78"/>
      <c r="M24" s="6"/>
      <c r="N24" s="6"/>
    </row>
    <row r="25" spans="1:14" ht="15.75" customHeight="1" x14ac:dyDescent="0.3"/>
    <row r="26" spans="1:14" ht="15.75" customHeight="1" x14ac:dyDescent="0.3"/>
    <row r="27" spans="1:14" ht="15.75" customHeight="1" x14ac:dyDescent="0.3"/>
    <row r="28" spans="1:14" ht="15.75" customHeight="1" x14ac:dyDescent="0.3"/>
    <row r="29" spans="1:14" ht="15.75" customHeight="1" x14ac:dyDescent="0.3"/>
    <row r="30" spans="1:14" ht="15.75" customHeight="1" x14ac:dyDescent="0.3"/>
    <row r="31" spans="1:14" ht="15.75" customHeight="1" x14ac:dyDescent="0.3"/>
    <row r="32" spans="1:14"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sheetData>
  <dataValidations count="2">
    <dataValidation type="list" errorStyle="information" allowBlank="1" showInputMessage="1" showErrorMessage="1" sqref="D13 F13 H13 F5:F8 D5:D8 H5:H8" xr:uid="{8C01E6EB-2693-4786-AB2E-1C954B73CE0F}">
      <formula1>"-,kg,s,m,K,°C,W,bar,kg/h,t/h,kW,kW/m2K,W/m2K,kJ/kgK,kJ/kg,m3/h,%,eur,eur/y,kWel/kWth,year"</formula1>
    </dataValidation>
    <dataValidation type="list" allowBlank="1" showErrorMessage="1" sqref="C5:C7" xr:uid="{00000000-0002-0000-0200-000000000000}">
      <formula1>"ELECTRICITY,EMISSIONS,MASS"</formula1>
    </dataValidation>
  </dataValidations>
  <pageMargins left="0.7" right="0.7" top="0.75" bottom="0.75" header="0" footer="0"/>
  <pageSetup orientation="landscape"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L128"/>
  <sheetViews>
    <sheetView showGridLines="0" topLeftCell="A10" zoomScale="70" zoomScaleNormal="70" workbookViewId="0">
      <selection activeCell="A87" sqref="A87"/>
    </sheetView>
  </sheetViews>
  <sheetFormatPr defaultColWidth="14.44140625" defaultRowHeight="15" customHeight="1" x14ac:dyDescent="0.3"/>
  <cols>
    <col min="1" max="1" width="153.33203125" style="78" bestFit="1" customWidth="1"/>
    <col min="2" max="2" width="12.77734375" style="78" customWidth="1"/>
    <col min="3" max="3" width="43.88671875" style="78" customWidth="1"/>
    <col min="4" max="4" width="14" style="78" customWidth="1"/>
    <col min="5" max="5" width="18.6640625" style="78" bestFit="1" customWidth="1"/>
    <col min="6" max="6" width="13.109375" style="78" bestFit="1" customWidth="1"/>
    <col min="7" max="7" width="97.44140625" style="78" bestFit="1" customWidth="1"/>
    <col min="8" max="8" width="10.33203125" style="78" bestFit="1" customWidth="1"/>
    <col min="9" max="9" width="10.6640625" style="78" bestFit="1" customWidth="1"/>
    <col min="10" max="10" width="24.33203125" style="78" bestFit="1" customWidth="1"/>
    <col min="11" max="11" width="20.109375" style="78" bestFit="1" customWidth="1"/>
    <col min="12" max="12" width="96" style="78" bestFit="1" customWidth="1"/>
    <col min="13" max="13" width="29.77734375" style="78" customWidth="1"/>
    <col min="14" max="39" width="10.6640625" style="78" customWidth="1"/>
    <col min="40" max="16384" width="14.44140625" style="78"/>
  </cols>
  <sheetData>
    <row r="1" spans="1:12" customFormat="1" ht="14.4" x14ac:dyDescent="0.3">
      <c r="A1" s="23" t="s">
        <v>33</v>
      </c>
      <c r="B1" s="24"/>
      <c r="C1" s="24"/>
      <c r="D1" s="24"/>
      <c r="E1" s="24"/>
      <c r="F1" s="24"/>
      <c r="G1" s="24"/>
      <c r="H1" s="24"/>
      <c r="I1" s="24"/>
      <c r="J1" s="24"/>
      <c r="K1" s="24"/>
      <c r="L1" s="24"/>
    </row>
    <row r="2" spans="1:12" ht="14.4" x14ac:dyDescent="0.3">
      <c r="A2" s="25" t="s">
        <v>34</v>
      </c>
      <c r="B2" s="24"/>
      <c r="C2" s="24"/>
      <c r="D2" s="24"/>
      <c r="E2" s="24"/>
      <c r="F2" s="24"/>
      <c r="G2" s="24"/>
      <c r="H2" s="24"/>
      <c r="I2" s="24"/>
      <c r="J2" s="24"/>
      <c r="K2" s="24"/>
      <c r="L2" s="24"/>
    </row>
    <row r="3" spans="1:12" ht="14.4" x14ac:dyDescent="0.3">
      <c r="A3" s="26" t="s">
        <v>35</v>
      </c>
      <c r="B3" s="27"/>
      <c r="C3" s="27"/>
      <c r="D3" s="27"/>
      <c r="E3" s="27"/>
      <c r="F3" s="27"/>
      <c r="G3" s="27"/>
      <c r="H3" s="27"/>
      <c r="I3" s="27"/>
      <c r="J3" s="27"/>
      <c r="K3" s="24"/>
      <c r="L3" s="24"/>
    </row>
    <row r="4" spans="1:12" ht="14.4" x14ac:dyDescent="0.3">
      <c r="A4" s="26" t="s">
        <v>36</v>
      </c>
      <c r="B4" s="27"/>
      <c r="C4" s="27"/>
      <c r="D4" s="27"/>
      <c r="E4" s="27"/>
      <c r="F4" s="27"/>
      <c r="G4" s="27"/>
      <c r="H4" s="27"/>
      <c r="I4" s="27"/>
      <c r="J4" s="27"/>
      <c r="K4" s="24"/>
      <c r="L4" s="24"/>
    </row>
    <row r="5" spans="1:12" ht="14.4" x14ac:dyDescent="0.3">
      <c r="A5" s="26" t="s">
        <v>37</v>
      </c>
      <c r="B5" s="27"/>
      <c r="C5" s="27"/>
      <c r="D5" s="27"/>
      <c r="E5" s="27"/>
      <c r="F5" s="27"/>
      <c r="G5" s="27"/>
      <c r="H5" s="27"/>
      <c r="I5" s="27"/>
      <c r="J5" s="27"/>
      <c r="K5" s="24"/>
      <c r="L5" s="24"/>
    </row>
    <row r="6" spans="1:12" ht="14.4" x14ac:dyDescent="0.3">
      <c r="A6" s="147" t="s">
        <v>163</v>
      </c>
      <c r="B6" s="27"/>
      <c r="C6" s="27"/>
      <c r="D6" s="27"/>
      <c r="E6" s="27"/>
      <c r="F6" s="27"/>
      <c r="G6" s="27"/>
      <c r="H6" s="27"/>
      <c r="I6" s="27"/>
      <c r="J6" s="27"/>
      <c r="K6" s="24"/>
      <c r="L6" s="24"/>
    </row>
    <row r="7" spans="1:12" ht="14.4" x14ac:dyDescent="0.3">
      <c r="A7" s="28" t="s">
        <v>38</v>
      </c>
      <c r="B7" s="27"/>
      <c r="C7" s="27"/>
      <c r="D7" s="27"/>
      <c r="E7" s="27"/>
      <c r="F7" s="27"/>
      <c r="G7" s="27"/>
      <c r="H7" s="27"/>
      <c r="I7" s="27"/>
      <c r="J7" s="27"/>
      <c r="K7" s="24"/>
      <c r="L7" s="24"/>
    </row>
    <row r="8" spans="1:12" ht="14.4" x14ac:dyDescent="0.3">
      <c r="A8" s="27" t="s">
        <v>39</v>
      </c>
      <c r="B8" s="27"/>
      <c r="C8" s="27"/>
      <c r="D8" s="27"/>
      <c r="E8" s="27"/>
      <c r="F8" s="27"/>
      <c r="G8" s="27"/>
      <c r="H8" s="27"/>
      <c r="I8" s="27"/>
      <c r="J8" s="27"/>
      <c r="K8" s="24"/>
      <c r="L8" s="24"/>
    </row>
    <row r="9" spans="1:12" ht="14.4" x14ac:dyDescent="0.3">
      <c r="A9" s="29" t="s">
        <v>40</v>
      </c>
      <c r="B9" s="30"/>
      <c r="C9" s="30"/>
      <c r="D9" s="30"/>
      <c r="E9" s="30"/>
      <c r="F9" s="30"/>
      <c r="G9" s="30"/>
      <c r="H9" s="30"/>
      <c r="I9" s="30"/>
      <c r="J9" s="30"/>
      <c r="K9" s="31"/>
      <c r="L9" s="31"/>
    </row>
    <row r="10" spans="1:12" ht="14.4" x14ac:dyDescent="0.3">
      <c r="A10" s="32" t="s">
        <v>41</v>
      </c>
      <c r="B10" s="30"/>
      <c r="C10" s="30"/>
      <c r="D10" s="30"/>
      <c r="E10" s="30"/>
      <c r="F10" s="30"/>
      <c r="G10" s="30"/>
      <c r="H10" s="30"/>
      <c r="I10" s="30"/>
      <c r="J10" s="30"/>
      <c r="K10" s="31"/>
      <c r="L10" s="31"/>
    </row>
    <row r="11" spans="1:12" ht="14.4" x14ac:dyDescent="0.3">
      <c r="A11" s="27"/>
      <c r="B11" s="30"/>
      <c r="C11" s="30"/>
      <c r="D11" s="30"/>
      <c r="E11" s="30"/>
      <c r="F11" s="30"/>
      <c r="G11" s="30"/>
      <c r="H11" s="30"/>
      <c r="I11" s="30"/>
      <c r="J11" s="30"/>
      <c r="K11" s="31"/>
      <c r="L11" s="31"/>
    </row>
    <row r="12" spans="1:12" ht="17.25" customHeight="1" thickBot="1" x14ac:dyDescent="0.35">
      <c r="A12" s="33"/>
      <c r="B12" s="34"/>
      <c r="C12" s="34"/>
      <c r="D12" s="34"/>
      <c r="E12" s="34"/>
      <c r="F12" s="34"/>
      <c r="G12" s="76"/>
      <c r="H12" s="34"/>
      <c r="I12" s="34"/>
      <c r="J12" s="34"/>
      <c r="K12" s="34"/>
      <c r="L12" s="34"/>
    </row>
    <row r="13" spans="1:12" ht="14.4" x14ac:dyDescent="0.3">
      <c r="A13" s="35"/>
      <c r="B13" s="36"/>
      <c r="C13" s="36"/>
      <c r="D13" s="36"/>
      <c r="E13" s="36"/>
      <c r="F13" s="36"/>
      <c r="G13" s="77"/>
      <c r="H13" s="36"/>
      <c r="I13" s="36"/>
      <c r="J13" s="36"/>
      <c r="K13" s="36"/>
      <c r="L13" s="36"/>
    </row>
    <row r="14" spans="1:12" thickBot="1" x14ac:dyDescent="0.35">
      <c r="A14" s="84" t="s">
        <v>3</v>
      </c>
      <c r="B14" s="110"/>
      <c r="C14" s="110"/>
      <c r="D14" s="110"/>
      <c r="E14" s="110"/>
      <c r="F14" s="110"/>
      <c r="G14" s="91"/>
      <c r="H14" s="110"/>
      <c r="I14" s="110"/>
      <c r="J14" s="110"/>
      <c r="K14" s="110"/>
      <c r="L14" s="111"/>
    </row>
    <row r="15" spans="1:12" thickBot="1" x14ac:dyDescent="0.35">
      <c r="A15" s="112" t="s">
        <v>117</v>
      </c>
      <c r="B15" s="113" t="s">
        <v>18</v>
      </c>
      <c r="C15" s="113" t="s">
        <v>77</v>
      </c>
      <c r="D15" s="113" t="s">
        <v>38</v>
      </c>
      <c r="E15" s="113" t="s">
        <v>171</v>
      </c>
      <c r="F15" s="113" t="s">
        <v>19</v>
      </c>
      <c r="G15" s="113" t="s">
        <v>170</v>
      </c>
      <c r="H15" s="114" t="s">
        <v>78</v>
      </c>
      <c r="I15" s="113" t="s">
        <v>79</v>
      </c>
      <c r="J15" s="113" t="s">
        <v>80</v>
      </c>
      <c r="K15" s="148" t="s">
        <v>123</v>
      </c>
      <c r="L15" s="115" t="s">
        <v>15</v>
      </c>
    </row>
    <row r="16" spans="1:12" ht="14.4" x14ac:dyDescent="0.3">
      <c r="A16" s="183" t="s">
        <v>180</v>
      </c>
      <c r="B16" s="184" t="s">
        <v>44</v>
      </c>
      <c r="C16" s="184" t="s">
        <v>181</v>
      </c>
      <c r="D16" s="184" t="s">
        <v>46</v>
      </c>
      <c r="E16" s="185">
        <v>8</v>
      </c>
      <c r="F16" s="184" t="s">
        <v>47</v>
      </c>
      <c r="G16" s="186" t="s">
        <v>31</v>
      </c>
      <c r="H16" s="269">
        <v>3</v>
      </c>
      <c r="I16" s="269">
        <v>15</v>
      </c>
      <c r="J16" s="184" t="s">
        <v>182</v>
      </c>
      <c r="K16" s="305" t="s">
        <v>510</v>
      </c>
      <c r="L16" s="266" t="s">
        <v>183</v>
      </c>
    </row>
    <row r="17" spans="1:12" ht="14.4" x14ac:dyDescent="0.3">
      <c r="A17" s="187" t="s">
        <v>184</v>
      </c>
      <c r="B17" s="179" t="s">
        <v>44</v>
      </c>
      <c r="C17" s="188" t="s">
        <v>185</v>
      </c>
      <c r="D17" s="188" t="s">
        <v>46</v>
      </c>
      <c r="E17" s="189">
        <v>5</v>
      </c>
      <c r="F17" s="188" t="s">
        <v>47</v>
      </c>
      <c r="G17" s="190" t="s">
        <v>31</v>
      </c>
      <c r="H17" s="270">
        <v>2</v>
      </c>
      <c r="I17" s="270">
        <v>10</v>
      </c>
      <c r="J17" s="188" t="s">
        <v>186</v>
      </c>
      <c r="K17" s="274" t="s">
        <v>510</v>
      </c>
      <c r="L17" s="267" t="s">
        <v>187</v>
      </c>
    </row>
    <row r="18" spans="1:12" ht="14.4" x14ac:dyDescent="0.3">
      <c r="A18" s="187" t="s">
        <v>188</v>
      </c>
      <c r="B18" s="179" t="s">
        <v>44</v>
      </c>
      <c r="C18" s="188" t="s">
        <v>189</v>
      </c>
      <c r="D18" s="188" t="s">
        <v>46</v>
      </c>
      <c r="E18" s="189">
        <v>2</v>
      </c>
      <c r="F18" s="188" t="s">
        <v>47</v>
      </c>
      <c r="G18" s="190" t="s">
        <v>31</v>
      </c>
      <c r="H18" s="270">
        <v>1</v>
      </c>
      <c r="I18" s="270">
        <v>5</v>
      </c>
      <c r="J18" s="188" t="s">
        <v>190</v>
      </c>
      <c r="K18" s="274" t="s">
        <v>510</v>
      </c>
      <c r="L18" s="267" t="s">
        <v>191</v>
      </c>
    </row>
    <row r="19" spans="1:12" ht="14.4" x14ac:dyDescent="0.3">
      <c r="A19" s="187" t="s">
        <v>192</v>
      </c>
      <c r="B19" s="179" t="s">
        <v>42</v>
      </c>
      <c r="C19" s="188" t="s">
        <v>412</v>
      </c>
      <c r="D19" s="188" t="s">
        <v>46</v>
      </c>
      <c r="E19" s="189">
        <v>86</v>
      </c>
      <c r="F19" s="188" t="s">
        <v>47</v>
      </c>
      <c r="G19" s="190" t="s">
        <v>31</v>
      </c>
      <c r="H19" s="270">
        <v>70</v>
      </c>
      <c r="I19" s="270">
        <v>110</v>
      </c>
      <c r="J19" s="188" t="s">
        <v>193</v>
      </c>
      <c r="K19" s="274" t="s">
        <v>510</v>
      </c>
      <c r="L19" s="267" t="s">
        <v>408</v>
      </c>
    </row>
    <row r="20" spans="1:12" ht="14.4" x14ac:dyDescent="0.3">
      <c r="A20" s="187" t="s">
        <v>194</v>
      </c>
      <c r="B20" s="179" t="s">
        <v>42</v>
      </c>
      <c r="C20" s="188" t="s">
        <v>413</v>
      </c>
      <c r="D20" s="188" t="s">
        <v>46</v>
      </c>
      <c r="E20" s="189">
        <v>35</v>
      </c>
      <c r="F20" s="188" t="s">
        <v>47</v>
      </c>
      <c r="G20" s="190" t="s">
        <v>31</v>
      </c>
      <c r="H20" s="270">
        <v>25</v>
      </c>
      <c r="I20" s="270">
        <v>45</v>
      </c>
      <c r="J20" s="188" t="s">
        <v>195</v>
      </c>
      <c r="K20" s="274" t="s">
        <v>510</v>
      </c>
      <c r="L20" s="267" t="s">
        <v>409</v>
      </c>
    </row>
    <row r="21" spans="1:12" ht="15.75" customHeight="1" x14ac:dyDescent="0.3">
      <c r="A21" s="187" t="s">
        <v>196</v>
      </c>
      <c r="B21" s="179" t="s">
        <v>42</v>
      </c>
      <c r="C21" s="188" t="s">
        <v>197</v>
      </c>
      <c r="D21" s="188" t="s">
        <v>46</v>
      </c>
      <c r="E21" s="189">
        <v>532.85900000000004</v>
      </c>
      <c r="F21" s="188" t="s">
        <v>30</v>
      </c>
      <c r="G21" s="190" t="s">
        <v>31</v>
      </c>
      <c r="H21" s="270">
        <v>400</v>
      </c>
      <c r="I21" s="270">
        <v>700</v>
      </c>
      <c r="J21" s="188" t="s">
        <v>198</v>
      </c>
      <c r="K21" s="274" t="s">
        <v>510</v>
      </c>
      <c r="L21" s="267" t="s">
        <v>199</v>
      </c>
    </row>
    <row r="22" spans="1:12" ht="15.75" customHeight="1" x14ac:dyDescent="0.3">
      <c r="A22" s="187" t="s">
        <v>200</v>
      </c>
      <c r="B22" s="179" t="s">
        <v>42</v>
      </c>
      <c r="C22" s="188" t="s">
        <v>201</v>
      </c>
      <c r="D22" s="188" t="s">
        <v>46</v>
      </c>
      <c r="E22" s="189">
        <v>97</v>
      </c>
      <c r="F22" s="188" t="s">
        <v>47</v>
      </c>
      <c r="G22" s="190" t="s">
        <v>31</v>
      </c>
      <c r="H22" s="270">
        <v>80</v>
      </c>
      <c r="I22" s="270">
        <v>120</v>
      </c>
      <c r="J22" s="188" t="s">
        <v>202</v>
      </c>
      <c r="K22" s="274" t="s">
        <v>510</v>
      </c>
      <c r="L22" s="267" t="s">
        <v>410</v>
      </c>
    </row>
    <row r="23" spans="1:12" ht="15.75" customHeight="1" x14ac:dyDescent="0.3">
      <c r="A23" s="187" t="s">
        <v>203</v>
      </c>
      <c r="B23" s="179" t="s">
        <v>42</v>
      </c>
      <c r="C23" s="188" t="s">
        <v>204</v>
      </c>
      <c r="D23" s="188" t="s">
        <v>46</v>
      </c>
      <c r="E23" s="189">
        <v>35</v>
      </c>
      <c r="F23" s="188" t="s">
        <v>47</v>
      </c>
      <c r="G23" s="190" t="s">
        <v>31</v>
      </c>
      <c r="H23" s="270">
        <v>25</v>
      </c>
      <c r="I23" s="270">
        <v>45</v>
      </c>
      <c r="J23" s="188" t="s">
        <v>205</v>
      </c>
      <c r="K23" s="274" t="s">
        <v>510</v>
      </c>
      <c r="L23" s="267" t="s">
        <v>411</v>
      </c>
    </row>
    <row r="24" spans="1:12" ht="15.75" customHeight="1" x14ac:dyDescent="0.3">
      <c r="A24" s="187" t="s">
        <v>206</v>
      </c>
      <c r="B24" s="179" t="s">
        <v>42</v>
      </c>
      <c r="C24" s="188" t="s">
        <v>207</v>
      </c>
      <c r="D24" s="188" t="s">
        <v>46</v>
      </c>
      <c r="E24" s="189">
        <v>651.48900000000003</v>
      </c>
      <c r="F24" s="188" t="s">
        <v>30</v>
      </c>
      <c r="G24" s="190" t="s">
        <v>31</v>
      </c>
      <c r="H24" s="270">
        <v>500</v>
      </c>
      <c r="I24" s="270">
        <v>850</v>
      </c>
      <c r="J24" s="188" t="s">
        <v>208</v>
      </c>
      <c r="K24" s="274" t="s">
        <v>510</v>
      </c>
      <c r="L24" s="267" t="s">
        <v>209</v>
      </c>
    </row>
    <row r="25" spans="1:12" ht="15.75" customHeight="1" x14ac:dyDescent="0.3">
      <c r="A25" s="187" t="s">
        <v>210</v>
      </c>
      <c r="B25" s="179" t="s">
        <v>42</v>
      </c>
      <c r="C25" s="188" t="s">
        <v>211</v>
      </c>
      <c r="D25" s="188" t="s">
        <v>46</v>
      </c>
      <c r="E25" s="189">
        <v>611.24300000000005</v>
      </c>
      <c r="F25" s="188" t="s">
        <v>30</v>
      </c>
      <c r="G25" s="190" t="s">
        <v>31</v>
      </c>
      <c r="H25" s="270">
        <v>450</v>
      </c>
      <c r="I25" s="270">
        <v>800</v>
      </c>
      <c r="J25" s="188" t="s">
        <v>212</v>
      </c>
      <c r="K25" s="274" t="s">
        <v>510</v>
      </c>
      <c r="L25" s="267" t="s">
        <v>213</v>
      </c>
    </row>
    <row r="26" spans="1:12" ht="15.75" customHeight="1" x14ac:dyDescent="0.3">
      <c r="A26" s="187" t="s">
        <v>214</v>
      </c>
      <c r="B26" s="179" t="s">
        <v>42</v>
      </c>
      <c r="C26" s="188" t="s">
        <v>215</v>
      </c>
      <c r="D26" s="188" t="s">
        <v>46</v>
      </c>
      <c r="E26" s="189">
        <v>635.24</v>
      </c>
      <c r="F26" s="188" t="s">
        <v>30</v>
      </c>
      <c r="G26" s="190" t="s">
        <v>31</v>
      </c>
      <c r="H26" s="270">
        <v>470</v>
      </c>
      <c r="I26" s="270">
        <v>820</v>
      </c>
      <c r="J26" s="188" t="s">
        <v>216</v>
      </c>
      <c r="K26" s="274" t="s">
        <v>510</v>
      </c>
      <c r="L26" s="267" t="s">
        <v>217</v>
      </c>
    </row>
    <row r="27" spans="1:12" ht="15.75" customHeight="1" x14ac:dyDescent="0.3">
      <c r="A27" s="187" t="s">
        <v>218</v>
      </c>
      <c r="B27" s="179" t="s">
        <v>42</v>
      </c>
      <c r="C27" s="188" t="s">
        <v>219</v>
      </c>
      <c r="D27" s="188" t="s">
        <v>46</v>
      </c>
      <c r="E27" s="189">
        <v>64</v>
      </c>
      <c r="F27" s="188" t="s">
        <v>47</v>
      </c>
      <c r="G27" s="190" t="s">
        <v>31</v>
      </c>
      <c r="H27" s="270">
        <v>50</v>
      </c>
      <c r="I27" s="270">
        <v>80</v>
      </c>
      <c r="J27" s="188" t="s">
        <v>220</v>
      </c>
      <c r="K27" s="274" t="s">
        <v>510</v>
      </c>
      <c r="L27" s="267" t="s">
        <v>221</v>
      </c>
    </row>
    <row r="28" spans="1:12" ht="15.75" customHeight="1" x14ac:dyDescent="0.3">
      <c r="A28" s="187" t="s">
        <v>222</v>
      </c>
      <c r="B28" s="179" t="s">
        <v>42</v>
      </c>
      <c r="C28" s="188" t="s">
        <v>223</v>
      </c>
      <c r="D28" s="188" t="s">
        <v>46</v>
      </c>
      <c r="E28" s="189">
        <v>175</v>
      </c>
      <c r="F28" s="188" t="s">
        <v>47</v>
      </c>
      <c r="G28" s="190" t="s">
        <v>31</v>
      </c>
      <c r="H28" s="270">
        <v>150</v>
      </c>
      <c r="I28" s="270">
        <v>190</v>
      </c>
      <c r="J28" s="188" t="s">
        <v>224</v>
      </c>
      <c r="K28" s="274" t="s">
        <v>510</v>
      </c>
      <c r="L28" s="267" t="s">
        <v>225</v>
      </c>
    </row>
    <row r="29" spans="1:12" ht="15.75" customHeight="1" x14ac:dyDescent="0.3">
      <c r="A29" s="187" t="s">
        <v>226</v>
      </c>
      <c r="B29" s="179" t="s">
        <v>42</v>
      </c>
      <c r="C29" s="188" t="s">
        <v>227</v>
      </c>
      <c r="D29" s="188" t="s">
        <v>46</v>
      </c>
      <c r="E29" s="189">
        <v>1815.71</v>
      </c>
      <c r="F29" s="188" t="s">
        <v>30</v>
      </c>
      <c r="G29" s="190" t="s">
        <v>31</v>
      </c>
      <c r="H29" s="270">
        <v>1200</v>
      </c>
      <c r="I29" s="270">
        <v>2400</v>
      </c>
      <c r="J29" s="188" t="s">
        <v>228</v>
      </c>
      <c r="K29" s="274" t="s">
        <v>510</v>
      </c>
      <c r="L29" s="267" t="s">
        <v>229</v>
      </c>
    </row>
    <row r="30" spans="1:12" ht="15.75" customHeight="1" x14ac:dyDescent="0.3">
      <c r="A30" s="187" t="s">
        <v>230</v>
      </c>
      <c r="B30" s="179" t="s">
        <v>42</v>
      </c>
      <c r="C30" s="188" t="s">
        <v>231</v>
      </c>
      <c r="D30" s="188" t="s">
        <v>46</v>
      </c>
      <c r="E30" s="189">
        <v>175</v>
      </c>
      <c r="F30" s="188" t="s">
        <v>47</v>
      </c>
      <c r="G30" s="190" t="s">
        <v>31</v>
      </c>
      <c r="H30" s="270">
        <v>150</v>
      </c>
      <c r="I30" s="270">
        <v>190</v>
      </c>
      <c r="J30" s="188" t="s">
        <v>232</v>
      </c>
      <c r="K30" s="274" t="s">
        <v>510</v>
      </c>
      <c r="L30" s="267" t="s">
        <v>221</v>
      </c>
    </row>
    <row r="31" spans="1:12" ht="15.75" customHeight="1" x14ac:dyDescent="0.3">
      <c r="A31" s="187" t="s">
        <v>233</v>
      </c>
      <c r="B31" s="188" t="s">
        <v>42</v>
      </c>
      <c r="C31" s="188" t="s">
        <v>234</v>
      </c>
      <c r="D31" s="188" t="s">
        <v>46</v>
      </c>
      <c r="E31" s="189">
        <v>210</v>
      </c>
      <c r="F31" s="188" t="s">
        <v>47</v>
      </c>
      <c r="G31" s="190" t="s">
        <v>31</v>
      </c>
      <c r="H31" s="270">
        <v>195</v>
      </c>
      <c r="I31" s="270">
        <v>220</v>
      </c>
      <c r="J31" s="188" t="s">
        <v>235</v>
      </c>
      <c r="K31" s="274" t="s">
        <v>510</v>
      </c>
      <c r="L31" s="267" t="s">
        <v>225</v>
      </c>
    </row>
    <row r="32" spans="1:12" ht="15.75" customHeight="1" x14ac:dyDescent="0.3">
      <c r="A32" s="187" t="s">
        <v>236</v>
      </c>
      <c r="B32" s="188" t="s">
        <v>42</v>
      </c>
      <c r="C32" s="188" t="s">
        <v>237</v>
      </c>
      <c r="D32" s="188" t="s">
        <v>46</v>
      </c>
      <c r="E32" s="189">
        <v>575.53300000000002</v>
      </c>
      <c r="F32" s="188" t="s">
        <v>30</v>
      </c>
      <c r="G32" s="190" t="s">
        <v>31</v>
      </c>
      <c r="H32" s="271">
        <v>400</v>
      </c>
      <c r="I32" s="271">
        <v>800</v>
      </c>
      <c r="J32" s="191" t="s">
        <v>238</v>
      </c>
      <c r="K32" s="274" t="s">
        <v>510</v>
      </c>
      <c r="L32" s="267" t="s">
        <v>229</v>
      </c>
    </row>
    <row r="33" spans="1:12" ht="15.75" customHeight="1" x14ac:dyDescent="0.3">
      <c r="A33" s="187" t="s">
        <v>239</v>
      </c>
      <c r="B33" s="188" t="s">
        <v>42</v>
      </c>
      <c r="C33" s="188" t="s">
        <v>240</v>
      </c>
      <c r="D33" s="188" t="s">
        <v>46</v>
      </c>
      <c r="E33" s="189">
        <v>210</v>
      </c>
      <c r="F33" s="188" t="s">
        <v>47</v>
      </c>
      <c r="G33" s="190" t="s">
        <v>31</v>
      </c>
      <c r="H33" s="270">
        <v>195</v>
      </c>
      <c r="I33" s="270">
        <v>220</v>
      </c>
      <c r="J33" s="188" t="s">
        <v>241</v>
      </c>
      <c r="K33" s="274" t="s">
        <v>510</v>
      </c>
      <c r="L33" s="267" t="s">
        <v>242</v>
      </c>
    </row>
    <row r="34" spans="1:12" ht="15.75" customHeight="1" x14ac:dyDescent="0.3">
      <c r="A34" s="192" t="s">
        <v>243</v>
      </c>
      <c r="B34" s="188" t="s">
        <v>42</v>
      </c>
      <c r="C34" s="193" t="s">
        <v>244</v>
      </c>
      <c r="D34" s="188" t="s">
        <v>46</v>
      </c>
      <c r="E34" s="194">
        <v>153</v>
      </c>
      <c r="F34" s="193" t="s">
        <v>47</v>
      </c>
      <c r="G34" s="190" t="s">
        <v>31</v>
      </c>
      <c r="H34" s="272">
        <v>130</v>
      </c>
      <c r="I34" s="272">
        <v>170</v>
      </c>
      <c r="J34" s="195" t="s">
        <v>245</v>
      </c>
      <c r="K34" s="274" t="s">
        <v>510</v>
      </c>
      <c r="L34" s="267" t="s">
        <v>246</v>
      </c>
    </row>
    <row r="35" spans="1:12" ht="15.75" customHeight="1" x14ac:dyDescent="0.3">
      <c r="A35" s="187" t="s">
        <v>247</v>
      </c>
      <c r="B35" s="188" t="s">
        <v>42</v>
      </c>
      <c r="C35" s="188" t="s">
        <v>248</v>
      </c>
      <c r="D35" s="188" t="s">
        <v>46</v>
      </c>
      <c r="E35" s="189">
        <v>1815.71</v>
      </c>
      <c r="F35" s="188" t="s">
        <v>30</v>
      </c>
      <c r="G35" s="190" t="s">
        <v>31</v>
      </c>
      <c r="H35" s="270">
        <v>1200</v>
      </c>
      <c r="I35" s="270">
        <v>2400</v>
      </c>
      <c r="J35" s="188" t="s">
        <v>249</v>
      </c>
      <c r="K35" s="274" t="s">
        <v>510</v>
      </c>
      <c r="L35" s="267" t="s">
        <v>250</v>
      </c>
    </row>
    <row r="36" spans="1:12" ht="15.75" customHeight="1" x14ac:dyDescent="0.3">
      <c r="A36" s="187" t="s">
        <v>251</v>
      </c>
      <c r="B36" s="188" t="s">
        <v>42</v>
      </c>
      <c r="C36" s="188" t="s">
        <v>252</v>
      </c>
      <c r="D36" s="188" t="s">
        <v>46</v>
      </c>
      <c r="E36" s="189">
        <v>134</v>
      </c>
      <c r="F36" s="188" t="s">
        <v>47</v>
      </c>
      <c r="G36" s="190" t="s">
        <v>31</v>
      </c>
      <c r="H36" s="270">
        <v>100</v>
      </c>
      <c r="I36" s="270">
        <v>160</v>
      </c>
      <c r="J36" s="191" t="s">
        <v>253</v>
      </c>
      <c r="K36" s="274" t="s">
        <v>510</v>
      </c>
      <c r="L36" s="267" t="s">
        <v>254</v>
      </c>
    </row>
    <row r="37" spans="1:12" ht="15.75" customHeight="1" x14ac:dyDescent="0.3">
      <c r="A37" s="187" t="s">
        <v>255</v>
      </c>
      <c r="B37" s="188" t="s">
        <v>42</v>
      </c>
      <c r="C37" s="188" t="s">
        <v>256</v>
      </c>
      <c r="D37" s="188" t="s">
        <v>46</v>
      </c>
      <c r="E37" s="196">
        <v>30</v>
      </c>
      <c r="F37" s="188" t="s">
        <v>47</v>
      </c>
      <c r="G37" s="190" t="s">
        <v>31</v>
      </c>
      <c r="H37" s="270">
        <v>20</v>
      </c>
      <c r="I37" s="270">
        <v>40</v>
      </c>
      <c r="J37" s="188" t="s">
        <v>257</v>
      </c>
      <c r="K37" s="274" t="s">
        <v>510</v>
      </c>
      <c r="L37" s="267" t="s">
        <v>258</v>
      </c>
    </row>
    <row r="38" spans="1:12" ht="15.75" customHeight="1" x14ac:dyDescent="0.3">
      <c r="A38" s="178" t="s">
        <v>259</v>
      </c>
      <c r="B38" s="179" t="s">
        <v>42</v>
      </c>
      <c r="C38" s="179" t="s">
        <v>260</v>
      </c>
      <c r="D38" s="179" t="s">
        <v>46</v>
      </c>
      <c r="E38" s="197">
        <v>4192.08</v>
      </c>
      <c r="F38" s="179" t="s">
        <v>30</v>
      </c>
      <c r="G38" s="190" t="s">
        <v>31</v>
      </c>
      <c r="H38" s="272">
        <v>3000</v>
      </c>
      <c r="I38" s="272">
        <v>5500</v>
      </c>
      <c r="J38" s="179" t="s">
        <v>261</v>
      </c>
      <c r="K38" s="274" t="s">
        <v>510</v>
      </c>
      <c r="L38" s="267" t="s">
        <v>262</v>
      </c>
    </row>
    <row r="39" spans="1:12" ht="15.75" customHeight="1" x14ac:dyDescent="0.3">
      <c r="A39" s="178" t="s">
        <v>263</v>
      </c>
      <c r="B39" s="179" t="s">
        <v>42</v>
      </c>
      <c r="C39" s="179" t="s">
        <v>264</v>
      </c>
      <c r="D39" s="179" t="s">
        <v>46</v>
      </c>
      <c r="E39" s="197">
        <v>30</v>
      </c>
      <c r="F39" s="179" t="s">
        <v>47</v>
      </c>
      <c r="G39" s="190" t="s">
        <v>31</v>
      </c>
      <c r="H39" s="272">
        <v>20</v>
      </c>
      <c r="I39" s="272">
        <v>40</v>
      </c>
      <c r="J39" s="179" t="s">
        <v>265</v>
      </c>
      <c r="K39" s="274" t="s">
        <v>510</v>
      </c>
      <c r="L39" s="267" t="s">
        <v>254</v>
      </c>
    </row>
    <row r="40" spans="1:12" ht="15.75" customHeight="1" x14ac:dyDescent="0.3">
      <c r="A40" s="178" t="s">
        <v>266</v>
      </c>
      <c r="B40" s="179" t="s">
        <v>42</v>
      </c>
      <c r="C40" s="179" t="s">
        <v>267</v>
      </c>
      <c r="D40" s="179" t="s">
        <v>46</v>
      </c>
      <c r="E40" s="197">
        <v>30</v>
      </c>
      <c r="F40" s="179" t="s">
        <v>47</v>
      </c>
      <c r="G40" s="190" t="s">
        <v>31</v>
      </c>
      <c r="H40" s="272">
        <v>20</v>
      </c>
      <c r="I40" s="272">
        <v>40</v>
      </c>
      <c r="J40" s="179" t="s">
        <v>268</v>
      </c>
      <c r="K40" s="274" t="s">
        <v>510</v>
      </c>
      <c r="L40" s="267" t="s">
        <v>258</v>
      </c>
    </row>
    <row r="41" spans="1:12" ht="15" customHeight="1" x14ac:dyDescent="0.3">
      <c r="A41" s="178" t="s">
        <v>269</v>
      </c>
      <c r="B41" s="179" t="s">
        <v>42</v>
      </c>
      <c r="C41" s="179" t="s">
        <v>270</v>
      </c>
      <c r="D41" s="179" t="s">
        <v>46</v>
      </c>
      <c r="E41" s="197">
        <v>12.496</v>
      </c>
      <c r="F41" s="179" t="s">
        <v>30</v>
      </c>
      <c r="G41" s="190" t="s">
        <v>31</v>
      </c>
      <c r="H41" s="272">
        <v>5</v>
      </c>
      <c r="I41" s="272">
        <v>25</v>
      </c>
      <c r="J41" s="179" t="s">
        <v>271</v>
      </c>
      <c r="K41" s="274" t="s">
        <v>510</v>
      </c>
      <c r="L41" s="267" t="s">
        <v>262</v>
      </c>
    </row>
    <row r="42" spans="1:12" ht="15.75" customHeight="1" x14ac:dyDescent="0.3">
      <c r="A42" s="178" t="s">
        <v>272</v>
      </c>
      <c r="B42" s="179" t="s">
        <v>42</v>
      </c>
      <c r="C42" s="179" t="s">
        <v>273</v>
      </c>
      <c r="D42" s="179" t="s">
        <v>46</v>
      </c>
      <c r="E42" s="197">
        <v>210</v>
      </c>
      <c r="F42" s="179" t="s">
        <v>47</v>
      </c>
      <c r="G42" s="190" t="s">
        <v>31</v>
      </c>
      <c r="H42" s="272">
        <v>195</v>
      </c>
      <c r="I42" s="272">
        <v>220</v>
      </c>
      <c r="J42" s="179" t="s">
        <v>274</v>
      </c>
      <c r="K42" s="274" t="s">
        <v>510</v>
      </c>
      <c r="L42" s="267" t="s">
        <v>275</v>
      </c>
    </row>
    <row r="43" spans="1:12" ht="15.75" customHeight="1" x14ac:dyDescent="0.3">
      <c r="A43" s="178" t="s">
        <v>276</v>
      </c>
      <c r="B43" s="179" t="s">
        <v>42</v>
      </c>
      <c r="C43" s="179" t="s">
        <v>277</v>
      </c>
      <c r="D43" s="179" t="s">
        <v>46</v>
      </c>
      <c r="E43" s="197">
        <v>210</v>
      </c>
      <c r="F43" s="179" t="s">
        <v>47</v>
      </c>
      <c r="G43" s="190" t="s">
        <v>31</v>
      </c>
      <c r="H43" s="272">
        <v>195</v>
      </c>
      <c r="I43" s="272">
        <v>220</v>
      </c>
      <c r="J43" s="179" t="s">
        <v>278</v>
      </c>
      <c r="K43" s="274" t="s">
        <v>510</v>
      </c>
      <c r="L43" s="267" t="s">
        <v>279</v>
      </c>
    </row>
    <row r="44" spans="1:12" ht="15.75" customHeight="1" x14ac:dyDescent="0.3">
      <c r="A44" s="192" t="s">
        <v>280</v>
      </c>
      <c r="B44" s="188" t="s">
        <v>42</v>
      </c>
      <c r="C44" s="193" t="s">
        <v>281</v>
      </c>
      <c r="D44" s="188" t="s">
        <v>46</v>
      </c>
      <c r="E44" s="194">
        <v>10746.2647</v>
      </c>
      <c r="F44" s="193" t="s">
        <v>30</v>
      </c>
      <c r="G44" s="190" t="s">
        <v>31</v>
      </c>
      <c r="H44" s="273">
        <v>8000</v>
      </c>
      <c r="I44" s="273">
        <v>14000</v>
      </c>
      <c r="J44" s="193" t="s">
        <v>282</v>
      </c>
      <c r="K44" s="274" t="s">
        <v>510</v>
      </c>
      <c r="L44" s="267" t="s">
        <v>407</v>
      </c>
    </row>
    <row r="45" spans="1:12" ht="15.75" customHeight="1" x14ac:dyDescent="0.3">
      <c r="A45" s="192" t="s">
        <v>283</v>
      </c>
      <c r="B45" s="188" t="s">
        <v>42</v>
      </c>
      <c r="C45" s="193" t="s">
        <v>284</v>
      </c>
      <c r="D45" s="188" t="s">
        <v>46</v>
      </c>
      <c r="E45" s="194">
        <v>54</v>
      </c>
      <c r="F45" s="193" t="s">
        <v>47</v>
      </c>
      <c r="G45" s="190" t="s">
        <v>31</v>
      </c>
      <c r="H45" s="273">
        <v>45</v>
      </c>
      <c r="I45" s="273">
        <v>65</v>
      </c>
      <c r="J45" s="193" t="s">
        <v>285</v>
      </c>
      <c r="K45" s="274" t="s">
        <v>510</v>
      </c>
      <c r="L45" s="267" t="s">
        <v>286</v>
      </c>
    </row>
    <row r="46" spans="1:12" ht="15.75" customHeight="1" x14ac:dyDescent="0.3">
      <c r="A46" s="192" t="s">
        <v>287</v>
      </c>
      <c r="B46" s="188" t="s">
        <v>42</v>
      </c>
      <c r="C46" s="193" t="s">
        <v>288</v>
      </c>
      <c r="D46" s="188" t="s">
        <v>46</v>
      </c>
      <c r="E46" s="194">
        <v>54</v>
      </c>
      <c r="F46" s="193" t="s">
        <v>47</v>
      </c>
      <c r="G46" s="190" t="s">
        <v>31</v>
      </c>
      <c r="H46" s="273">
        <v>45</v>
      </c>
      <c r="I46" s="273">
        <v>65</v>
      </c>
      <c r="J46" s="195" t="s">
        <v>289</v>
      </c>
      <c r="K46" s="274" t="s">
        <v>510</v>
      </c>
      <c r="L46" s="267" t="s">
        <v>290</v>
      </c>
    </row>
    <row r="47" spans="1:12" ht="15.75" customHeight="1" x14ac:dyDescent="0.3">
      <c r="A47" s="187" t="s">
        <v>291</v>
      </c>
      <c r="B47" s="188" t="s">
        <v>42</v>
      </c>
      <c r="C47" s="188" t="s">
        <v>292</v>
      </c>
      <c r="D47" s="188" t="s">
        <v>46</v>
      </c>
      <c r="E47" s="189">
        <v>5324.68</v>
      </c>
      <c r="F47" s="188" t="s">
        <v>30</v>
      </c>
      <c r="G47" s="190" t="s">
        <v>31</v>
      </c>
      <c r="H47" s="270">
        <v>4000</v>
      </c>
      <c r="I47" s="270">
        <v>7000</v>
      </c>
      <c r="J47" s="188" t="s">
        <v>293</v>
      </c>
      <c r="K47" s="274" t="s">
        <v>510</v>
      </c>
      <c r="L47" s="267" t="s">
        <v>294</v>
      </c>
    </row>
    <row r="48" spans="1:12" ht="15.75" customHeight="1" x14ac:dyDescent="0.3">
      <c r="A48" s="187" t="s">
        <v>295</v>
      </c>
      <c r="B48" s="188" t="s">
        <v>42</v>
      </c>
      <c r="C48" s="188" t="s">
        <v>296</v>
      </c>
      <c r="D48" s="188" t="s">
        <v>46</v>
      </c>
      <c r="E48" s="189">
        <v>67</v>
      </c>
      <c r="F48" s="188" t="s">
        <v>47</v>
      </c>
      <c r="G48" s="190" t="s">
        <v>31</v>
      </c>
      <c r="H48" s="270">
        <v>60</v>
      </c>
      <c r="I48" s="270">
        <v>75</v>
      </c>
      <c r="J48" s="188" t="s">
        <v>297</v>
      </c>
      <c r="K48" s="274" t="s">
        <v>510</v>
      </c>
      <c r="L48" s="267" t="s">
        <v>298</v>
      </c>
    </row>
    <row r="49" spans="1:12" ht="15.75" customHeight="1" x14ac:dyDescent="0.3">
      <c r="A49" s="187" t="s">
        <v>299</v>
      </c>
      <c r="B49" s="188" t="s">
        <v>42</v>
      </c>
      <c r="C49" s="188" t="s">
        <v>300</v>
      </c>
      <c r="D49" s="188" t="s">
        <v>46</v>
      </c>
      <c r="E49" s="189">
        <v>67</v>
      </c>
      <c r="F49" s="188" t="s">
        <v>47</v>
      </c>
      <c r="G49" s="190" t="s">
        <v>31</v>
      </c>
      <c r="H49" s="270">
        <v>60</v>
      </c>
      <c r="I49" s="270">
        <v>75</v>
      </c>
      <c r="J49" s="191" t="s">
        <v>301</v>
      </c>
      <c r="K49" s="274" t="s">
        <v>510</v>
      </c>
      <c r="L49" s="267" t="s">
        <v>302</v>
      </c>
    </row>
    <row r="50" spans="1:12" ht="15.75" customHeight="1" x14ac:dyDescent="0.3">
      <c r="A50" s="187" t="s">
        <v>303</v>
      </c>
      <c r="B50" s="188" t="s">
        <v>42</v>
      </c>
      <c r="C50" s="188" t="s">
        <v>304</v>
      </c>
      <c r="D50" s="188" t="s">
        <v>46</v>
      </c>
      <c r="E50" s="196">
        <v>5643.52</v>
      </c>
      <c r="F50" s="188" t="s">
        <v>30</v>
      </c>
      <c r="G50" s="190" t="s">
        <v>31</v>
      </c>
      <c r="H50" s="270">
        <v>4200</v>
      </c>
      <c r="I50" s="270">
        <v>7500</v>
      </c>
      <c r="J50" s="188" t="s">
        <v>305</v>
      </c>
      <c r="K50" s="274" t="s">
        <v>510</v>
      </c>
      <c r="L50" s="267" t="s">
        <v>306</v>
      </c>
    </row>
    <row r="51" spans="1:12" ht="15.75" customHeight="1" x14ac:dyDescent="0.3">
      <c r="A51" s="187" t="s">
        <v>307</v>
      </c>
      <c r="B51" s="188" t="s">
        <v>42</v>
      </c>
      <c r="C51" s="195" t="s">
        <v>308</v>
      </c>
      <c r="D51" s="188" t="s">
        <v>46</v>
      </c>
      <c r="E51" s="189">
        <v>54</v>
      </c>
      <c r="F51" s="188" t="s">
        <v>47</v>
      </c>
      <c r="G51" s="190" t="s">
        <v>31</v>
      </c>
      <c r="H51" s="270">
        <v>45</v>
      </c>
      <c r="I51" s="270">
        <v>65</v>
      </c>
      <c r="J51" s="188" t="s">
        <v>309</v>
      </c>
      <c r="K51" s="274" t="s">
        <v>510</v>
      </c>
      <c r="L51" s="267" t="s">
        <v>310</v>
      </c>
    </row>
    <row r="52" spans="1:12" ht="15.75" customHeight="1" x14ac:dyDescent="0.3">
      <c r="A52" s="187" t="s">
        <v>311</v>
      </c>
      <c r="B52" s="188" t="s">
        <v>42</v>
      </c>
      <c r="C52" s="195" t="s">
        <v>312</v>
      </c>
      <c r="D52" s="188" t="s">
        <v>46</v>
      </c>
      <c r="E52" s="189">
        <v>25</v>
      </c>
      <c r="F52" s="188" t="s">
        <v>47</v>
      </c>
      <c r="G52" s="190" t="s">
        <v>31</v>
      </c>
      <c r="H52" s="270">
        <v>15</v>
      </c>
      <c r="I52" s="270">
        <v>30</v>
      </c>
      <c r="J52" s="188" t="s">
        <v>313</v>
      </c>
      <c r="K52" s="274" t="s">
        <v>510</v>
      </c>
      <c r="L52" s="267" t="s">
        <v>314</v>
      </c>
    </row>
    <row r="53" spans="1:12" ht="15.75" customHeight="1" x14ac:dyDescent="0.3">
      <c r="A53" s="187" t="s">
        <v>315</v>
      </c>
      <c r="B53" s="188" t="s">
        <v>42</v>
      </c>
      <c r="C53" s="188" t="s">
        <v>316</v>
      </c>
      <c r="D53" s="188" t="s">
        <v>46</v>
      </c>
      <c r="E53" s="189">
        <v>344.68</v>
      </c>
      <c r="F53" s="188" t="s">
        <v>30</v>
      </c>
      <c r="G53" s="190" t="s">
        <v>31</v>
      </c>
      <c r="H53" s="270">
        <v>250</v>
      </c>
      <c r="I53" s="270">
        <v>500</v>
      </c>
      <c r="J53" s="188" t="s">
        <v>317</v>
      </c>
      <c r="K53" s="274" t="s">
        <v>510</v>
      </c>
      <c r="L53" s="267" t="s">
        <v>318</v>
      </c>
    </row>
    <row r="54" spans="1:12" ht="15.75" customHeight="1" x14ac:dyDescent="0.3">
      <c r="A54" s="187" t="s">
        <v>319</v>
      </c>
      <c r="B54" s="188" t="s">
        <v>42</v>
      </c>
      <c r="C54" s="188" t="s">
        <v>320</v>
      </c>
      <c r="D54" s="188" t="s">
        <v>46</v>
      </c>
      <c r="E54" s="189">
        <v>67</v>
      </c>
      <c r="F54" s="188" t="s">
        <v>47</v>
      </c>
      <c r="G54" s="190" t="s">
        <v>31</v>
      </c>
      <c r="H54" s="270">
        <v>60</v>
      </c>
      <c r="I54" s="270">
        <v>75</v>
      </c>
      <c r="J54" s="188" t="s">
        <v>321</v>
      </c>
      <c r="K54" s="274" t="s">
        <v>510</v>
      </c>
      <c r="L54" s="267" t="s">
        <v>322</v>
      </c>
    </row>
    <row r="55" spans="1:12" ht="15.75" customHeight="1" x14ac:dyDescent="0.3">
      <c r="A55" s="187" t="s">
        <v>323</v>
      </c>
      <c r="B55" s="188" t="s">
        <v>42</v>
      </c>
      <c r="C55" s="188" t="s">
        <v>324</v>
      </c>
      <c r="D55" s="188" t="s">
        <v>46</v>
      </c>
      <c r="E55" s="189">
        <v>25</v>
      </c>
      <c r="F55" s="188" t="s">
        <v>47</v>
      </c>
      <c r="G55" s="190" t="s">
        <v>31</v>
      </c>
      <c r="H55" s="270">
        <v>15</v>
      </c>
      <c r="I55" s="270">
        <v>30</v>
      </c>
      <c r="J55" s="191" t="s">
        <v>325</v>
      </c>
      <c r="K55" s="274" t="s">
        <v>510</v>
      </c>
      <c r="L55" s="267" t="s">
        <v>314</v>
      </c>
    </row>
    <row r="56" spans="1:12" ht="15.75" customHeight="1" x14ac:dyDescent="0.3">
      <c r="A56" s="187" t="s">
        <v>326</v>
      </c>
      <c r="B56" s="188" t="s">
        <v>42</v>
      </c>
      <c r="C56" s="188" t="s">
        <v>327</v>
      </c>
      <c r="D56" s="188" t="s">
        <v>46</v>
      </c>
      <c r="E56" s="196">
        <v>2.65</v>
      </c>
      <c r="F56" s="188" t="s">
        <v>30</v>
      </c>
      <c r="G56" s="190" t="s">
        <v>31</v>
      </c>
      <c r="H56" s="270">
        <v>1</v>
      </c>
      <c r="I56" s="270">
        <v>6</v>
      </c>
      <c r="J56" s="188" t="s">
        <v>328</v>
      </c>
      <c r="K56" s="274" t="s">
        <v>510</v>
      </c>
      <c r="L56" s="267" t="s">
        <v>329</v>
      </c>
    </row>
    <row r="57" spans="1:12" customFormat="1" ht="15.75" customHeight="1" x14ac:dyDescent="0.3">
      <c r="A57" s="264" t="s">
        <v>426</v>
      </c>
      <c r="B57" s="195" t="s">
        <v>42</v>
      </c>
      <c r="C57" s="195" t="s">
        <v>431</v>
      </c>
      <c r="D57" s="195" t="s">
        <v>46</v>
      </c>
      <c r="E57" s="196">
        <v>1000</v>
      </c>
      <c r="F57" s="195" t="s">
        <v>47</v>
      </c>
      <c r="G57" s="179" t="s">
        <v>31</v>
      </c>
      <c r="H57" s="274">
        <v>900</v>
      </c>
      <c r="I57" s="274">
        <v>1100</v>
      </c>
      <c r="J57" s="195" t="s">
        <v>437</v>
      </c>
      <c r="K57" s="274" t="s">
        <v>510</v>
      </c>
      <c r="L57" s="267" t="s">
        <v>443</v>
      </c>
    </row>
    <row r="58" spans="1:12" customFormat="1" ht="15.75" customHeight="1" x14ac:dyDescent="0.3">
      <c r="A58" s="264" t="s">
        <v>425</v>
      </c>
      <c r="B58" s="195" t="s">
        <v>42</v>
      </c>
      <c r="C58" s="195" t="s">
        <v>432</v>
      </c>
      <c r="D58" s="195" t="s">
        <v>46</v>
      </c>
      <c r="E58" s="196">
        <v>1000</v>
      </c>
      <c r="F58" s="195" t="s">
        <v>47</v>
      </c>
      <c r="G58" s="179" t="s">
        <v>31</v>
      </c>
      <c r="H58" s="275">
        <v>900</v>
      </c>
      <c r="I58" s="275">
        <v>1100</v>
      </c>
      <c r="J58" s="265" t="s">
        <v>438</v>
      </c>
      <c r="K58" s="274" t="s">
        <v>510</v>
      </c>
      <c r="L58" s="267" t="s">
        <v>444</v>
      </c>
    </row>
    <row r="59" spans="1:12" customFormat="1" ht="15.75" customHeight="1" x14ac:dyDescent="0.3">
      <c r="A59" s="264" t="s">
        <v>427</v>
      </c>
      <c r="B59" s="195" t="s">
        <v>42</v>
      </c>
      <c r="C59" s="195" t="s">
        <v>433</v>
      </c>
      <c r="D59" s="195" t="s">
        <v>46</v>
      </c>
      <c r="E59" s="196">
        <v>3634</v>
      </c>
      <c r="F59" s="195" t="s">
        <v>30</v>
      </c>
      <c r="G59" s="179" t="s">
        <v>31</v>
      </c>
      <c r="H59" s="275">
        <v>3000</v>
      </c>
      <c r="I59" s="275">
        <v>4000</v>
      </c>
      <c r="J59" s="195" t="s">
        <v>439</v>
      </c>
      <c r="K59" s="274" t="s">
        <v>510</v>
      </c>
      <c r="L59" s="267" t="s">
        <v>445</v>
      </c>
    </row>
    <row r="60" spans="1:12" customFormat="1" ht="15.75" customHeight="1" x14ac:dyDescent="0.3">
      <c r="A60" s="264" t="s">
        <v>428</v>
      </c>
      <c r="B60" s="195" t="s">
        <v>42</v>
      </c>
      <c r="C60" s="195" t="s">
        <v>434</v>
      </c>
      <c r="D60" s="195" t="s">
        <v>46</v>
      </c>
      <c r="E60" s="196">
        <v>1000</v>
      </c>
      <c r="F60" s="195" t="s">
        <v>47</v>
      </c>
      <c r="G60" s="179" t="s">
        <v>31</v>
      </c>
      <c r="H60" s="275">
        <v>900</v>
      </c>
      <c r="I60" s="275">
        <v>1100</v>
      </c>
      <c r="J60" s="195" t="s">
        <v>440</v>
      </c>
      <c r="K60" s="274" t="s">
        <v>510</v>
      </c>
      <c r="L60" s="267" t="s">
        <v>446</v>
      </c>
    </row>
    <row r="61" spans="1:12" customFormat="1" ht="15.75" customHeight="1" x14ac:dyDescent="0.3">
      <c r="A61" s="264" t="s">
        <v>429</v>
      </c>
      <c r="B61" s="195" t="s">
        <v>42</v>
      </c>
      <c r="C61" s="195" t="s">
        <v>435</v>
      </c>
      <c r="D61" s="195" t="s">
        <v>46</v>
      </c>
      <c r="E61" s="196">
        <v>150</v>
      </c>
      <c r="F61" s="195" t="s">
        <v>47</v>
      </c>
      <c r="G61" s="179" t="s">
        <v>31</v>
      </c>
      <c r="H61" s="275">
        <v>100</v>
      </c>
      <c r="I61" s="275">
        <v>200</v>
      </c>
      <c r="J61" s="265" t="s">
        <v>441</v>
      </c>
      <c r="K61" s="274" t="s">
        <v>510</v>
      </c>
      <c r="L61" s="267" t="s">
        <v>447</v>
      </c>
    </row>
    <row r="62" spans="1:12" customFormat="1" ht="15.75" customHeight="1" x14ac:dyDescent="0.3">
      <c r="A62" s="264" t="s">
        <v>430</v>
      </c>
      <c r="B62" s="195" t="s">
        <v>42</v>
      </c>
      <c r="C62" s="195" t="s">
        <v>436</v>
      </c>
      <c r="D62" s="195" t="s">
        <v>46</v>
      </c>
      <c r="E62" s="196">
        <v>2190</v>
      </c>
      <c r="F62" s="195" t="s">
        <v>30</v>
      </c>
      <c r="G62" s="179" t="s">
        <v>31</v>
      </c>
      <c r="H62" s="275">
        <v>1500</v>
      </c>
      <c r="I62" s="275">
        <v>2500</v>
      </c>
      <c r="J62" s="195" t="s">
        <v>442</v>
      </c>
      <c r="K62" s="274" t="s">
        <v>510</v>
      </c>
      <c r="L62" s="267" t="s">
        <v>448</v>
      </c>
    </row>
    <row r="63" spans="1:12" ht="15.75" customHeight="1" x14ac:dyDescent="0.3">
      <c r="A63" s="187" t="s">
        <v>330</v>
      </c>
      <c r="B63" s="188" t="s">
        <v>42</v>
      </c>
      <c r="C63" s="195" t="s">
        <v>331</v>
      </c>
      <c r="D63" s="188" t="s">
        <v>46</v>
      </c>
      <c r="E63" s="189">
        <v>479.62700000000001</v>
      </c>
      <c r="F63" s="188" t="s">
        <v>30</v>
      </c>
      <c r="G63" s="190" t="s">
        <v>31</v>
      </c>
      <c r="H63" s="270">
        <v>350</v>
      </c>
      <c r="I63" s="270">
        <v>650</v>
      </c>
      <c r="J63" s="188" t="s">
        <v>332</v>
      </c>
      <c r="K63" s="274" t="s">
        <v>510</v>
      </c>
      <c r="L63" s="267" t="s">
        <v>333</v>
      </c>
    </row>
    <row r="64" spans="1:12" ht="15.75" customHeight="1" x14ac:dyDescent="0.3">
      <c r="A64" s="187" t="s">
        <v>404</v>
      </c>
      <c r="B64" s="188" t="s">
        <v>45</v>
      </c>
      <c r="C64" s="195" t="s">
        <v>405</v>
      </c>
      <c r="D64" s="188" t="s">
        <v>46</v>
      </c>
      <c r="E64" s="189">
        <v>1093.2</v>
      </c>
      <c r="F64" s="188" t="s">
        <v>28</v>
      </c>
      <c r="G64" s="190" t="s">
        <v>31</v>
      </c>
      <c r="H64" s="270">
        <v>800</v>
      </c>
      <c r="I64" s="270">
        <v>1400</v>
      </c>
      <c r="J64" s="188" t="s">
        <v>406</v>
      </c>
      <c r="K64" s="274" t="s">
        <v>510</v>
      </c>
      <c r="L64" s="267" t="s">
        <v>405</v>
      </c>
    </row>
    <row r="65" spans="1:12" ht="15.75" customHeight="1" x14ac:dyDescent="0.3">
      <c r="A65" s="187" t="s">
        <v>334</v>
      </c>
      <c r="B65" s="188" t="s">
        <v>45</v>
      </c>
      <c r="C65" s="188" t="s">
        <v>335</v>
      </c>
      <c r="D65" s="188" t="s">
        <v>46</v>
      </c>
      <c r="E65" s="189">
        <v>14247.7</v>
      </c>
      <c r="F65" s="188" t="s">
        <v>28</v>
      </c>
      <c r="G65" s="190" t="s">
        <v>31</v>
      </c>
      <c r="H65" s="270">
        <v>10000</v>
      </c>
      <c r="I65" s="270">
        <v>18000</v>
      </c>
      <c r="J65" s="188" t="s">
        <v>336</v>
      </c>
      <c r="K65" s="274" t="s">
        <v>510</v>
      </c>
      <c r="L65" s="267" t="s">
        <v>337</v>
      </c>
    </row>
    <row r="66" spans="1:12" ht="15.75" customHeight="1" x14ac:dyDescent="0.3">
      <c r="A66" s="187" t="s">
        <v>418</v>
      </c>
      <c r="B66" s="188" t="s">
        <v>45</v>
      </c>
      <c r="C66" s="188" t="s">
        <v>338</v>
      </c>
      <c r="D66" s="188" t="s">
        <v>46</v>
      </c>
      <c r="E66" s="189">
        <v>12102.8</v>
      </c>
      <c r="F66" s="188" t="s">
        <v>28</v>
      </c>
      <c r="G66" s="190" t="s">
        <v>31</v>
      </c>
      <c r="H66" s="270">
        <v>8500</v>
      </c>
      <c r="I66" s="270">
        <v>16000</v>
      </c>
      <c r="J66" s="188" t="s">
        <v>339</v>
      </c>
      <c r="K66" s="274" t="s">
        <v>510</v>
      </c>
      <c r="L66" s="267" t="s">
        <v>338</v>
      </c>
    </row>
    <row r="67" spans="1:12" ht="15.75" customHeight="1" x14ac:dyDescent="0.3">
      <c r="A67" s="187" t="s">
        <v>340</v>
      </c>
      <c r="B67" s="188" t="s">
        <v>44</v>
      </c>
      <c r="C67" s="188" t="s">
        <v>341</v>
      </c>
      <c r="D67" s="188" t="s">
        <v>46</v>
      </c>
      <c r="E67" s="189">
        <v>22400</v>
      </c>
      <c r="F67" s="188" t="s">
        <v>76</v>
      </c>
      <c r="G67" s="190" t="s">
        <v>31</v>
      </c>
      <c r="H67" s="270">
        <v>19500</v>
      </c>
      <c r="I67" s="274">
        <v>22700</v>
      </c>
      <c r="J67" s="188" t="s">
        <v>342</v>
      </c>
      <c r="K67" s="274" t="s">
        <v>510</v>
      </c>
      <c r="L67" s="267" t="s">
        <v>341</v>
      </c>
    </row>
    <row r="68" spans="1:12" ht="15.75" customHeight="1" x14ac:dyDescent="0.3">
      <c r="A68" s="187" t="s">
        <v>343</v>
      </c>
      <c r="B68" s="188" t="s">
        <v>44</v>
      </c>
      <c r="C68" s="188" t="s">
        <v>344</v>
      </c>
      <c r="D68" s="188" t="s">
        <v>46</v>
      </c>
      <c r="E68" s="189">
        <v>18300000</v>
      </c>
      <c r="F68" s="188" t="s">
        <v>345</v>
      </c>
      <c r="G68" s="190" t="s">
        <v>31</v>
      </c>
      <c r="H68" s="270">
        <v>15000000</v>
      </c>
      <c r="I68" s="270">
        <v>22000000</v>
      </c>
      <c r="J68" s="188" t="s">
        <v>346</v>
      </c>
      <c r="K68" s="274" t="s">
        <v>511</v>
      </c>
      <c r="L68" s="267" t="s">
        <v>419</v>
      </c>
    </row>
    <row r="69" spans="1:12" ht="15.75" customHeight="1" x14ac:dyDescent="0.3">
      <c r="A69" s="187" t="s">
        <v>347</v>
      </c>
      <c r="B69" s="188" t="s">
        <v>44</v>
      </c>
      <c r="C69" s="188" t="s">
        <v>502</v>
      </c>
      <c r="D69" s="188" t="s">
        <v>46</v>
      </c>
      <c r="E69" s="189">
        <v>30200</v>
      </c>
      <c r="F69" s="188" t="s">
        <v>30</v>
      </c>
      <c r="G69" s="190" t="s">
        <v>31</v>
      </c>
      <c r="H69" s="270">
        <v>25000</v>
      </c>
      <c r="I69" s="270">
        <v>36000</v>
      </c>
      <c r="J69" s="188" t="s">
        <v>348</v>
      </c>
      <c r="K69" s="274" t="s">
        <v>510</v>
      </c>
      <c r="L69" s="267" t="s">
        <v>349</v>
      </c>
    </row>
    <row r="70" spans="1:12" ht="15.75" customHeight="1" x14ac:dyDescent="0.3">
      <c r="A70" s="187" t="s">
        <v>350</v>
      </c>
      <c r="B70" s="188" t="s">
        <v>44</v>
      </c>
      <c r="C70" s="188" t="s">
        <v>351</v>
      </c>
      <c r="D70" s="188" t="s">
        <v>46</v>
      </c>
      <c r="E70" s="198">
        <v>0.8</v>
      </c>
      <c r="F70" s="188" t="s">
        <v>31</v>
      </c>
      <c r="G70" s="190" t="s">
        <v>31</v>
      </c>
      <c r="H70" s="270">
        <v>0.6</v>
      </c>
      <c r="I70" s="270">
        <v>0.9</v>
      </c>
      <c r="J70" s="188" t="s">
        <v>352</v>
      </c>
      <c r="K70" s="274" t="s">
        <v>510</v>
      </c>
      <c r="L70" s="267" t="s">
        <v>351</v>
      </c>
    </row>
    <row r="71" spans="1:12" ht="15.75" customHeight="1" x14ac:dyDescent="0.3">
      <c r="A71" s="187" t="s">
        <v>353</v>
      </c>
      <c r="B71" s="188" t="s">
        <v>43</v>
      </c>
      <c r="C71" s="188" t="s">
        <v>354</v>
      </c>
      <c r="D71" s="188" t="s">
        <v>46</v>
      </c>
      <c r="E71" s="198">
        <v>40</v>
      </c>
      <c r="F71" s="188" t="s">
        <v>57</v>
      </c>
      <c r="G71" s="190" t="s">
        <v>31</v>
      </c>
      <c r="H71" s="270">
        <v>20</v>
      </c>
      <c r="I71" s="270">
        <v>50</v>
      </c>
      <c r="J71" s="188" t="s">
        <v>355</v>
      </c>
      <c r="K71" s="274" t="s">
        <v>510</v>
      </c>
      <c r="L71" s="267" t="s">
        <v>356</v>
      </c>
    </row>
    <row r="72" spans="1:12" ht="15.75" customHeight="1" x14ac:dyDescent="0.3">
      <c r="A72" s="187" t="s">
        <v>357</v>
      </c>
      <c r="B72" s="188" t="s">
        <v>43</v>
      </c>
      <c r="C72" s="188" t="s">
        <v>358</v>
      </c>
      <c r="D72" s="188" t="s">
        <v>46</v>
      </c>
      <c r="E72" s="198">
        <v>0.06</v>
      </c>
      <c r="F72" s="188" t="s">
        <v>31</v>
      </c>
      <c r="G72" s="190" t="s">
        <v>31</v>
      </c>
      <c r="H72" s="270">
        <v>0.04</v>
      </c>
      <c r="I72" s="270">
        <v>0.1</v>
      </c>
      <c r="J72" s="188" t="s">
        <v>359</v>
      </c>
      <c r="K72" s="274" t="s">
        <v>510</v>
      </c>
      <c r="L72" s="267" t="s">
        <v>358</v>
      </c>
    </row>
    <row r="73" spans="1:12" ht="15.75" customHeight="1" x14ac:dyDescent="0.3">
      <c r="A73" s="187" t="s">
        <v>360</v>
      </c>
      <c r="B73" s="188" t="s">
        <v>44</v>
      </c>
      <c r="C73" s="188" t="s">
        <v>420</v>
      </c>
      <c r="D73" s="188" t="s">
        <v>46</v>
      </c>
      <c r="E73" s="198">
        <v>816</v>
      </c>
      <c r="F73" s="188" t="s">
        <v>31</v>
      </c>
      <c r="G73" s="190" t="s">
        <v>31</v>
      </c>
      <c r="H73" s="270">
        <v>700</v>
      </c>
      <c r="I73" s="270">
        <v>900</v>
      </c>
      <c r="J73" s="188" t="s">
        <v>361</v>
      </c>
      <c r="K73" s="274" t="s">
        <v>510</v>
      </c>
      <c r="L73" s="267" t="s">
        <v>420</v>
      </c>
    </row>
    <row r="74" spans="1:12" ht="15.75" customHeight="1" x14ac:dyDescent="0.3">
      <c r="A74" s="187" t="s">
        <v>362</v>
      </c>
      <c r="B74" s="188" t="s">
        <v>45</v>
      </c>
      <c r="C74" s="188" t="s">
        <v>363</v>
      </c>
      <c r="D74" s="188" t="s">
        <v>46</v>
      </c>
      <c r="E74" s="199" cm="1">
        <f t="array" ref="E74">meohmarketotal/3600*LHV_meoh</f>
        <v>75306.311111111107</v>
      </c>
      <c r="F74" s="188" t="s">
        <v>30</v>
      </c>
      <c r="G74" s="190" t="s">
        <v>414</v>
      </c>
      <c r="H74" s="270">
        <v>60000</v>
      </c>
      <c r="I74" s="270">
        <v>100000</v>
      </c>
      <c r="J74" s="188" t="s">
        <v>364</v>
      </c>
      <c r="K74" s="274" t="s">
        <v>510</v>
      </c>
      <c r="L74" s="267" t="s">
        <v>365</v>
      </c>
    </row>
    <row r="75" spans="1:12" ht="15.75" customHeight="1" x14ac:dyDescent="0.3">
      <c r="A75" s="187" t="s">
        <v>366</v>
      </c>
      <c r="B75" s="188" t="s">
        <v>42</v>
      </c>
      <c r="C75" s="188" t="s">
        <v>367</v>
      </c>
      <c r="D75" s="188" t="s">
        <v>46</v>
      </c>
      <c r="E75" s="198">
        <f>e_meoh_1+e_meoh_2+e_meoh_5</f>
        <v>1726.1100000000001</v>
      </c>
      <c r="F75" s="188" t="s">
        <v>30</v>
      </c>
      <c r="G75" s="190" t="s">
        <v>415</v>
      </c>
      <c r="H75" s="270">
        <v>1300</v>
      </c>
      <c r="I75" s="270">
        <v>2200</v>
      </c>
      <c r="J75" s="188" t="s">
        <v>368</v>
      </c>
      <c r="K75" s="274" t="s">
        <v>510</v>
      </c>
      <c r="L75" s="267" t="s">
        <v>369</v>
      </c>
    </row>
    <row r="76" spans="1:12" ht="16.8" customHeight="1" x14ac:dyDescent="0.3">
      <c r="A76" s="187" t="s">
        <v>370</v>
      </c>
      <c r="B76" s="188" t="s">
        <v>43</v>
      </c>
      <c r="C76" s="188" t="s">
        <v>371</v>
      </c>
      <c r="D76" s="188" t="s">
        <v>46</v>
      </c>
      <c r="E76" s="198">
        <f>(i*(i+1)^n)/((i+1)^n-1)</f>
        <v>6.6461535920675496E-2</v>
      </c>
      <c r="F76" s="199" t="s">
        <v>31</v>
      </c>
      <c r="G76" s="190" t="s">
        <v>416</v>
      </c>
      <c r="H76" s="270">
        <v>0.04</v>
      </c>
      <c r="I76" s="270">
        <v>0.12</v>
      </c>
      <c r="J76" s="188" t="s">
        <v>372</v>
      </c>
      <c r="K76" s="274" t="s">
        <v>510</v>
      </c>
      <c r="L76" s="267" t="s">
        <v>371</v>
      </c>
    </row>
    <row r="77" spans="1:12" ht="16.8" customHeight="1" thickBot="1" x14ac:dyDescent="0.35">
      <c r="A77" s="200" t="s">
        <v>373</v>
      </c>
      <c r="B77" s="201" t="s">
        <v>42</v>
      </c>
      <c r="C77" s="201" t="s">
        <v>374</v>
      </c>
      <c r="D77" s="201" t="s">
        <v>46</v>
      </c>
      <c r="E77" s="202">
        <f>Base_MeOHCost*((meohmarketoKW/Base_MeOHCapac)^sc)*(CEPCI_2022/CEPCI_2022)*Annuity</f>
        <v>2526277.2333468036</v>
      </c>
      <c r="F77" s="203" t="s">
        <v>375</v>
      </c>
      <c r="G77" s="204" t="s">
        <v>417</v>
      </c>
      <c r="H77" s="276">
        <v>1500000</v>
      </c>
      <c r="I77" s="276">
        <v>5000000</v>
      </c>
      <c r="J77" s="201" t="s">
        <v>376</v>
      </c>
      <c r="K77" s="306" t="s">
        <v>510</v>
      </c>
      <c r="L77" s="268" t="s">
        <v>374</v>
      </c>
    </row>
    <row r="78" spans="1:12" ht="16.8" customHeight="1" x14ac:dyDescent="0.3"/>
    <row r="79" spans="1:12" ht="16.8" customHeight="1" x14ac:dyDescent="0.3"/>
    <row r="80" spans="1:12"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4.4" x14ac:dyDescent="0.3"/>
    <row r="124" ht="14.4" x14ac:dyDescent="0.3"/>
    <row r="125" ht="14.4" x14ac:dyDescent="0.3"/>
    <row r="126" ht="15.75" customHeight="1" x14ac:dyDescent="0.3"/>
    <row r="127" ht="15.75" customHeight="1" x14ac:dyDescent="0.3"/>
    <row r="128" ht="15.75" customHeight="1" x14ac:dyDescent="0.3"/>
  </sheetData>
  <phoneticPr fontId="21" type="noConversion"/>
  <conditionalFormatting sqref="E16:E61 E63:E77">
    <cfRule type="expression" dxfId="1" priority="1">
      <formula>OR(E16&lt;H16, E16&gt;I16)</formula>
    </cfRule>
  </conditionalFormatting>
  <conditionalFormatting sqref="E62">
    <cfRule type="expression" dxfId="0" priority="4">
      <formula>OR(E62&lt;#REF!, E62&gt;#REF!)</formula>
    </cfRule>
  </conditionalFormatting>
  <dataValidations disablePrompts="1" count="3">
    <dataValidation type="list" allowBlank="1" showInputMessage="1" showErrorMessage="1" sqref="B16" xr:uid="{15B1ACD6-32C1-4E14-A875-AF438C1AA167}">
      <formula1>"CONTEXT,LITERATURE,MEASURED,DECISION"</formula1>
    </dataValidation>
    <dataValidation type="list" allowBlank="1" showInputMessage="1" showErrorMessage="1" sqref="D16" xr:uid="{A5B25F68-77E1-4D45-9F02-ADB74A64D3C4}">
      <formula1>"MANDATORY,OPTIONAL,PRIVATE"</formula1>
    </dataValidation>
    <dataValidation type="list" errorStyle="information" allowBlank="1" showInputMessage="1" showErrorMessage="1" sqref="L66 F16:F77" xr:uid="{FE3D0AD8-73DF-429A-9E53-7F862F4E484D}">
      <formula1>"-,kg,s,m,K,°C,W,bar,kg/h,t/h,kW,kW/m2K,W/m2K,kJ/kgK,kJ/kg,m3/h,%,eur,eur/y,kWel/kWth,year"</formula1>
    </dataValidation>
  </dataValidations>
  <pageMargins left="0.7" right="0.7" top="0.75" bottom="0.75" header="0" footer="0"/>
  <pageSetup orientation="landscape"/>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U72"/>
  <sheetViews>
    <sheetView showGridLines="0" topLeftCell="A26" zoomScale="38" zoomScaleNormal="100" workbookViewId="0">
      <selection activeCell="C68" sqref="C68"/>
    </sheetView>
  </sheetViews>
  <sheetFormatPr defaultColWidth="14.44140625" defaultRowHeight="15" customHeight="1" x14ac:dyDescent="0.3"/>
  <cols>
    <col min="1" max="1" width="59.109375" customWidth="1"/>
    <col min="2" max="2" width="43.77734375" customWidth="1"/>
    <col min="3" max="3" width="59.33203125" customWidth="1"/>
    <col min="4" max="4" width="45.33203125" customWidth="1"/>
    <col min="5" max="5" width="37.6640625" customWidth="1"/>
    <col min="6" max="6" width="42.109375" customWidth="1"/>
    <col min="7" max="7" width="34.33203125" customWidth="1"/>
    <col min="8" max="8" width="34.6640625" customWidth="1"/>
    <col min="9" max="9" width="29.109375" customWidth="1"/>
    <col min="10" max="10" width="35.33203125" customWidth="1"/>
    <col min="11" max="11" width="42.6640625" customWidth="1"/>
    <col min="12" max="12" width="43" customWidth="1"/>
    <col min="13" max="13" width="43.44140625" bestFit="1" customWidth="1"/>
    <col min="14" max="14" width="60.77734375" customWidth="1"/>
    <col min="15" max="15" width="22.33203125" bestFit="1" customWidth="1"/>
    <col min="16" max="16" width="19.77734375" customWidth="1"/>
    <col min="17" max="17" width="31.44140625" bestFit="1" customWidth="1"/>
    <col min="18" max="18" width="29" bestFit="1" customWidth="1"/>
    <col min="19" max="19" width="16.77734375" bestFit="1" customWidth="1"/>
    <col min="20" max="20" width="30.109375" customWidth="1"/>
    <col min="21" max="21" width="53.77734375" bestFit="1" customWidth="1"/>
    <col min="22" max="28" width="10.6640625" customWidth="1"/>
  </cols>
  <sheetData>
    <row r="1" spans="1:14" ht="14.25" customHeight="1" thickBot="1" x14ac:dyDescent="0.35">
      <c r="A1" s="108" t="s">
        <v>62</v>
      </c>
      <c r="B1" s="81"/>
      <c r="C1" s="81"/>
      <c r="D1" s="37"/>
      <c r="E1" s="38"/>
      <c r="F1" s="38"/>
      <c r="G1" s="38"/>
      <c r="H1" s="38"/>
      <c r="I1" s="6"/>
      <c r="J1" s="6"/>
      <c r="K1" s="7"/>
      <c r="L1" s="7"/>
      <c r="M1" s="7"/>
      <c r="N1" s="7"/>
    </row>
    <row r="2" spans="1:14" ht="58.2" customHeight="1" thickBot="1" x14ac:dyDescent="0.35">
      <c r="A2" s="298" t="s">
        <v>463</v>
      </c>
      <c r="B2" s="81"/>
      <c r="C2" s="81"/>
      <c r="D2" s="37"/>
      <c r="E2" s="38"/>
      <c r="F2" s="38"/>
      <c r="G2" s="38"/>
      <c r="H2" s="38"/>
      <c r="I2" s="6"/>
      <c r="J2" s="6"/>
      <c r="K2" s="7"/>
      <c r="L2" s="7"/>
      <c r="M2" s="7"/>
      <c r="N2" s="7"/>
    </row>
    <row r="3" spans="1:14" ht="14.25" customHeight="1" thickBot="1" x14ac:dyDescent="0.35">
      <c r="D3" s="37"/>
      <c r="E3" s="38"/>
      <c r="F3" s="38"/>
      <c r="G3" s="38"/>
      <c r="H3" s="38"/>
      <c r="I3" s="6"/>
      <c r="J3" s="6"/>
      <c r="K3" s="7"/>
      <c r="L3" s="7"/>
      <c r="M3" s="7"/>
      <c r="N3" s="7"/>
    </row>
    <row r="4" spans="1:14" thickBot="1" x14ac:dyDescent="0.35">
      <c r="A4" s="82"/>
      <c r="B4" s="39"/>
      <c r="C4" s="39"/>
      <c r="D4" s="6"/>
      <c r="E4" s="40"/>
      <c r="F4" s="40"/>
      <c r="G4" s="40"/>
      <c r="H4" s="41"/>
      <c r="I4" s="42"/>
      <c r="J4" s="42"/>
      <c r="K4" s="42"/>
      <c r="L4" s="42"/>
      <c r="M4" s="42"/>
      <c r="N4" s="42"/>
    </row>
    <row r="5" spans="1:14" thickBot="1" x14ac:dyDescent="0.35">
      <c r="A5" s="116" t="s">
        <v>64</v>
      </c>
      <c r="B5" s="152" t="s">
        <v>66</v>
      </c>
      <c r="C5" s="153" t="s">
        <v>65</v>
      </c>
      <c r="D5" s="64" t="s">
        <v>169</v>
      </c>
      <c r="E5" s="45"/>
      <c r="F5" s="45"/>
      <c r="G5" s="45"/>
      <c r="H5" s="44"/>
      <c r="I5" s="7"/>
      <c r="J5" s="7"/>
      <c r="K5" s="7"/>
      <c r="L5" s="7"/>
      <c r="M5" s="7"/>
      <c r="N5" s="7"/>
    </row>
    <row r="6" spans="1:14" thickBot="1" x14ac:dyDescent="0.35">
      <c r="A6" s="89" t="s">
        <v>377</v>
      </c>
      <c r="B6" s="154">
        <v>0</v>
      </c>
      <c r="C6" s="155">
        <v>100</v>
      </c>
      <c r="D6" s="46"/>
      <c r="E6" s="47"/>
      <c r="F6" s="48"/>
      <c r="G6" s="48"/>
      <c r="H6" s="49"/>
      <c r="I6" s="38"/>
      <c r="J6" s="38"/>
      <c r="K6" s="38"/>
      <c r="L6" s="38"/>
      <c r="M6" s="38"/>
      <c r="N6" s="38"/>
    </row>
    <row r="7" spans="1:14" thickBot="1" x14ac:dyDescent="0.35">
      <c r="A7" s="50"/>
      <c r="B7" s="51"/>
      <c r="C7" s="51"/>
      <c r="D7" s="52"/>
      <c r="E7" s="5"/>
      <c r="F7" s="40"/>
      <c r="G7" s="40"/>
      <c r="H7" s="41"/>
      <c r="I7" s="40"/>
      <c r="J7" s="40"/>
      <c r="K7" s="40"/>
      <c r="L7" s="40"/>
      <c r="M7" s="40"/>
      <c r="N7" s="40"/>
    </row>
    <row r="8" spans="1:14" ht="17.25" customHeight="1" thickBot="1" x14ac:dyDescent="0.35">
      <c r="A8" s="105" t="s">
        <v>63</v>
      </c>
      <c r="B8" s="81"/>
      <c r="C8" s="81"/>
      <c r="D8" s="41"/>
      <c r="E8" s="5"/>
      <c r="F8" s="40"/>
      <c r="G8" s="40"/>
      <c r="H8" s="41"/>
      <c r="I8" s="40"/>
      <c r="J8" s="40"/>
      <c r="K8" s="40"/>
      <c r="L8" s="40"/>
      <c r="M8" s="40"/>
      <c r="N8" s="40"/>
    </row>
    <row r="9" spans="1:14" ht="78" customHeight="1" thickBot="1" x14ac:dyDescent="0.35">
      <c r="A9" s="298" t="s">
        <v>464</v>
      </c>
      <c r="B9" s="81"/>
      <c r="C9" s="81"/>
      <c r="D9" s="5"/>
      <c r="E9" s="5"/>
      <c r="F9" s="40"/>
      <c r="G9" s="40"/>
      <c r="H9" s="41"/>
      <c r="I9" s="40"/>
      <c r="J9" s="40"/>
      <c r="K9" s="40"/>
      <c r="L9" s="40"/>
      <c r="M9" s="40"/>
      <c r="N9" s="40"/>
    </row>
    <row r="10" spans="1:14" thickBot="1" x14ac:dyDescent="0.35">
      <c r="A10" s="53"/>
      <c r="B10" s="40"/>
      <c r="C10" s="40"/>
      <c r="D10" s="5"/>
      <c r="E10" s="5"/>
      <c r="F10" s="40"/>
      <c r="G10" s="40"/>
      <c r="H10" s="41"/>
      <c r="I10" s="40"/>
      <c r="J10" s="40"/>
      <c r="K10" s="40"/>
      <c r="L10" s="40"/>
      <c r="M10" s="40"/>
      <c r="N10" s="40"/>
    </row>
    <row r="11" spans="1:14" thickBot="1" x14ac:dyDescent="0.35">
      <c r="A11" s="54" t="s">
        <v>75</v>
      </c>
      <c r="B11" s="40"/>
      <c r="C11" s="40"/>
      <c r="D11" s="5"/>
      <c r="E11" s="5"/>
      <c r="F11" s="40"/>
      <c r="G11" s="40"/>
      <c r="H11" s="41"/>
      <c r="I11" s="40"/>
      <c r="J11" s="40"/>
      <c r="K11" s="40"/>
      <c r="L11" s="40"/>
      <c r="M11" s="40"/>
      <c r="N11" s="40"/>
    </row>
    <row r="12" spans="1:14" thickBot="1" x14ac:dyDescent="0.35">
      <c r="A12" s="55" t="s">
        <v>74</v>
      </c>
      <c r="B12" s="56"/>
      <c r="D12" s="56"/>
      <c r="E12" s="56"/>
      <c r="F12" s="56"/>
      <c r="G12" s="56"/>
      <c r="H12" s="56"/>
      <c r="I12" s="57"/>
      <c r="J12" s="56"/>
      <c r="K12" s="56"/>
      <c r="L12" s="56"/>
      <c r="M12" s="43"/>
      <c r="N12" s="43"/>
    </row>
    <row r="13" spans="1:14" ht="19.5" customHeight="1" thickBot="1" x14ac:dyDescent="0.35">
      <c r="A13" s="84" t="s">
        <v>2</v>
      </c>
      <c r="B13" s="85"/>
      <c r="C13" s="85"/>
      <c r="D13" s="85"/>
      <c r="E13" s="85"/>
      <c r="F13" s="85"/>
      <c r="G13" s="85"/>
      <c r="H13" s="85"/>
      <c r="I13" s="85"/>
      <c r="J13" s="85"/>
      <c r="K13" s="85"/>
      <c r="L13" s="88"/>
      <c r="M13" s="88"/>
      <c r="N13" s="101"/>
    </row>
    <row r="14" spans="1:14" thickBot="1" x14ac:dyDescent="0.35">
      <c r="A14" s="112" t="s">
        <v>17</v>
      </c>
      <c r="B14" s="113" t="s">
        <v>18</v>
      </c>
      <c r="C14" s="113" t="s">
        <v>48</v>
      </c>
      <c r="D14" s="113" t="s">
        <v>166</v>
      </c>
      <c r="E14" s="113" t="s">
        <v>167</v>
      </c>
      <c r="F14" s="113" t="s">
        <v>164</v>
      </c>
      <c r="G14" s="114" t="s">
        <v>21</v>
      </c>
      <c r="H14" s="113" t="s">
        <v>165</v>
      </c>
      <c r="I14" s="113" t="s">
        <v>23</v>
      </c>
      <c r="J14" s="113" t="s">
        <v>24</v>
      </c>
      <c r="K14" s="113" t="s">
        <v>25</v>
      </c>
      <c r="L14" s="148" t="s">
        <v>26</v>
      </c>
      <c r="M14" s="148" t="s">
        <v>140</v>
      </c>
      <c r="N14" s="139" t="s">
        <v>15</v>
      </c>
    </row>
    <row r="15" spans="1:14" ht="14.4" x14ac:dyDescent="0.3">
      <c r="A15" s="164" t="s">
        <v>179</v>
      </c>
      <c r="B15" s="165" t="s">
        <v>29</v>
      </c>
      <c r="C15" s="165" t="s">
        <v>50</v>
      </c>
      <c r="D15" s="166">
        <f>e_demand</f>
        <v>1726.1100000000001</v>
      </c>
      <c r="E15" s="165" t="s">
        <v>30</v>
      </c>
      <c r="F15" s="165" t="s">
        <v>31</v>
      </c>
      <c r="G15" s="167" t="s">
        <v>31</v>
      </c>
      <c r="H15" s="165" t="s">
        <v>31</v>
      </c>
      <c r="I15" s="167" t="s">
        <v>31</v>
      </c>
      <c r="J15" s="165" t="s">
        <v>31</v>
      </c>
      <c r="K15" s="165" t="s">
        <v>31</v>
      </c>
      <c r="L15" s="165" t="s">
        <v>31</v>
      </c>
      <c r="M15" s="165" t="s">
        <v>421</v>
      </c>
      <c r="N15" s="299" t="s">
        <v>391</v>
      </c>
    </row>
    <row r="16" spans="1:14" ht="14.4" x14ac:dyDescent="0.3">
      <c r="A16" s="168" t="s">
        <v>506</v>
      </c>
      <c r="B16" s="169" t="s">
        <v>27</v>
      </c>
      <c r="C16" s="169" t="s">
        <v>51</v>
      </c>
      <c r="D16" s="170">
        <f>meohmarketotal</f>
        <v>12102.8</v>
      </c>
      <c r="E16" s="169" t="s">
        <v>28</v>
      </c>
      <c r="F16" s="169">
        <v>25</v>
      </c>
      <c r="G16" s="171" t="s">
        <v>47</v>
      </c>
      <c r="H16" s="169">
        <v>1</v>
      </c>
      <c r="I16" s="171" t="s">
        <v>392</v>
      </c>
      <c r="J16" s="171">
        <v>-1</v>
      </c>
      <c r="K16" s="171" t="s">
        <v>394</v>
      </c>
      <c r="L16" s="171" t="s">
        <v>395</v>
      </c>
      <c r="M16" s="222" t="s">
        <v>422</v>
      </c>
      <c r="N16" s="300" t="s">
        <v>396</v>
      </c>
    </row>
    <row r="17" spans="1:21" ht="14.4" x14ac:dyDescent="0.3">
      <c r="A17" s="218" t="s">
        <v>505</v>
      </c>
      <c r="B17" s="219" t="s">
        <v>27</v>
      </c>
      <c r="C17" s="219" t="s">
        <v>50</v>
      </c>
      <c r="D17" s="220">
        <f>SynGasCons</f>
        <v>14247.7</v>
      </c>
      <c r="E17" s="219" t="s">
        <v>28</v>
      </c>
      <c r="F17" s="219">
        <v>35</v>
      </c>
      <c r="G17" s="221" t="s">
        <v>47</v>
      </c>
      <c r="H17" s="219">
        <v>35</v>
      </c>
      <c r="I17" s="221" t="s">
        <v>392</v>
      </c>
      <c r="J17" s="221">
        <v>-1</v>
      </c>
      <c r="K17" s="221" t="s">
        <v>393</v>
      </c>
      <c r="L17" s="221" t="s">
        <v>401</v>
      </c>
      <c r="M17" s="223" t="s">
        <v>421</v>
      </c>
      <c r="N17" s="301" t="s">
        <v>402</v>
      </c>
    </row>
    <row r="18" spans="1:21" thickBot="1" x14ac:dyDescent="0.35">
      <c r="A18" s="172" t="s">
        <v>398</v>
      </c>
      <c r="B18" s="173" t="s">
        <v>27</v>
      </c>
      <c r="C18" s="173" t="s">
        <v>51</v>
      </c>
      <c r="D18" s="174">
        <f>CO2inflarestack</f>
        <v>1093.2</v>
      </c>
      <c r="E18" s="173" t="s">
        <v>28</v>
      </c>
      <c r="F18" s="173">
        <v>150</v>
      </c>
      <c r="G18" s="175" t="s">
        <v>47</v>
      </c>
      <c r="H18" s="173">
        <v>1</v>
      </c>
      <c r="I18" s="175" t="s">
        <v>392</v>
      </c>
      <c r="J18" s="175">
        <v>-1</v>
      </c>
      <c r="K18" s="175" t="s">
        <v>393</v>
      </c>
      <c r="L18" s="175" t="s">
        <v>400</v>
      </c>
      <c r="M18" s="224" t="s">
        <v>421</v>
      </c>
      <c r="N18" s="302" t="s">
        <v>403</v>
      </c>
      <c r="O18" s="1"/>
      <c r="P18" s="1"/>
      <c r="Q18" s="1"/>
      <c r="R18" s="1"/>
      <c r="S18" s="1"/>
      <c r="T18" s="1"/>
      <c r="U18" s="1"/>
    </row>
    <row r="19" spans="1:21" thickBot="1" x14ac:dyDescent="0.35">
      <c r="A19" s="59"/>
      <c r="B19" s="51"/>
      <c r="C19" s="51"/>
      <c r="D19" s="51"/>
      <c r="E19" s="60"/>
      <c r="F19" s="61"/>
      <c r="G19" s="61"/>
      <c r="H19" s="61"/>
      <c r="I19" s="61"/>
      <c r="J19" s="60"/>
      <c r="K19" s="62"/>
      <c r="L19" s="51"/>
      <c r="M19" s="63"/>
      <c r="N19" s="51"/>
      <c r="O19" s="63"/>
      <c r="P19" s="63"/>
      <c r="Q19" s="63"/>
      <c r="R19" s="63"/>
      <c r="S19" s="63"/>
      <c r="T19" s="63"/>
      <c r="U19" s="63"/>
    </row>
    <row r="20" spans="1:21" ht="14.25" customHeight="1" thickBot="1" x14ac:dyDescent="0.35">
      <c r="A20" s="106" t="s">
        <v>72</v>
      </c>
      <c r="C20" s="81"/>
      <c r="D20" s="37"/>
      <c r="E20" s="38"/>
      <c r="F20" s="38"/>
      <c r="G20" s="38"/>
      <c r="H20" s="38"/>
      <c r="I20" s="6"/>
      <c r="J20" s="6"/>
      <c r="K20" s="7"/>
      <c r="L20" s="7"/>
      <c r="M20" s="7"/>
      <c r="N20" s="7"/>
      <c r="O20" s="38"/>
      <c r="P20" s="38"/>
      <c r="Q20" s="38"/>
      <c r="R20" s="38"/>
      <c r="S20" s="38"/>
      <c r="T20" s="38"/>
      <c r="U20" s="38"/>
    </row>
    <row r="21" spans="1:21" ht="61.2" customHeight="1" thickBot="1" x14ac:dyDescent="0.35">
      <c r="A21" s="298" t="s">
        <v>465</v>
      </c>
      <c r="C21" s="81"/>
      <c r="D21" s="37"/>
      <c r="E21" s="38"/>
      <c r="F21" s="38"/>
      <c r="G21" s="38"/>
      <c r="H21" s="38"/>
      <c r="I21" s="6"/>
      <c r="J21" s="6"/>
      <c r="K21" s="7"/>
      <c r="L21" s="7"/>
      <c r="M21" s="7"/>
      <c r="N21" s="7"/>
      <c r="O21" s="38"/>
      <c r="P21" s="38"/>
      <c r="Q21" s="38"/>
      <c r="R21" s="38"/>
      <c r="S21" s="38"/>
      <c r="T21" s="38"/>
      <c r="U21" s="38"/>
    </row>
    <row r="22" spans="1:21" thickBot="1" x14ac:dyDescent="0.35">
      <c r="A22" s="238"/>
      <c r="B22" s="40"/>
      <c r="C22" s="40"/>
      <c r="D22" s="40"/>
      <c r="E22" s="5"/>
      <c r="F22" s="58"/>
      <c r="G22" s="58"/>
      <c r="H22" s="58"/>
      <c r="I22" s="58"/>
      <c r="J22" s="5"/>
      <c r="K22" s="41"/>
      <c r="L22" s="40"/>
      <c r="M22" s="40"/>
      <c r="N22" s="40"/>
      <c r="O22" s="40"/>
      <c r="P22" s="40"/>
      <c r="Q22" s="40"/>
      <c r="R22" s="40"/>
      <c r="S22" s="40"/>
      <c r="T22" s="40"/>
      <c r="U22" s="40"/>
    </row>
    <row r="23" spans="1:21" thickBot="1" x14ac:dyDescent="0.35">
      <c r="A23" s="86" t="s">
        <v>52</v>
      </c>
      <c r="B23" s="87"/>
      <c r="C23" s="87"/>
      <c r="D23" s="87"/>
      <c r="E23" s="87"/>
      <c r="F23" s="87"/>
      <c r="G23" s="87"/>
      <c r="H23" s="87"/>
      <c r="I23" s="87"/>
      <c r="J23" s="87"/>
      <c r="K23" s="87"/>
      <c r="L23" s="87"/>
      <c r="M23" s="87"/>
      <c r="N23" s="87"/>
      <c r="O23" s="87"/>
      <c r="P23" s="87"/>
      <c r="Q23" s="87"/>
      <c r="R23" s="87"/>
      <c r="S23" s="87"/>
      <c r="T23" s="87"/>
      <c r="U23" s="101"/>
    </row>
    <row r="24" spans="1:21" thickBot="1" x14ac:dyDescent="0.35">
      <c r="A24" s="156" t="s">
        <v>68</v>
      </c>
      <c r="B24" s="157" t="s">
        <v>18</v>
      </c>
      <c r="C24" s="157" t="s">
        <v>128</v>
      </c>
      <c r="D24" s="158" t="s">
        <v>124</v>
      </c>
      <c r="E24" s="157" t="s">
        <v>129</v>
      </c>
      <c r="F24" s="157" t="s">
        <v>125</v>
      </c>
      <c r="G24" s="157" t="s">
        <v>130</v>
      </c>
      <c r="H24" s="157" t="s">
        <v>131</v>
      </c>
      <c r="I24" s="157" t="s">
        <v>132</v>
      </c>
      <c r="J24" s="157" t="s">
        <v>126</v>
      </c>
      <c r="K24" s="157" t="s">
        <v>133</v>
      </c>
      <c r="L24" s="157" t="s">
        <v>127</v>
      </c>
      <c r="M24" s="157" t="s">
        <v>134</v>
      </c>
      <c r="N24" s="157" t="s">
        <v>135</v>
      </c>
      <c r="O24" s="157" t="s">
        <v>136</v>
      </c>
      <c r="P24" s="157" t="s">
        <v>137</v>
      </c>
      <c r="Q24" s="157" t="s">
        <v>138</v>
      </c>
      <c r="R24" s="157" t="s">
        <v>139</v>
      </c>
      <c r="S24" s="159" t="s">
        <v>67</v>
      </c>
      <c r="T24" s="232" t="s">
        <v>140</v>
      </c>
      <c r="U24" s="139" t="s">
        <v>15</v>
      </c>
    </row>
    <row r="25" spans="1:21" ht="15.75" customHeight="1" x14ac:dyDescent="0.3">
      <c r="A25" s="176" t="s">
        <v>378</v>
      </c>
      <c r="B25" s="177" t="s">
        <v>53</v>
      </c>
      <c r="C25" s="177">
        <f>meoh_c1_ti</f>
        <v>64</v>
      </c>
      <c r="D25" s="177" t="s">
        <v>47</v>
      </c>
      <c r="E25" s="177">
        <f>meoh_c1_to</f>
        <v>175</v>
      </c>
      <c r="F25" s="177" t="s">
        <v>47</v>
      </c>
      <c r="G25" s="177">
        <v>0</v>
      </c>
      <c r="H25" s="177" t="s">
        <v>30</v>
      </c>
      <c r="I25" s="177">
        <f>meoh_c1_ho</f>
        <v>1815.71</v>
      </c>
      <c r="J25" s="229" t="s">
        <v>30</v>
      </c>
      <c r="K25" s="307">
        <v>2.9</v>
      </c>
      <c r="L25" s="177" t="s">
        <v>504</v>
      </c>
      <c r="M25" s="311">
        <f>(I25-G25)/K25/(E25-C25)*3600</f>
        <v>20306.169617893756</v>
      </c>
      <c r="N25" s="233" t="s">
        <v>28</v>
      </c>
      <c r="O25" s="177">
        <f>dtmin_gas</f>
        <v>8</v>
      </c>
      <c r="P25" s="229" t="s">
        <v>47</v>
      </c>
      <c r="Q25" s="177">
        <v>0.1</v>
      </c>
      <c r="R25" s="291" t="s">
        <v>503</v>
      </c>
      <c r="S25" s="177" t="s">
        <v>55</v>
      </c>
      <c r="T25" s="231" t="s">
        <v>421</v>
      </c>
      <c r="U25" s="292" t="s">
        <v>449</v>
      </c>
    </row>
    <row r="26" spans="1:21" ht="15.75" customHeight="1" x14ac:dyDescent="0.3">
      <c r="A26" s="178" t="s">
        <v>379</v>
      </c>
      <c r="B26" s="179" t="s">
        <v>53</v>
      </c>
      <c r="C26" s="179">
        <f>meoh_c2_ti</f>
        <v>175</v>
      </c>
      <c r="D26" s="179" t="s">
        <v>47</v>
      </c>
      <c r="E26" s="179">
        <f>meoh_c2_to</f>
        <v>210</v>
      </c>
      <c r="F26" s="226" t="s">
        <v>47</v>
      </c>
      <c r="G26" s="179">
        <v>0</v>
      </c>
      <c r="H26" s="228" t="s">
        <v>30</v>
      </c>
      <c r="I26" s="179">
        <f>meoh_c2_ho</f>
        <v>575.53300000000002</v>
      </c>
      <c r="J26" s="228" t="s">
        <v>30</v>
      </c>
      <c r="K26" s="308">
        <v>2.9</v>
      </c>
      <c r="L26" s="179" t="s">
        <v>504</v>
      </c>
      <c r="M26" s="312">
        <f>(I26-G26)/K26/(E26-C26)*3600</f>
        <v>20412.99310344828</v>
      </c>
      <c r="N26" s="180" t="s">
        <v>28</v>
      </c>
      <c r="O26" s="179">
        <f>dtmin_gas</f>
        <v>8</v>
      </c>
      <c r="P26" s="179" t="s">
        <v>47</v>
      </c>
      <c r="Q26" s="179">
        <v>0.1</v>
      </c>
      <c r="R26" s="179" t="s">
        <v>503</v>
      </c>
      <c r="S26" s="179" t="s">
        <v>55</v>
      </c>
      <c r="T26" s="230" t="s">
        <v>421</v>
      </c>
      <c r="U26" s="293" t="s">
        <v>450</v>
      </c>
    </row>
    <row r="27" spans="1:21" ht="15.75" customHeight="1" x14ac:dyDescent="0.3">
      <c r="A27" s="178" t="s">
        <v>380</v>
      </c>
      <c r="B27" s="179" t="s">
        <v>54</v>
      </c>
      <c r="C27" s="179">
        <f>meoh_h1_ti</f>
        <v>86</v>
      </c>
      <c r="D27" s="179" t="s">
        <v>47</v>
      </c>
      <c r="E27" s="179">
        <f>meoh_h1_to</f>
        <v>35</v>
      </c>
      <c r="F27" s="226" t="s">
        <v>47</v>
      </c>
      <c r="G27" s="179">
        <f>meoh_h1_ho</f>
        <v>532.85900000000004</v>
      </c>
      <c r="H27" s="228" t="s">
        <v>30</v>
      </c>
      <c r="I27" s="179">
        <v>0</v>
      </c>
      <c r="J27" s="228" t="s">
        <v>30</v>
      </c>
      <c r="K27" s="308">
        <f>G27/M27*3600/(C27-E27)</f>
        <v>2.6399753272870874</v>
      </c>
      <c r="L27" s="179" t="s">
        <v>504</v>
      </c>
      <c r="M27" s="312">
        <f>SynGasCons</f>
        <v>14247.7</v>
      </c>
      <c r="N27" s="180" t="s">
        <v>28</v>
      </c>
      <c r="O27" s="179">
        <f>dtmin_gas</f>
        <v>8</v>
      </c>
      <c r="P27" s="179" t="s">
        <v>47</v>
      </c>
      <c r="Q27" s="179">
        <v>0.1</v>
      </c>
      <c r="R27" s="179" t="s">
        <v>503</v>
      </c>
      <c r="S27" s="179" t="s">
        <v>55</v>
      </c>
      <c r="T27" s="181" t="s">
        <v>421</v>
      </c>
      <c r="U27" s="293" t="s">
        <v>451</v>
      </c>
    </row>
    <row r="28" spans="1:21" ht="15.75" customHeight="1" x14ac:dyDescent="0.3">
      <c r="A28" s="178" t="s">
        <v>381</v>
      </c>
      <c r="B28" s="179" t="s">
        <v>54</v>
      </c>
      <c r="C28" s="179">
        <f>meoh_h2_ti</f>
        <v>97</v>
      </c>
      <c r="D28" s="179" t="s">
        <v>47</v>
      </c>
      <c r="E28" s="179">
        <f>meoh_h2_to</f>
        <v>35</v>
      </c>
      <c r="F28" s="226" t="s">
        <v>47</v>
      </c>
      <c r="G28" s="179">
        <f>meoh_h2_ho</f>
        <v>651.48900000000003</v>
      </c>
      <c r="H28" s="228" t="s">
        <v>30</v>
      </c>
      <c r="I28" s="179">
        <v>0</v>
      </c>
      <c r="J28" s="228" t="s">
        <v>30</v>
      </c>
      <c r="K28" s="308">
        <f>G28/M28*3600/(C28-E28)</f>
        <v>2.6550526434713744</v>
      </c>
      <c r="L28" s="179" t="s">
        <v>504</v>
      </c>
      <c r="M28" s="312">
        <f>SynGasCons</f>
        <v>14247.7</v>
      </c>
      <c r="N28" s="180" t="s">
        <v>28</v>
      </c>
      <c r="O28" s="179">
        <f>dtmin_gas</f>
        <v>8</v>
      </c>
      <c r="P28" s="179" t="s">
        <v>47</v>
      </c>
      <c r="Q28" s="179">
        <v>0.1</v>
      </c>
      <c r="R28" s="179" t="s">
        <v>503</v>
      </c>
      <c r="S28" s="179" t="s">
        <v>55</v>
      </c>
      <c r="T28" s="181" t="s">
        <v>421</v>
      </c>
      <c r="U28" s="293" t="s">
        <v>452</v>
      </c>
    </row>
    <row r="29" spans="1:21" ht="15.75" customHeight="1" x14ac:dyDescent="0.3">
      <c r="A29" s="178" t="s">
        <v>382</v>
      </c>
      <c r="B29" s="179" t="s">
        <v>54</v>
      </c>
      <c r="C29" s="179">
        <f>meoh_h5_ti</f>
        <v>210</v>
      </c>
      <c r="D29" s="179" t="s">
        <v>47</v>
      </c>
      <c r="E29" s="179">
        <f>meoh_h5_to</f>
        <v>153</v>
      </c>
      <c r="F29" s="226" t="s">
        <v>47</v>
      </c>
      <c r="G29" s="179">
        <f>meoh_h5_ho</f>
        <v>1815.71</v>
      </c>
      <c r="H29" s="228" t="s">
        <v>30</v>
      </c>
      <c r="I29" s="179">
        <v>0</v>
      </c>
      <c r="J29" s="228" t="s">
        <v>30</v>
      </c>
      <c r="K29" s="308">
        <v>2.2000000000000002</v>
      </c>
      <c r="L29" s="179" t="s">
        <v>504</v>
      </c>
      <c r="M29" s="312">
        <f>((I29-G29)/K29/(E29-C29))*3600</f>
        <v>52125.645933014348</v>
      </c>
      <c r="N29" s="180" t="s">
        <v>28</v>
      </c>
      <c r="O29" s="179">
        <f>dtmin_2ph</f>
        <v>2</v>
      </c>
      <c r="P29" s="179" t="s">
        <v>47</v>
      </c>
      <c r="Q29" s="179">
        <v>1</v>
      </c>
      <c r="R29" s="179" t="s">
        <v>503</v>
      </c>
      <c r="S29" s="179" t="s">
        <v>55</v>
      </c>
      <c r="T29" s="181" t="s">
        <v>421</v>
      </c>
      <c r="U29" s="293" t="s">
        <v>453</v>
      </c>
    </row>
    <row r="30" spans="1:21" ht="15.75" customHeight="1" x14ac:dyDescent="0.3">
      <c r="A30" s="178" t="s">
        <v>383</v>
      </c>
      <c r="B30" s="179" t="s">
        <v>54</v>
      </c>
      <c r="C30" s="179">
        <f>meoh_h6_ti</f>
        <v>134</v>
      </c>
      <c r="D30" s="179" t="s">
        <v>47</v>
      </c>
      <c r="E30" s="179">
        <f>meoh_h6_to</f>
        <v>30</v>
      </c>
      <c r="F30" s="226" t="s">
        <v>47</v>
      </c>
      <c r="G30" s="179">
        <f>meoh_h6_ho</f>
        <v>4192.08</v>
      </c>
      <c r="H30" s="228" t="s">
        <v>30</v>
      </c>
      <c r="I30" s="179">
        <v>0</v>
      </c>
      <c r="J30" s="228" t="s">
        <v>30</v>
      </c>
      <c r="K30" s="308">
        <v>2.2000000000000002</v>
      </c>
      <c r="L30" s="179" t="s">
        <v>504</v>
      </c>
      <c r="M30" s="312">
        <f>((I30-G30)/K30/(E30-C30))*3600</f>
        <v>65959.3006993007</v>
      </c>
      <c r="N30" s="180" t="s">
        <v>28</v>
      </c>
      <c r="O30" s="179">
        <f>dtmin_2ph</f>
        <v>2</v>
      </c>
      <c r="P30" s="179" t="s">
        <v>47</v>
      </c>
      <c r="Q30" s="179">
        <v>1</v>
      </c>
      <c r="R30" s="179" t="s">
        <v>503</v>
      </c>
      <c r="S30" s="179" t="s">
        <v>55</v>
      </c>
      <c r="T30" s="181" t="s">
        <v>421</v>
      </c>
      <c r="U30" s="293" t="s">
        <v>454</v>
      </c>
    </row>
    <row r="31" spans="1:21" ht="15.75" customHeight="1" x14ac:dyDescent="0.3">
      <c r="A31" s="178" t="s">
        <v>384</v>
      </c>
      <c r="B31" s="179" t="s">
        <v>54</v>
      </c>
      <c r="C31" s="179">
        <f>meoh_h7_ti</f>
        <v>210</v>
      </c>
      <c r="D31" s="179" t="s">
        <v>47</v>
      </c>
      <c r="E31" s="179">
        <f>meoh_h7_to</f>
        <v>210</v>
      </c>
      <c r="F31" s="226" t="s">
        <v>47</v>
      </c>
      <c r="G31" s="179">
        <f>meoh_h7_ho</f>
        <v>10746.2647</v>
      </c>
      <c r="H31" s="228" t="s">
        <v>30</v>
      </c>
      <c r="I31" s="179">
        <v>0</v>
      </c>
      <c r="J31" s="228" t="s">
        <v>30</v>
      </c>
      <c r="K31" s="308" t="s">
        <v>31</v>
      </c>
      <c r="L31" s="179" t="s">
        <v>31</v>
      </c>
      <c r="M31" s="312" t="s">
        <v>31</v>
      </c>
      <c r="N31" s="180" t="s">
        <v>31</v>
      </c>
      <c r="O31" s="179">
        <f>dtmin_2ph</f>
        <v>2</v>
      </c>
      <c r="P31" s="179" t="s">
        <v>47</v>
      </c>
      <c r="Q31" s="179">
        <v>1</v>
      </c>
      <c r="R31" s="179" t="s">
        <v>503</v>
      </c>
      <c r="S31" s="179" t="s">
        <v>55</v>
      </c>
      <c r="T31" s="181" t="s">
        <v>421</v>
      </c>
      <c r="U31" s="293" t="s">
        <v>455</v>
      </c>
    </row>
    <row r="32" spans="1:21" ht="15.75" customHeight="1" x14ac:dyDescent="0.3">
      <c r="A32" s="178" t="s">
        <v>385</v>
      </c>
      <c r="B32" s="179" t="s">
        <v>54</v>
      </c>
      <c r="C32" s="179">
        <f>meoh_h8_ti</f>
        <v>54</v>
      </c>
      <c r="D32" s="179" t="s">
        <v>47</v>
      </c>
      <c r="E32" s="179">
        <f>meoh_h8_to</f>
        <v>54</v>
      </c>
      <c r="F32" s="226" t="s">
        <v>47</v>
      </c>
      <c r="G32" s="179">
        <f>meoh_h8_ho</f>
        <v>5324.68</v>
      </c>
      <c r="H32" s="228" t="s">
        <v>30</v>
      </c>
      <c r="I32" s="179">
        <v>0</v>
      </c>
      <c r="J32" s="228" t="s">
        <v>30</v>
      </c>
      <c r="K32" s="308">
        <v>1060</v>
      </c>
      <c r="L32" s="179" t="s">
        <v>76</v>
      </c>
      <c r="M32" s="312">
        <f>((G32)/K32)*3600</f>
        <v>18083.818867924532</v>
      </c>
      <c r="N32" s="180" t="s">
        <v>28</v>
      </c>
      <c r="O32" s="179">
        <f>dtmin_gas</f>
        <v>8</v>
      </c>
      <c r="P32" s="179" t="s">
        <v>47</v>
      </c>
      <c r="Q32" s="179">
        <v>0.1</v>
      </c>
      <c r="R32" s="179" t="s">
        <v>503</v>
      </c>
      <c r="S32" s="179" t="s">
        <v>55</v>
      </c>
      <c r="T32" s="181" t="s">
        <v>421</v>
      </c>
      <c r="U32" s="293" t="s">
        <v>456</v>
      </c>
    </row>
    <row r="33" spans="1:21" ht="14.25" customHeight="1" x14ac:dyDescent="0.3">
      <c r="A33" s="178" t="s">
        <v>386</v>
      </c>
      <c r="B33" s="179" t="s">
        <v>53</v>
      </c>
      <c r="C33" s="179">
        <f>meoh_h9_ti</f>
        <v>67</v>
      </c>
      <c r="D33" s="179" t="s">
        <v>47</v>
      </c>
      <c r="E33" s="179">
        <f>meoh_h9_to</f>
        <v>67</v>
      </c>
      <c r="F33" s="226" t="s">
        <v>47</v>
      </c>
      <c r="G33" s="179">
        <v>0</v>
      </c>
      <c r="H33" s="228" t="s">
        <v>30</v>
      </c>
      <c r="I33" s="179">
        <v>5643.52</v>
      </c>
      <c r="J33" s="228" t="s">
        <v>30</v>
      </c>
      <c r="K33" s="308">
        <v>1100</v>
      </c>
      <c r="L33" s="179" t="s">
        <v>76</v>
      </c>
      <c r="M33" s="312">
        <f>I33/K33*3600</f>
        <v>18469.70181818182</v>
      </c>
      <c r="N33" s="180" t="s">
        <v>28</v>
      </c>
      <c r="O33" s="179">
        <f>dtmin_gas</f>
        <v>8</v>
      </c>
      <c r="P33" s="179" t="s">
        <v>47</v>
      </c>
      <c r="Q33" s="179">
        <v>0.1</v>
      </c>
      <c r="R33" s="179" t="s">
        <v>503</v>
      </c>
      <c r="S33" s="179" t="s">
        <v>55</v>
      </c>
      <c r="T33" s="181" t="s">
        <v>421</v>
      </c>
      <c r="U33" s="294" t="s">
        <v>457</v>
      </c>
    </row>
    <row r="34" spans="1:21" ht="14.25" customHeight="1" x14ac:dyDescent="0.3">
      <c r="A34" s="178" t="s">
        <v>387</v>
      </c>
      <c r="B34" s="179" t="s">
        <v>54</v>
      </c>
      <c r="C34" s="179">
        <f>meoh_h10_ti</f>
        <v>30</v>
      </c>
      <c r="D34" s="179" t="s">
        <v>47</v>
      </c>
      <c r="E34" s="179">
        <f>meoh_h10_to</f>
        <v>30</v>
      </c>
      <c r="F34" s="226" t="s">
        <v>47</v>
      </c>
      <c r="G34" s="179">
        <f>meoh_h10_ho</f>
        <v>12.496</v>
      </c>
      <c r="H34" s="228" t="s">
        <v>30</v>
      </c>
      <c r="I34" s="179">
        <v>0</v>
      </c>
      <c r="J34" s="228" t="s">
        <v>30</v>
      </c>
      <c r="K34" s="308">
        <v>1150</v>
      </c>
      <c r="L34" s="179" t="s">
        <v>76</v>
      </c>
      <c r="M34" s="312">
        <f>((G34)/K34)*3600</f>
        <v>39.117913043478261</v>
      </c>
      <c r="N34" s="180" t="s">
        <v>28</v>
      </c>
      <c r="O34" s="179">
        <f>dtmin_gas</f>
        <v>8</v>
      </c>
      <c r="P34" s="179" t="s">
        <v>47</v>
      </c>
      <c r="Q34" s="179">
        <v>0.1</v>
      </c>
      <c r="R34" s="179" t="s">
        <v>503</v>
      </c>
      <c r="S34" s="179" t="s">
        <v>55</v>
      </c>
      <c r="T34" s="181" t="s">
        <v>421</v>
      </c>
      <c r="U34" s="294" t="s">
        <v>458</v>
      </c>
    </row>
    <row r="35" spans="1:21" ht="16.8" customHeight="1" x14ac:dyDescent="0.3">
      <c r="A35" s="178" t="s">
        <v>388</v>
      </c>
      <c r="B35" s="179" t="s">
        <v>54</v>
      </c>
      <c r="C35" s="179">
        <f>meoh_h11_ti</f>
        <v>54</v>
      </c>
      <c r="D35" s="179" t="s">
        <v>47</v>
      </c>
      <c r="E35" s="179">
        <f>meoh_h11_to</f>
        <v>25</v>
      </c>
      <c r="F35" s="226" t="s">
        <v>47</v>
      </c>
      <c r="G35" s="179">
        <f>meoh_h11_ho</f>
        <v>344.68</v>
      </c>
      <c r="H35" s="228" t="s">
        <v>30</v>
      </c>
      <c r="I35" s="179">
        <v>0</v>
      </c>
      <c r="J35" s="228" t="s">
        <v>30</v>
      </c>
      <c r="K35" s="308">
        <f>G35/M35*3600/(C35-E35)</f>
        <v>3.5353688459666786</v>
      </c>
      <c r="L35" s="179" t="s">
        <v>504</v>
      </c>
      <c r="M35" s="312">
        <f>meohmarketotal</f>
        <v>12102.8</v>
      </c>
      <c r="N35" s="180" t="s">
        <v>28</v>
      </c>
      <c r="O35" s="179">
        <f>dtmin_liq</f>
        <v>5</v>
      </c>
      <c r="P35" s="179" t="s">
        <v>47</v>
      </c>
      <c r="Q35" s="179">
        <v>0.5</v>
      </c>
      <c r="R35" s="179" t="s">
        <v>503</v>
      </c>
      <c r="S35" s="179" t="s">
        <v>55</v>
      </c>
      <c r="T35" s="181" t="s">
        <v>421</v>
      </c>
      <c r="U35" s="294" t="s">
        <v>459</v>
      </c>
    </row>
    <row r="36" spans="1:21" ht="16.8" customHeight="1" x14ac:dyDescent="0.3">
      <c r="A36" s="225" t="s">
        <v>389</v>
      </c>
      <c r="B36" s="226" t="s">
        <v>54</v>
      </c>
      <c r="C36" s="226">
        <f>meoh_h12_ti</f>
        <v>67</v>
      </c>
      <c r="D36" s="179" t="s">
        <v>47</v>
      </c>
      <c r="E36" s="226">
        <f>meoh_h12_to</f>
        <v>25</v>
      </c>
      <c r="F36" s="226" t="s">
        <v>47</v>
      </c>
      <c r="G36" s="226">
        <f>meoh_h12_ho</f>
        <v>2.65</v>
      </c>
      <c r="H36" s="228" t="s">
        <v>30</v>
      </c>
      <c r="I36" s="226">
        <v>0</v>
      </c>
      <c r="J36" s="228" t="s">
        <v>30</v>
      </c>
      <c r="K36" s="309">
        <v>2.5</v>
      </c>
      <c r="L36" s="179" t="s">
        <v>504</v>
      </c>
      <c r="M36" s="312">
        <f>((I36-G36)/K36/(E36-C36))*3600</f>
        <v>90.857142857142861</v>
      </c>
      <c r="N36" s="180" t="s">
        <v>28</v>
      </c>
      <c r="O36" s="179">
        <f>dtmin_liq</f>
        <v>5</v>
      </c>
      <c r="P36" s="179" t="s">
        <v>47</v>
      </c>
      <c r="Q36" s="226">
        <v>0.5</v>
      </c>
      <c r="R36" s="226" t="s">
        <v>503</v>
      </c>
      <c r="S36" s="226" t="s">
        <v>55</v>
      </c>
      <c r="T36" s="181" t="s">
        <v>421</v>
      </c>
      <c r="U36" s="295" t="s">
        <v>460</v>
      </c>
    </row>
    <row r="37" spans="1:21" ht="16.8" customHeight="1" x14ac:dyDescent="0.3">
      <c r="A37" s="239" t="s">
        <v>423</v>
      </c>
      <c r="B37" s="226" t="s">
        <v>54</v>
      </c>
      <c r="C37" s="226">
        <f>meoh_h13_ti</f>
        <v>1000</v>
      </c>
      <c r="D37" s="179" t="s">
        <v>47</v>
      </c>
      <c r="E37" s="226">
        <f>meoh_h13_to</f>
        <v>1000</v>
      </c>
      <c r="F37" s="226" t="s">
        <v>47</v>
      </c>
      <c r="G37" s="226">
        <f>meoh_h13_ho</f>
        <v>3634</v>
      </c>
      <c r="H37" s="228" t="s">
        <v>30</v>
      </c>
      <c r="I37" s="226">
        <v>0</v>
      </c>
      <c r="J37" s="228" t="s">
        <v>30</v>
      </c>
      <c r="K37" s="309" t="s">
        <v>31</v>
      </c>
      <c r="L37" s="179" t="s">
        <v>31</v>
      </c>
      <c r="M37" s="312" t="s">
        <v>31</v>
      </c>
      <c r="N37" s="240" t="s">
        <v>31</v>
      </c>
      <c r="O37" s="226">
        <f>dtmin_gas</f>
        <v>8</v>
      </c>
      <c r="P37" s="179" t="s">
        <v>47</v>
      </c>
      <c r="Q37" s="226">
        <v>0.1</v>
      </c>
      <c r="R37" s="226" t="s">
        <v>503</v>
      </c>
      <c r="S37" s="226" t="s">
        <v>55</v>
      </c>
      <c r="T37" s="241" t="s">
        <v>421</v>
      </c>
      <c r="U37" s="296" t="s">
        <v>461</v>
      </c>
    </row>
    <row r="38" spans="1:21" ht="15.75" customHeight="1" thickBot="1" x14ac:dyDescent="0.35">
      <c r="A38" s="242" t="s">
        <v>424</v>
      </c>
      <c r="B38" s="243" t="s">
        <v>54</v>
      </c>
      <c r="C38" s="243">
        <f>meoh_h14_ti</f>
        <v>1000</v>
      </c>
      <c r="D38" s="243" t="s">
        <v>47</v>
      </c>
      <c r="E38" s="243">
        <f>meoh_h14_to</f>
        <v>150</v>
      </c>
      <c r="F38" s="243" t="s">
        <v>47</v>
      </c>
      <c r="G38" s="243">
        <f>meoh_h14_ho</f>
        <v>2190</v>
      </c>
      <c r="H38" s="244" t="s">
        <v>30</v>
      </c>
      <c r="I38" s="243">
        <v>0</v>
      </c>
      <c r="J38" s="244" t="s">
        <v>30</v>
      </c>
      <c r="K38" s="310">
        <v>1.1000000000000001</v>
      </c>
      <c r="L38" s="243" t="s">
        <v>504</v>
      </c>
      <c r="M38" s="310">
        <f>((I38-G38)/K38/(E38-C38))*3600</f>
        <v>8432.0855614973261</v>
      </c>
      <c r="N38" s="243" t="s">
        <v>28</v>
      </c>
      <c r="O38" s="243">
        <v>8</v>
      </c>
      <c r="P38" s="243" t="s">
        <v>47</v>
      </c>
      <c r="Q38" s="243">
        <v>0.1</v>
      </c>
      <c r="R38" s="243" t="s">
        <v>503</v>
      </c>
      <c r="S38" s="243" t="s">
        <v>55</v>
      </c>
      <c r="T38" s="245" t="s">
        <v>421</v>
      </c>
      <c r="U38" s="297" t="s">
        <v>462</v>
      </c>
    </row>
    <row r="39" spans="1:21" ht="15.75" customHeight="1" thickBot="1" x14ac:dyDescent="0.35">
      <c r="A39" s="43"/>
      <c r="B39" s="43"/>
      <c r="C39" s="43"/>
      <c r="D39" s="43"/>
      <c r="E39" s="43"/>
      <c r="F39" s="43"/>
      <c r="G39" s="43"/>
      <c r="H39" s="43"/>
      <c r="I39" s="43"/>
    </row>
    <row r="40" spans="1:21" ht="15.75" customHeight="1" thickBot="1" x14ac:dyDescent="0.35">
      <c r="A40" s="108" t="s">
        <v>60</v>
      </c>
      <c r="B40" s="217"/>
      <c r="C40" s="81"/>
      <c r="D40" s="37"/>
      <c r="E40" s="38"/>
      <c r="F40" s="38"/>
      <c r="G40" s="38"/>
      <c r="H40" s="38"/>
      <c r="I40" s="83"/>
    </row>
    <row r="41" spans="1:21" ht="61.8" customHeight="1" thickBot="1" x14ac:dyDescent="0.35">
      <c r="A41" s="290" t="s">
        <v>466</v>
      </c>
      <c r="B41" s="227"/>
      <c r="C41" s="81"/>
      <c r="D41" s="37"/>
      <c r="E41" s="38"/>
      <c r="F41" s="38"/>
      <c r="G41" s="38"/>
      <c r="H41" s="38"/>
      <c r="I41" s="6"/>
    </row>
    <row r="42" spans="1:21" ht="15.75" customHeight="1" thickBot="1" x14ac:dyDescent="0.35">
      <c r="A42" s="65"/>
      <c r="B42" s="56"/>
      <c r="C42" s="56"/>
      <c r="D42" s="56"/>
      <c r="E42" s="66"/>
      <c r="F42" s="43"/>
      <c r="G42" s="43"/>
      <c r="H42" s="43"/>
      <c r="I42" s="43"/>
    </row>
    <row r="43" spans="1:21" ht="15.75" customHeight="1" thickBot="1" x14ac:dyDescent="0.35">
      <c r="A43" s="134" t="s">
        <v>56</v>
      </c>
      <c r="B43" s="135"/>
      <c r="C43" s="135"/>
      <c r="D43" s="135"/>
      <c r="E43" s="135"/>
      <c r="F43" s="135"/>
      <c r="G43" s="136"/>
      <c r="H43" s="67" t="s">
        <v>141</v>
      </c>
      <c r="I43" s="45"/>
    </row>
    <row r="44" spans="1:21" ht="15.75" customHeight="1" thickBot="1" x14ac:dyDescent="0.35">
      <c r="A44" s="112" t="s">
        <v>68</v>
      </c>
      <c r="B44" s="113" t="s">
        <v>18</v>
      </c>
      <c r="C44" s="113" t="s">
        <v>122</v>
      </c>
      <c r="D44" s="113" t="s">
        <v>123</v>
      </c>
      <c r="E44" s="113" t="s">
        <v>69</v>
      </c>
      <c r="F44" s="113" t="s">
        <v>49</v>
      </c>
      <c r="G44" s="115" t="s">
        <v>168</v>
      </c>
      <c r="H44" s="69"/>
      <c r="I44" s="68"/>
    </row>
    <row r="45" spans="1:21" ht="15" customHeight="1" x14ac:dyDescent="0.3">
      <c r="A45" s="281" t="s">
        <v>467</v>
      </c>
      <c r="B45" s="282" t="s">
        <v>468</v>
      </c>
      <c r="C45" s="282" t="s">
        <v>469</v>
      </c>
      <c r="D45" s="282" t="s">
        <v>470</v>
      </c>
      <c r="E45" s="282" t="s">
        <v>471</v>
      </c>
      <c r="F45" s="282">
        <v>611.24300000000005</v>
      </c>
      <c r="G45" s="283" t="s">
        <v>30</v>
      </c>
      <c r="H45" s="277"/>
    </row>
    <row r="46" spans="1:21" ht="15" customHeight="1" x14ac:dyDescent="0.3">
      <c r="A46" s="284"/>
      <c r="B46" s="285"/>
      <c r="C46" s="285"/>
      <c r="D46" s="285"/>
      <c r="E46" s="285" t="s">
        <v>472</v>
      </c>
      <c r="F46" s="285" t="s">
        <v>473</v>
      </c>
      <c r="G46" s="248" t="s">
        <v>31</v>
      </c>
      <c r="H46" s="277"/>
    </row>
    <row r="47" spans="1:21" ht="15" customHeight="1" x14ac:dyDescent="0.3">
      <c r="A47" s="284"/>
      <c r="B47" s="285"/>
      <c r="C47" s="285"/>
      <c r="D47" s="285"/>
      <c r="E47" s="285" t="s">
        <v>474</v>
      </c>
      <c r="F47" s="285">
        <v>20</v>
      </c>
      <c r="G47" s="248" t="s">
        <v>475</v>
      </c>
      <c r="H47" s="278"/>
    </row>
    <row r="48" spans="1:21" ht="15" customHeight="1" x14ac:dyDescent="0.3">
      <c r="A48" s="284"/>
      <c r="B48" s="285"/>
      <c r="C48" s="285"/>
      <c r="D48" s="285"/>
      <c r="E48" s="285" t="s">
        <v>476</v>
      </c>
      <c r="F48" s="285">
        <v>2025</v>
      </c>
      <c r="G48" s="248" t="s">
        <v>57</v>
      </c>
      <c r="H48" s="279"/>
    </row>
    <row r="49" spans="1:8" ht="15" customHeight="1" x14ac:dyDescent="0.3">
      <c r="A49" s="284" t="s">
        <v>477</v>
      </c>
      <c r="B49" s="285" t="s">
        <v>468</v>
      </c>
      <c r="C49" s="285" t="s">
        <v>469</v>
      </c>
      <c r="D49" s="285" t="s">
        <v>470</v>
      </c>
      <c r="E49" s="285" t="s">
        <v>471</v>
      </c>
      <c r="F49" s="285">
        <v>635.24</v>
      </c>
      <c r="G49" s="248" t="s">
        <v>30</v>
      </c>
      <c r="H49" s="277"/>
    </row>
    <row r="50" spans="1:8" ht="15" customHeight="1" x14ac:dyDescent="0.3">
      <c r="A50" s="284"/>
      <c r="B50" s="285"/>
      <c r="C50" s="285"/>
      <c r="D50" s="285"/>
      <c r="E50" s="285" t="s">
        <v>472</v>
      </c>
      <c r="F50" s="285" t="s">
        <v>473</v>
      </c>
      <c r="G50" s="248" t="s">
        <v>31</v>
      </c>
      <c r="H50" s="277"/>
    </row>
    <row r="51" spans="1:8" ht="15" customHeight="1" thickBot="1" x14ac:dyDescent="0.35">
      <c r="A51" s="284"/>
      <c r="B51" s="285"/>
      <c r="C51" s="285"/>
      <c r="D51" s="285"/>
      <c r="E51" s="285" t="s">
        <v>474</v>
      </c>
      <c r="F51" s="285">
        <v>20</v>
      </c>
      <c r="G51" s="248" t="s">
        <v>475</v>
      </c>
      <c r="H51" s="280"/>
    </row>
    <row r="52" spans="1:8" ht="15" customHeight="1" x14ac:dyDescent="0.3">
      <c r="A52" s="284"/>
      <c r="B52" s="285"/>
      <c r="C52" s="285"/>
      <c r="D52" s="285"/>
      <c r="E52" s="285" t="s">
        <v>476</v>
      </c>
      <c r="F52" s="285">
        <v>2025</v>
      </c>
      <c r="G52" s="248" t="s">
        <v>57</v>
      </c>
      <c r="H52" s="277"/>
    </row>
    <row r="53" spans="1:8" ht="15" customHeight="1" x14ac:dyDescent="0.3">
      <c r="A53" s="284" t="s">
        <v>478</v>
      </c>
      <c r="B53" s="285" t="s">
        <v>479</v>
      </c>
      <c r="C53" s="285" t="s">
        <v>480</v>
      </c>
      <c r="D53" s="285" t="s">
        <v>470</v>
      </c>
      <c r="E53" s="285" t="s">
        <v>481</v>
      </c>
      <c r="F53" s="285" t="s">
        <v>31</v>
      </c>
      <c r="G53" s="248" t="s">
        <v>482</v>
      </c>
      <c r="H53" s="277"/>
    </row>
    <row r="54" spans="1:8" ht="15" customHeight="1" x14ac:dyDescent="0.3">
      <c r="A54" s="284"/>
      <c r="B54" s="285"/>
      <c r="C54" s="285"/>
      <c r="D54" s="285"/>
      <c r="E54" s="285" t="s">
        <v>483</v>
      </c>
      <c r="F54" s="285">
        <v>90</v>
      </c>
      <c r="G54" s="248" t="s">
        <v>392</v>
      </c>
      <c r="H54" s="211"/>
    </row>
    <row r="55" spans="1:8" ht="15" customHeight="1" x14ac:dyDescent="0.3">
      <c r="A55" s="284"/>
      <c r="B55" s="285"/>
      <c r="C55" s="285"/>
      <c r="D55" s="285"/>
      <c r="E55" s="285" t="s">
        <v>472</v>
      </c>
      <c r="F55" s="285" t="s">
        <v>484</v>
      </c>
      <c r="G55" s="248" t="s">
        <v>31</v>
      </c>
      <c r="H55" s="277"/>
    </row>
    <row r="56" spans="1:8" ht="15" customHeight="1" x14ac:dyDescent="0.3">
      <c r="A56" s="284"/>
      <c r="B56" s="285"/>
      <c r="C56" s="285"/>
      <c r="D56" s="285"/>
      <c r="E56" s="285" t="s">
        <v>474</v>
      </c>
      <c r="F56" s="285">
        <v>20</v>
      </c>
      <c r="G56" s="248" t="s">
        <v>475</v>
      </c>
      <c r="H56" s="277"/>
    </row>
    <row r="57" spans="1:8" ht="15" customHeight="1" x14ac:dyDescent="0.3">
      <c r="A57" s="284"/>
      <c r="B57" s="285"/>
      <c r="C57" s="285"/>
      <c r="D57" s="285"/>
      <c r="E57" s="285" t="s">
        <v>476</v>
      </c>
      <c r="F57" s="285">
        <v>2025</v>
      </c>
      <c r="G57" s="248" t="s">
        <v>57</v>
      </c>
      <c r="H57" s="277"/>
    </row>
    <row r="58" spans="1:8" ht="15" customHeight="1" x14ac:dyDescent="0.3">
      <c r="A58" s="284" t="s">
        <v>485</v>
      </c>
      <c r="B58" s="285" t="s">
        <v>486</v>
      </c>
      <c r="C58" s="285" t="s">
        <v>487</v>
      </c>
      <c r="D58" s="285" t="s">
        <v>470</v>
      </c>
      <c r="E58" s="285" t="s">
        <v>488</v>
      </c>
      <c r="F58" s="285" t="s">
        <v>31</v>
      </c>
      <c r="G58" s="248" t="s">
        <v>489</v>
      </c>
      <c r="H58" s="211"/>
    </row>
    <row r="59" spans="1:8" ht="15" customHeight="1" x14ac:dyDescent="0.3">
      <c r="A59" s="284"/>
      <c r="B59" s="285"/>
      <c r="C59" s="285"/>
      <c r="D59" s="285"/>
      <c r="E59" s="285" t="s">
        <v>483</v>
      </c>
      <c r="F59" s="285">
        <v>1</v>
      </c>
      <c r="G59" s="248" t="s">
        <v>392</v>
      </c>
      <c r="H59" s="211"/>
    </row>
    <row r="60" spans="1:8" ht="15" customHeight="1" x14ac:dyDescent="0.3">
      <c r="A60" s="284"/>
      <c r="B60" s="285"/>
      <c r="C60" s="285"/>
      <c r="D60" s="285"/>
      <c r="E60" s="285" t="s">
        <v>472</v>
      </c>
      <c r="F60" s="285" t="s">
        <v>484</v>
      </c>
      <c r="G60" s="248" t="s">
        <v>31</v>
      </c>
      <c r="H60" s="211"/>
    </row>
    <row r="61" spans="1:8" ht="15" customHeight="1" x14ac:dyDescent="0.3">
      <c r="A61" s="284"/>
      <c r="B61" s="285"/>
      <c r="C61" s="285"/>
      <c r="D61" s="285"/>
      <c r="E61" s="285" t="s">
        <v>474</v>
      </c>
      <c r="F61" s="285">
        <v>20</v>
      </c>
      <c r="G61" s="248" t="s">
        <v>475</v>
      </c>
      <c r="H61" s="211"/>
    </row>
    <row r="62" spans="1:8" ht="15" customHeight="1" x14ac:dyDescent="0.3">
      <c r="A62" s="284"/>
      <c r="B62" s="285"/>
      <c r="C62" s="285"/>
      <c r="D62" s="285"/>
      <c r="E62" s="285" t="s">
        <v>476</v>
      </c>
      <c r="F62" s="285">
        <v>2025</v>
      </c>
      <c r="G62" s="248" t="s">
        <v>57</v>
      </c>
      <c r="H62" s="211"/>
    </row>
    <row r="63" spans="1:8" ht="15" customHeight="1" x14ac:dyDescent="0.3">
      <c r="A63" s="284" t="s">
        <v>490</v>
      </c>
      <c r="B63" s="285" t="s">
        <v>491</v>
      </c>
      <c r="C63" s="285" t="s">
        <v>31</v>
      </c>
      <c r="D63" s="285" t="s">
        <v>492</v>
      </c>
      <c r="E63" s="285" t="s">
        <v>493</v>
      </c>
      <c r="F63" s="285">
        <v>18300000</v>
      </c>
      <c r="G63" s="248" t="s">
        <v>494</v>
      </c>
      <c r="H63" s="211"/>
    </row>
    <row r="64" spans="1:8" ht="15" customHeight="1" thickBot="1" x14ac:dyDescent="0.35">
      <c r="A64" s="286"/>
      <c r="B64" s="287"/>
      <c r="C64" s="287"/>
      <c r="D64" s="287"/>
      <c r="E64" s="288" t="s">
        <v>474</v>
      </c>
      <c r="F64" s="287">
        <v>40</v>
      </c>
      <c r="G64" s="289" t="s">
        <v>475</v>
      </c>
      <c r="H64" s="211"/>
    </row>
    <row r="65" spans="1:7" ht="31.2" customHeight="1" thickBot="1" x14ac:dyDescent="0.35">
      <c r="A65" s="109"/>
      <c r="B65" s="70"/>
      <c r="C65" s="211"/>
      <c r="D65" s="70"/>
      <c r="E65" s="70"/>
      <c r="F65" s="70"/>
      <c r="G65" s="70"/>
    </row>
    <row r="66" spans="1:7" ht="15" customHeight="1" thickBot="1" x14ac:dyDescent="0.35">
      <c r="A66" s="108" t="s">
        <v>61</v>
      </c>
      <c r="B66" s="81"/>
      <c r="C66" s="81"/>
      <c r="D66" s="68"/>
      <c r="E66" s="68"/>
      <c r="F66" s="68"/>
      <c r="G66" s="68"/>
    </row>
    <row r="67" spans="1:7" ht="30" customHeight="1" thickBot="1" x14ac:dyDescent="0.35">
      <c r="A67" s="107" t="s">
        <v>58</v>
      </c>
      <c r="B67" s="81"/>
      <c r="C67" s="81"/>
      <c r="D67" s="68"/>
      <c r="E67" s="68"/>
      <c r="F67" s="68"/>
      <c r="G67" s="68"/>
    </row>
    <row r="68" spans="1:7" ht="15" customHeight="1" thickBot="1" x14ac:dyDescent="0.35">
      <c r="A68" s="71"/>
      <c r="B68" s="72"/>
      <c r="C68" s="60"/>
      <c r="D68" s="72"/>
      <c r="E68" s="72"/>
      <c r="F68" s="72"/>
      <c r="G68" s="72"/>
    </row>
    <row r="69" spans="1:7" ht="15" customHeight="1" thickBot="1" x14ac:dyDescent="0.35">
      <c r="A69" s="73" t="s">
        <v>73</v>
      </c>
      <c r="B69" s="74"/>
      <c r="C69" s="75"/>
    </row>
    <row r="70" spans="1:7" ht="15" customHeight="1" thickBot="1" x14ac:dyDescent="0.35">
      <c r="A70" s="160" t="s">
        <v>70</v>
      </c>
      <c r="B70" s="161" t="s">
        <v>71</v>
      </c>
      <c r="C70" s="68"/>
      <c r="D70" s="68"/>
      <c r="E70" s="68"/>
      <c r="F70" s="68"/>
      <c r="G70" s="68"/>
    </row>
    <row r="71" spans="1:7" ht="15" customHeight="1" thickBot="1" x14ac:dyDescent="0.35">
      <c r="A71" s="162">
        <v>0</v>
      </c>
      <c r="B71" s="163">
        <v>0</v>
      </c>
      <c r="C71" s="68"/>
      <c r="D71" s="68"/>
      <c r="E71" s="68"/>
      <c r="F71" s="68"/>
      <c r="G71" s="68"/>
    </row>
    <row r="72" spans="1:7" ht="15" customHeight="1" x14ac:dyDescent="0.3">
      <c r="D72" s="68"/>
      <c r="E72" s="68"/>
      <c r="F72" s="68"/>
      <c r="G72" s="68"/>
    </row>
  </sheetData>
  <dataValidations count="4">
    <dataValidation type="list" allowBlank="1" showErrorMessage="1" sqref="C15:C18" xr:uid="{00000000-0002-0000-0400-000000000000}">
      <formula1>"IN,OUT"</formula1>
    </dataValidation>
    <dataValidation type="list" allowBlank="1" showErrorMessage="1" sqref="B15:B18" xr:uid="{00000000-0002-0000-0400-000001000000}">
      <formula1>"MASS,ELECTRICITY,EMISSIONS,ENERGY"</formula1>
    </dataValidation>
    <dataValidation type="list" allowBlank="1" showErrorMessage="1" sqref="B25:B38" xr:uid="{00000000-0002-0000-0400-000002000000}">
      <formula1>"Cold,Hot"</formula1>
    </dataValidation>
    <dataValidation type="list" errorStyle="information" allowBlank="1" showInputMessage="1" showErrorMessage="1" sqref="H25:H38 F25:F38 R25:R38 D25:D38 A12 E15:E18 G15:G18 I15:I18 J25:J38 P25:P38 N25:N38 L25:L38" xr:uid="{2A603910-2385-4B6D-99B4-D08DA5FE1773}">
      <formula1>"-,kg,s,m,K,°C,W,bar,kg/h,t/h,kW,kW/m2K,W/m2K,kJ/kgK,kJ/kg,m3/h,%,eur,eur/y,kWel/kWth,year"</formula1>
    </dataValidation>
  </dataValidations>
  <pageMargins left="0.7" right="0.7" top="0.75" bottom="0.75" header="0" footer="0"/>
  <pageSetup orientation="landscape"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outlinePr summaryBelow="0" summaryRight="0"/>
  </sheetPr>
  <dimension ref="A1:C2"/>
  <sheetViews>
    <sheetView showGridLines="0" zoomScale="85" zoomScaleNormal="85" workbookViewId="0">
      <selection activeCell="E18" sqref="E18"/>
    </sheetView>
  </sheetViews>
  <sheetFormatPr defaultColWidth="14.44140625" defaultRowHeight="15" customHeight="1" x14ac:dyDescent="0.3"/>
  <cols>
    <col min="1" max="1" width="32.109375" bestFit="1" customWidth="1"/>
    <col min="2" max="2" width="20" customWidth="1"/>
    <col min="3" max="3" width="16.44140625" customWidth="1"/>
    <col min="6" max="6" width="24" customWidth="1"/>
  </cols>
  <sheetData>
    <row r="1" spans="1:3" ht="15" customHeight="1" thickBot="1" x14ac:dyDescent="0.35">
      <c r="A1" s="116" t="s">
        <v>113</v>
      </c>
      <c r="B1" s="117" t="s">
        <v>49</v>
      </c>
      <c r="C1" s="118" t="s">
        <v>19</v>
      </c>
    </row>
    <row r="2" spans="1:3" thickBot="1" x14ac:dyDescent="0.35">
      <c r="A2" s="150" t="s">
        <v>31</v>
      </c>
      <c r="B2" s="149" t="s">
        <v>31</v>
      </c>
      <c r="C2" s="151" t="s">
        <v>31</v>
      </c>
    </row>
  </sheetData>
  <dataValidations count="1">
    <dataValidation type="list" errorStyle="information" allowBlank="1" showInputMessage="1" showErrorMessage="1" sqref="C2" xr:uid="{EFC6EAA9-1785-45D4-9ECF-A6ED7624680F}">
      <formula1>"-,kg,s,m,K,°C,W,bar,kg/h,t/h,kW,kW/m2K,W/m2K,kJ/kgK,kJ/kg,m3/h,%,eur,eur/y,kWel/kWth,year"</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outlinePr summaryBelow="0" summaryRight="0"/>
  </sheetPr>
  <dimension ref="A1:D2"/>
  <sheetViews>
    <sheetView showGridLines="0" workbookViewId="0">
      <selection activeCell="B2" sqref="B2"/>
    </sheetView>
  </sheetViews>
  <sheetFormatPr defaultColWidth="14.44140625" defaultRowHeight="15" customHeight="1" x14ac:dyDescent="0.3"/>
  <cols>
    <col min="2" max="2" width="29.77734375" bestFit="1" customWidth="1"/>
  </cols>
  <sheetData>
    <row r="1" spans="1:4" ht="14.4" x14ac:dyDescent="0.3">
      <c r="A1" s="95" t="s">
        <v>86</v>
      </c>
      <c r="B1" s="95" t="s">
        <v>110</v>
      </c>
      <c r="C1" s="95" t="s">
        <v>108</v>
      </c>
      <c r="D1" s="95" t="s">
        <v>109</v>
      </c>
    </row>
    <row r="2" spans="1:4" ht="15" customHeight="1" x14ac:dyDescent="0.3">
      <c r="A2" s="96" t="s">
        <v>111</v>
      </c>
      <c r="B2" s="97" t="s">
        <v>7</v>
      </c>
      <c r="C2" s="98">
        <v>46002</v>
      </c>
      <c r="D2" s="99" t="s">
        <v>112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G3"/>
  <sheetViews>
    <sheetView showGridLines="0" zoomScale="85" zoomScaleNormal="85" workbookViewId="0">
      <selection activeCell="K6" sqref="K6"/>
    </sheetView>
  </sheetViews>
  <sheetFormatPr defaultColWidth="8.77734375" defaultRowHeight="14.4" x14ac:dyDescent="0.3"/>
  <cols>
    <col min="1" max="1" width="12.77734375" customWidth="1"/>
    <col min="2" max="2" width="18.44140625" customWidth="1"/>
    <col min="3" max="3" width="12.77734375" customWidth="1"/>
    <col min="4" max="4" width="11.44140625" customWidth="1"/>
    <col min="5" max="5" width="10" customWidth="1"/>
    <col min="6" max="6" width="32" customWidth="1"/>
    <col min="7" max="7" width="14.44140625" bestFit="1" customWidth="1"/>
  </cols>
  <sheetData>
    <row r="1" spans="1:7" ht="15" thickBot="1" x14ac:dyDescent="0.35">
      <c r="A1" s="90" t="s">
        <v>106</v>
      </c>
      <c r="B1" s="88"/>
      <c r="C1" s="88"/>
      <c r="D1" s="88"/>
      <c r="E1" s="88"/>
      <c r="F1" s="88"/>
      <c r="G1" s="101"/>
    </row>
    <row r="2" spans="1:7" ht="15" thickBot="1" x14ac:dyDescent="0.35">
      <c r="A2" s="100" t="s">
        <v>107</v>
      </c>
      <c r="B2" s="91" t="s">
        <v>68</v>
      </c>
      <c r="C2" s="91" t="s">
        <v>18</v>
      </c>
      <c r="D2" s="91" t="s">
        <v>105</v>
      </c>
      <c r="E2" s="91" t="s">
        <v>104</v>
      </c>
      <c r="F2" s="91" t="s">
        <v>103</v>
      </c>
      <c r="G2" s="92" t="s">
        <v>88</v>
      </c>
    </row>
    <row r="3" spans="1:7" x14ac:dyDescent="0.3">
      <c r="A3" s="102">
        <v>1</v>
      </c>
      <c r="B3" s="182" t="s">
        <v>377</v>
      </c>
      <c r="C3" s="103" t="s">
        <v>114</v>
      </c>
      <c r="D3" s="182" t="s">
        <v>390</v>
      </c>
      <c r="E3" s="103" t="s">
        <v>115</v>
      </c>
      <c r="F3" s="103" t="s">
        <v>7</v>
      </c>
      <c r="G3" s="104">
        <v>46002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950A8-1653-49DD-B85E-941604FCD1E7}">
  <sheetPr codeName="Sheet7"/>
  <dimension ref="A1:A32"/>
  <sheetViews>
    <sheetView showGridLines="0" tabSelected="1" topLeftCell="A16" workbookViewId="0">
      <selection activeCell="A32" sqref="A32"/>
    </sheetView>
  </sheetViews>
  <sheetFormatPr defaultRowHeight="14.4" x14ac:dyDescent="0.3"/>
  <cols>
    <col min="1" max="1" width="130.77734375" style="318" customWidth="1"/>
    <col min="2" max="16384" width="8.88671875" style="318"/>
  </cols>
  <sheetData>
    <row r="1" spans="1:1" ht="15.6" thickTop="1" thickBot="1" x14ac:dyDescent="0.35">
      <c r="A1" s="317" t="s">
        <v>495</v>
      </c>
    </row>
    <row r="2" spans="1:1" ht="29.4" thickTop="1" x14ac:dyDescent="0.3">
      <c r="A2" s="318" t="s">
        <v>512</v>
      </c>
    </row>
    <row r="3" spans="1:1" x14ac:dyDescent="0.3">
      <c r="A3" s="320" t="s">
        <v>518</v>
      </c>
    </row>
    <row r="5" spans="1:1" ht="28.8" x14ac:dyDescent="0.3">
      <c r="A5" s="318" t="str">
        <f>"In this model, syngas is fed at "&amp;TEXT(meoh_h1_ti,"0")&amp;" bar and compressed to 90 bar. The reference production capacity is "&amp;TEXT(meohmarketotal,"#,##0.0")&amp;" kg/h of marketable methanol, consuming "&amp;TEXT(SynGasCons,"#,##0.0")&amp;" kg/h of syngas. The total electrical demand is "&amp;TEXT(e_demand,"#,##0.0")&amp;" kW."</f>
        <v>In this model, syngas is fed at 86 bar and compressed to 90 bar. The reference production capacity is 12,102.8 kg/h of marketable methanol, consuming 14,247.7 kg/h of syngas. The total electrical demand is 1,726.1 kW.</v>
      </c>
    </row>
    <row r="6" spans="1:1" ht="15" thickBot="1" x14ac:dyDescent="0.35"/>
    <row r="7" spans="1:1" ht="15.6" thickTop="1" thickBot="1" x14ac:dyDescent="0.35">
      <c r="A7" s="317" t="s">
        <v>496</v>
      </c>
    </row>
    <row r="8" spans="1:1" ht="29.4" thickTop="1" x14ac:dyDescent="0.3">
      <c r="A8" s="318" t="s">
        <v>513</v>
      </c>
    </row>
    <row r="9" spans="1:1" ht="28.8" x14ac:dyDescent="0.3">
      <c r="A9" s="318" t="s">
        <v>514</v>
      </c>
    </row>
    <row r="10" spans="1:1" ht="28.8" x14ac:dyDescent="0.3">
      <c r="A10" s="318" t="s">
        <v>515</v>
      </c>
    </row>
    <row r="11" spans="1:1" x14ac:dyDescent="0.3">
      <c r="A11" s="318" t="s">
        <v>516</v>
      </c>
    </row>
    <row r="12" spans="1:1" ht="15" thickBot="1" x14ac:dyDescent="0.35"/>
    <row r="13" spans="1:1" ht="15.6" thickTop="1" thickBot="1" x14ac:dyDescent="0.35">
      <c r="A13" s="317" t="s">
        <v>497</v>
      </c>
    </row>
    <row r="14" spans="1:1" ht="15" thickTop="1" x14ac:dyDescent="0.3">
      <c r="A14" s="318" t="str">
        <f>"Total Electrical Demand: "&amp;TEXT(e_demand,"#,##0.00")&amp;" kW | Reactor Exotherm: "&amp;TEXT(meoh_h7_ho,"#,##0.00")&amp;" kW | Reboiler Duty: "&amp;TEXT(meoh_h9_ho,"#,##0.00")&amp;" kW."</f>
        <v>Total Electrical Demand: 1,726.11 kW | Reactor Exotherm: 10,746.26 kW | Reboiler Duty: 5,643.52 kW.</v>
      </c>
    </row>
    <row r="15" spans="1:1" ht="15" thickBot="1" x14ac:dyDescent="0.35"/>
    <row r="16" spans="1:1" ht="15.6" thickTop="1" thickBot="1" x14ac:dyDescent="0.35">
      <c r="A16" s="317" t="s">
        <v>498</v>
      </c>
    </row>
    <row r="17" spans="1:1" ht="29.4" thickTop="1" x14ac:dyDescent="0.3">
      <c r="A17" s="318" t="s">
        <v>517</v>
      </c>
    </row>
    <row r="18" spans="1:1" ht="15" thickBot="1" x14ac:dyDescent="0.35"/>
    <row r="19" spans="1:1" ht="15.6" thickTop="1" thickBot="1" x14ac:dyDescent="0.35">
      <c r="A19" s="317" t="s">
        <v>499</v>
      </c>
    </row>
    <row r="20" spans="1:1" ht="15" thickTop="1" x14ac:dyDescent="0.3">
      <c r="A20" s="318" t="str">
        <f>"Mass flow rate of syngas consumed: "&amp;TEXT(SynGasCons,"#,##0.00")&amp;" kg/h"</f>
        <v>Mass flow rate of syngas consumed: 14,247.70 kg/h</v>
      </c>
    </row>
    <row r="21" spans="1:1" x14ac:dyDescent="0.3">
      <c r="A21" s="318" t="str">
        <f>"Inlet temperature of methanol reactor: "&amp;TEXT(meoh_h7_ti,"#,##0.00")&amp;" °C"</f>
        <v>Inlet temperature of methanol reactor: 210.00 °C</v>
      </c>
    </row>
    <row r="22" spans="1:1" x14ac:dyDescent="0.3">
      <c r="A22" s="318" t="str">
        <f>"Mass flow rate of methanol produced: "&amp;TEXT(meohmarketotal,"#,##0.00")&amp;" kg/h"</f>
        <v>Mass flow rate of methanol produced: 12,102.80 kg/h</v>
      </c>
    </row>
    <row r="23" spans="1:1" x14ac:dyDescent="0.3">
      <c r="A23" s="318" t="str">
        <f>"Methanol energy flow rate: "&amp;TEXT(meohmarketoKW,"#,##0.00")&amp;" kW"</f>
        <v>Methanol energy flow rate: 75,306.31 kW</v>
      </c>
    </row>
    <row r="24" spans="1:1" x14ac:dyDescent="0.3">
      <c r="A24" s="318" t="str">
        <f>"Total electrical demand: "&amp;TEXT(e_demand,"#,##0.00")&amp;" kW"</f>
        <v>Total electrical demand: 1,726.11 kW</v>
      </c>
    </row>
    <row r="25" spans="1:1" x14ac:dyDescent="0.3">
      <c r="A25" s="318" t="str">
        <f>"CO2 in purge gas flare stack: "&amp;TEXT(CO2inflarestack,"#,##0.00")&amp;" kg/h"</f>
        <v>CO2 in purge gas flare stack: 1,093.20 kg/h</v>
      </c>
    </row>
    <row r="26" spans="1:1" x14ac:dyDescent="0.3">
      <c r="A26" s="318" t="str">
        <f>"Inlet temperature of distillation condenser: "&amp;TEXT(meoh_h8_ti,"#,##0.00")&amp;" °C"</f>
        <v>Inlet temperature of distillation condenser: 54.00 °C</v>
      </c>
    </row>
    <row r="27" spans="1:1" x14ac:dyDescent="0.3">
      <c r="A27" s="318" t="str">
        <f>"Inlet temperature of distillation reboiler: "&amp;TEXT(meoh_h9_ti,"#,##0.00")&amp;" °C"</f>
        <v>Inlet temperature of distillation reboiler: 67.00 °C</v>
      </c>
    </row>
    <row r="28" spans="1:1" x14ac:dyDescent="0.3">
      <c r="A28" s="318" t="str">
        <f>"Heat duty of methanol reactor cooling: "&amp;TEXT(meoh_h7_ho,"#,##0.00")&amp;" kW"</f>
        <v>Heat duty of methanol reactor cooling: 10,746.26 kW</v>
      </c>
    </row>
    <row r="29" spans="1:1" x14ac:dyDescent="0.3">
      <c r="A29" s="318" t="str">
        <f>"Investment cost of methanol plant: "&amp;TEXT(Cinv2_meoh,"#,##0.00")&amp;" Eur/y"</f>
        <v>Investment cost of methanol plant: 2,526,277.23 Eur/y</v>
      </c>
    </row>
    <row r="30" spans="1:1" ht="15" thickBot="1" x14ac:dyDescent="0.35"/>
    <row r="31" spans="1:1" ht="15.6" thickTop="1" thickBot="1" x14ac:dyDescent="0.35">
      <c r="A31" s="317" t="s">
        <v>500</v>
      </c>
    </row>
    <row r="32" spans="1:1" ht="101.4" thickTop="1" x14ac:dyDescent="0.3">
      <c r="A32" s="316" t="s">
        <v>509</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198</vt:i4>
      </vt:variant>
    </vt:vector>
  </HeadingPairs>
  <TitlesOfParts>
    <vt:vector size="207" baseType="lpstr">
      <vt:lpstr>README</vt:lpstr>
      <vt:lpstr>METADATA</vt:lpstr>
      <vt:lpstr>CONNECTORS</vt:lpstr>
      <vt:lpstr>VARIABLES</vt:lpstr>
      <vt:lpstr>MeohProduction</vt:lpstr>
      <vt:lpstr>CALCULATIONS</vt:lpstr>
      <vt:lpstr>CHANGELOG</vt:lpstr>
      <vt:lpstr>SUPPL MATERIAL</vt:lpstr>
      <vt:lpstr>DOCUMENTATION</vt:lpstr>
      <vt:lpstr>Annuity</vt:lpstr>
      <vt:lpstr>Annuity_max</vt:lpstr>
      <vt:lpstr>Annuity_min</vt:lpstr>
      <vt:lpstr>Base_MeOHCapac</vt:lpstr>
      <vt:lpstr>Base_MeOHCapac_max</vt:lpstr>
      <vt:lpstr>Base_MeOHCapac_min</vt:lpstr>
      <vt:lpstr>Base_MeOHCost</vt:lpstr>
      <vt:lpstr>Base_MeOHCost_max</vt:lpstr>
      <vt:lpstr>Base_MeOHCost_min</vt:lpstr>
      <vt:lpstr>CEPCI_2022</vt:lpstr>
      <vt:lpstr>CEPCI_2022_max</vt:lpstr>
      <vt:lpstr>CEPCI_2022_min</vt:lpstr>
      <vt:lpstr>Cinv2_meoh</vt:lpstr>
      <vt:lpstr>Cinv2_meoh_max</vt:lpstr>
      <vt:lpstr>Cinv2_meoh_min</vt:lpstr>
      <vt:lpstr>CO2inflarestack</vt:lpstr>
      <vt:lpstr>CO2inflarestack_max</vt:lpstr>
      <vt:lpstr>CO2inflarestack_min</vt:lpstr>
      <vt:lpstr>CO2inFlueGas</vt:lpstr>
      <vt:lpstr>CO2inFlueGas_max</vt:lpstr>
      <vt:lpstr>CO2inFlueGas_min</vt:lpstr>
      <vt:lpstr>dtmin_2ph</vt:lpstr>
      <vt:lpstr>dtmin_2ph_max</vt:lpstr>
      <vt:lpstr>dtmin_2ph_min</vt:lpstr>
      <vt:lpstr>dtmin_gas</vt:lpstr>
      <vt:lpstr>dtmin_gas_max</vt:lpstr>
      <vt:lpstr>dtmin_gas_min</vt:lpstr>
      <vt:lpstr>dtmin_liq</vt:lpstr>
      <vt:lpstr>dtmin_liq_max</vt:lpstr>
      <vt:lpstr>dtmin_liq_min</vt:lpstr>
      <vt:lpstr>e_demand</vt:lpstr>
      <vt:lpstr>e_demand_max</vt:lpstr>
      <vt:lpstr>e_demand_min</vt:lpstr>
      <vt:lpstr>e_meoh_1</vt:lpstr>
      <vt:lpstr>e_meoh_1_max</vt:lpstr>
      <vt:lpstr>e_meoh_1_min</vt:lpstr>
      <vt:lpstr>e_meoh_2</vt:lpstr>
      <vt:lpstr>e_meoh_2_max</vt:lpstr>
      <vt:lpstr>e_meoh_2_min</vt:lpstr>
      <vt:lpstr>e_meoh_5</vt:lpstr>
      <vt:lpstr>e_meoh_5_max</vt:lpstr>
      <vt:lpstr>e_meoh_5_min</vt:lpstr>
      <vt:lpstr>i</vt:lpstr>
      <vt:lpstr>i_max</vt:lpstr>
      <vt:lpstr>i_min</vt:lpstr>
      <vt:lpstr>LHV_meoh</vt:lpstr>
      <vt:lpstr>LHV_meoh_max</vt:lpstr>
      <vt:lpstr>LHV_meoh_min</vt:lpstr>
      <vt:lpstr>meoh_c1_ho</vt:lpstr>
      <vt:lpstr>meoh_c1_ho_max</vt:lpstr>
      <vt:lpstr>meoh_c1_ho_min</vt:lpstr>
      <vt:lpstr>meoh_c1_ti</vt:lpstr>
      <vt:lpstr>meoh_c1_ti_max</vt:lpstr>
      <vt:lpstr>meoh_c1_ti_min</vt:lpstr>
      <vt:lpstr>meoh_c1_to</vt:lpstr>
      <vt:lpstr>meoh_c1_to_max</vt:lpstr>
      <vt:lpstr>meoh_c1_to_min</vt:lpstr>
      <vt:lpstr>meoh_c2_ho</vt:lpstr>
      <vt:lpstr>meoh_c2_ho_max</vt:lpstr>
      <vt:lpstr>meoh_c2_ho_min</vt:lpstr>
      <vt:lpstr>meoh_c2_ti</vt:lpstr>
      <vt:lpstr>meoh_c2_ti_max</vt:lpstr>
      <vt:lpstr>meoh_c2_ti_min</vt:lpstr>
      <vt:lpstr>meoh_c2_to</vt:lpstr>
      <vt:lpstr>meoh_c2_to_max</vt:lpstr>
      <vt:lpstr>meoh_c2_to_min</vt:lpstr>
      <vt:lpstr>meoh_h1_ho</vt:lpstr>
      <vt:lpstr>meoh_h1_ho_max</vt:lpstr>
      <vt:lpstr>meoh_h1_ho_min</vt:lpstr>
      <vt:lpstr>meoh_h1_ti</vt:lpstr>
      <vt:lpstr>meoh_h1_ti_max</vt:lpstr>
      <vt:lpstr>meoh_h1_ti_min</vt:lpstr>
      <vt:lpstr>meoh_h1_to</vt:lpstr>
      <vt:lpstr>meoh_h1_to_max</vt:lpstr>
      <vt:lpstr>meoh_h1_to_min</vt:lpstr>
      <vt:lpstr>meoh_h10_ho</vt:lpstr>
      <vt:lpstr>meoh_h10_ho_max</vt:lpstr>
      <vt:lpstr>meoh_h10_ho_min</vt:lpstr>
      <vt:lpstr>meoh_h10_ti</vt:lpstr>
      <vt:lpstr>meoh_h10_ti_max</vt:lpstr>
      <vt:lpstr>meoh_h10_ti_min</vt:lpstr>
      <vt:lpstr>meoh_h10_to</vt:lpstr>
      <vt:lpstr>meoh_h10_to_max</vt:lpstr>
      <vt:lpstr>meoh_h10_to_min</vt:lpstr>
      <vt:lpstr>meoh_h11_ho</vt:lpstr>
      <vt:lpstr>meoh_h11_ho_max</vt:lpstr>
      <vt:lpstr>meoh_h11_ho_min</vt:lpstr>
      <vt:lpstr>meoh_h11_ti</vt:lpstr>
      <vt:lpstr>meoh_h11_ti_max</vt:lpstr>
      <vt:lpstr>meoh_h11_ti_min</vt:lpstr>
      <vt:lpstr>meoh_h11_to</vt:lpstr>
      <vt:lpstr>meoh_h11_to_max</vt:lpstr>
      <vt:lpstr>meoh_h11_to_min</vt:lpstr>
      <vt:lpstr>meoh_h12_ho</vt:lpstr>
      <vt:lpstr>meoh_h12_ho_max</vt:lpstr>
      <vt:lpstr>meoh_h12_ho_min</vt:lpstr>
      <vt:lpstr>meoh_h12_ti</vt:lpstr>
      <vt:lpstr>meoh_h12_ti_max</vt:lpstr>
      <vt:lpstr>meoh_h12_ti_min</vt:lpstr>
      <vt:lpstr>meoh_h12_to</vt:lpstr>
      <vt:lpstr>meoh_h12_to_max</vt:lpstr>
      <vt:lpstr>meoh_h12_to_min</vt:lpstr>
      <vt:lpstr>meoh_h13_ho</vt:lpstr>
      <vt:lpstr>meoh_h13_ho_max</vt:lpstr>
      <vt:lpstr>meoh_h13_ho_min</vt:lpstr>
      <vt:lpstr>meoh_h13_ti</vt:lpstr>
      <vt:lpstr>meoh_h13_ti_max</vt:lpstr>
      <vt:lpstr>meoh_h13_ti_min</vt:lpstr>
      <vt:lpstr>meoh_h13_to</vt:lpstr>
      <vt:lpstr>meoh_h13_to_max</vt:lpstr>
      <vt:lpstr>meoh_h13_to_min</vt:lpstr>
      <vt:lpstr>meoh_h14_ho</vt:lpstr>
      <vt:lpstr>meoh_h14_ho_max</vt:lpstr>
      <vt:lpstr>meoh_h14_ho_min</vt:lpstr>
      <vt:lpstr>meoh_h14_ti</vt:lpstr>
      <vt:lpstr>meoh_h14_ti_max</vt:lpstr>
      <vt:lpstr>meoh_h14_ti_min</vt:lpstr>
      <vt:lpstr>meoh_h14_to</vt:lpstr>
      <vt:lpstr>meoh_h14_to_max</vt:lpstr>
      <vt:lpstr>meoh_h14_to_min</vt:lpstr>
      <vt:lpstr>meoh_h2_ho</vt:lpstr>
      <vt:lpstr>meoh_h2_ho_max</vt:lpstr>
      <vt:lpstr>meoh_h2_ho_min</vt:lpstr>
      <vt:lpstr>meoh_h2_ti</vt:lpstr>
      <vt:lpstr>meoh_h2_ti_max</vt:lpstr>
      <vt:lpstr>meoh_h2_ti_min</vt:lpstr>
      <vt:lpstr>meoh_h2_to</vt:lpstr>
      <vt:lpstr>meoh_h2_to_max</vt:lpstr>
      <vt:lpstr>meoh_h2_to_min</vt:lpstr>
      <vt:lpstr>meoh_h5_ho</vt:lpstr>
      <vt:lpstr>meoh_h5_ho_max</vt:lpstr>
      <vt:lpstr>meoh_h5_ho_min</vt:lpstr>
      <vt:lpstr>meoh_h5_ti</vt:lpstr>
      <vt:lpstr>meoh_h5_ti_max</vt:lpstr>
      <vt:lpstr>meoh_h5_ti_min</vt:lpstr>
      <vt:lpstr>meoh_h5_to</vt:lpstr>
      <vt:lpstr>meoh_h5_to_max</vt:lpstr>
      <vt:lpstr>meoh_h5_to_min</vt:lpstr>
      <vt:lpstr>meoh_h6_ho</vt:lpstr>
      <vt:lpstr>meoh_h6_ho_max</vt:lpstr>
      <vt:lpstr>meoh_h6_ho_min</vt:lpstr>
      <vt:lpstr>meoh_h6_ti</vt:lpstr>
      <vt:lpstr>meoh_h6_ti_max</vt:lpstr>
      <vt:lpstr>meoh_h6_ti_min</vt:lpstr>
      <vt:lpstr>meoh_h6_to</vt:lpstr>
      <vt:lpstr>meoh_h6_to_max</vt:lpstr>
      <vt:lpstr>meoh_h6_to_min</vt:lpstr>
      <vt:lpstr>meoh_h7_ho</vt:lpstr>
      <vt:lpstr>meoh_h7_ho_max</vt:lpstr>
      <vt:lpstr>meoh_h7_ho_min</vt:lpstr>
      <vt:lpstr>meoh_h7_ti</vt:lpstr>
      <vt:lpstr>meoh_h7_ti_max</vt:lpstr>
      <vt:lpstr>meoh_h7_ti_min</vt:lpstr>
      <vt:lpstr>meoh_h7_to</vt:lpstr>
      <vt:lpstr>meoh_h7_to_max</vt:lpstr>
      <vt:lpstr>meoh_h7_to_min</vt:lpstr>
      <vt:lpstr>meoh_h8_ho</vt:lpstr>
      <vt:lpstr>meoh_h8_ho_max</vt:lpstr>
      <vt:lpstr>meoh_h8_ho_min</vt:lpstr>
      <vt:lpstr>meoh_h8_ti</vt:lpstr>
      <vt:lpstr>meoh_h8_ti_max</vt:lpstr>
      <vt:lpstr>meoh_h8_ti_min</vt:lpstr>
      <vt:lpstr>meoh_h8_to</vt:lpstr>
      <vt:lpstr>meoh_h8_to_max</vt:lpstr>
      <vt:lpstr>meoh_h8_to_min</vt:lpstr>
      <vt:lpstr>meoh_h9_ho</vt:lpstr>
      <vt:lpstr>meoh_h9_ho_max</vt:lpstr>
      <vt:lpstr>meoh_h9_ho_min</vt:lpstr>
      <vt:lpstr>meoh_h9_ti</vt:lpstr>
      <vt:lpstr>meoh_h9_ti_max</vt:lpstr>
      <vt:lpstr>meoh_h9_ti_min</vt:lpstr>
      <vt:lpstr>meoh_h9_to</vt:lpstr>
      <vt:lpstr>meoh_h9_to_max</vt:lpstr>
      <vt:lpstr>meoh_h9_to_min</vt:lpstr>
      <vt:lpstr>meohmarket1</vt:lpstr>
      <vt:lpstr>meohmarket1_max</vt:lpstr>
      <vt:lpstr>meohmarket1_min</vt:lpstr>
      <vt:lpstr>meohmarketoKW</vt:lpstr>
      <vt:lpstr>meohmarketoKW_max</vt:lpstr>
      <vt:lpstr>meohmarketoKW_min</vt:lpstr>
      <vt:lpstr>meohmarketotal</vt:lpstr>
      <vt:lpstr>meohmarketotal_max</vt:lpstr>
      <vt:lpstr>meohmarketotal_min</vt:lpstr>
      <vt:lpstr>MeohProd</vt:lpstr>
      <vt:lpstr>MeohProd_max</vt:lpstr>
      <vt:lpstr>MeohProd_min</vt:lpstr>
      <vt:lpstr>n</vt:lpstr>
      <vt:lpstr>n_max</vt:lpstr>
      <vt:lpstr>n_min</vt:lpstr>
      <vt:lpstr>sc</vt:lpstr>
      <vt:lpstr>sc_max</vt:lpstr>
      <vt:lpstr>sc_min</vt:lpstr>
      <vt:lpstr>SynGasCons</vt:lpstr>
      <vt:lpstr>SynGasCons_max</vt:lpstr>
      <vt:lpstr>SynGasCons_min</vt:lpstr>
      <vt:lpstr>SyngasToMeOH</vt:lpstr>
      <vt:lpstr>SyngasToMeOH_max</vt:lpstr>
      <vt:lpstr>SyngasToMeOH_min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A Florez Orrego</dc:creator>
  <cp:lastModifiedBy>baptiste mabboux</cp:lastModifiedBy>
  <dcterms:created xsi:type="dcterms:W3CDTF">2023-07-04T12:09:19Z</dcterms:created>
  <dcterms:modified xsi:type="dcterms:W3CDTF">2026-05-06T12:16:24Z</dcterms:modified>
</cp:coreProperties>
</file>