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MethanoltoSNG/"/>
    </mc:Choice>
  </mc:AlternateContent>
  <xr:revisionPtr revIDLastSave="253" documentId="13_ncr:1_{9306EAAA-FF9F-469E-8B58-CB9448283F12}" xr6:coauthVersionLast="47" xr6:coauthVersionMax="47" xr10:uidLastSave="{0EFA4AFD-4106-413D-BF55-E5E09F09337C}"/>
  <bookViews>
    <workbookView xWindow="-108" yWindow="-108" windowWidth="23256" windowHeight="13176" firstSheet="5" activeTab="9" xr2:uid="{00000000-000D-0000-FFFF-FFFF00000000}"/>
  </bookViews>
  <sheets>
    <sheet name="README" sheetId="1" r:id="rId1"/>
    <sheet name="METADATA" sheetId="2" r:id="rId2"/>
    <sheet name="CONNECTORS" sheetId="3" r:id="rId3"/>
    <sheet name="VARIABLES" sheetId="4" r:id="rId4"/>
    <sheet name="MeOHReform" sheetId="5" r:id="rId5"/>
    <sheet name="SyngasMethanator" sheetId="7" r:id="rId6"/>
    <sheet name="CALCULATIONS" sheetId="10" r:id="rId7"/>
    <sheet name="SUPPL MATERIAL" sheetId="11" r:id="rId8"/>
    <sheet name="CHANGELOG" sheetId="9" r:id="rId9"/>
    <sheet name="DOCUMENTATION" sheetId="16" r:id="rId10"/>
  </sheets>
  <externalReferences>
    <externalReference r:id="rId11"/>
  </externalReferences>
  <definedNames>
    <definedName name="Annuity">VARIABLES!$E$85</definedName>
    <definedName name="Annuity_min">VARIABLES!$H$85</definedName>
    <definedName name="CEPCI_2008">VARIABLES!#REF!</definedName>
    <definedName name="CEPCI_2008_min">VARIABLES!#REF!</definedName>
    <definedName name="CEPCI_2020">VARIABLES!$E$81</definedName>
    <definedName name="CEPCI_2020_min">VARIABLES!$H$81</definedName>
    <definedName name="CH4energyflow">VARIABLES!$E$82</definedName>
    <definedName name="CH4energyflow_min">VARIABLES!$H$82</definedName>
    <definedName name="CH4massflow">VARIABLES!$E$73</definedName>
    <definedName name="CH4massflow_min">VARIABLES!$H$73</definedName>
    <definedName name="CH4molflow">VARIABLES!$E$74</definedName>
    <definedName name="CH4molflow_min">VARIABLES!$H$74</definedName>
    <definedName name="Cinv2_Reform">VARIABLES!$E$86</definedName>
    <definedName name="Cinv2_Reform_min">VARIABLES!$H$86</definedName>
    <definedName name="Cinv2_SyngastoSNG">VARIABLES!$E$87</definedName>
    <definedName name="Cinv2_SyngastoSNG_min">VARIABLES!$H$87</definedName>
    <definedName name="CO2sep">VARIABLES!$E$59</definedName>
    <definedName name="CO2sep_min">VARIABLES!$H$59</definedName>
    <definedName name="CO2unconverted">VARIABLES!$E$76</definedName>
    <definedName name="CO2unconverted_min">VARIABLES!$H$76</definedName>
    <definedName name="Condensateflow">VARIABLES!$E$75</definedName>
    <definedName name="Condensateflow_min">VARIABLES!$H$75</definedName>
    <definedName name="dtmin_gas">VARIABLES!$E$16</definedName>
    <definedName name="dtmin_gas_min">VARIABLES!$H$16</definedName>
    <definedName name="e_demand">VARIABLES!$E$84</definedName>
    <definedName name="e_demand_min">VARIABLES!$H$84</definedName>
    <definedName name="e_o2_1">VARIABLES!$E$35</definedName>
    <definedName name="e_o2_1_min">VARIABLES!$H$35</definedName>
    <definedName name="e_o2_2">VARIABLES!$E$36</definedName>
    <definedName name="e_o2_2_min">VARIABLES!$H$36</definedName>
    <definedName name="e_o2_3">VARIABLES!$E$37</definedName>
    <definedName name="e_o2_3_min">VARIABLES!$H$37</definedName>
    <definedName name="e_o2_4">VARIABLES!$E$38</definedName>
    <definedName name="e_o2_4_min">VARIABLES!$H$38</definedName>
    <definedName name="e_pump_1">VARIABLES!$E$39</definedName>
    <definedName name="e_pump_1_min">VARIABLES!$H$39</definedName>
    <definedName name="e_pump_2">VARIABLES!$E$40</definedName>
    <definedName name="e_pump_2_min">VARIABLES!$H$40</definedName>
    <definedName name="FeedstockATR">VARIABLES!$E$56</definedName>
    <definedName name="FeedstockATR_min">VARIABLES!$H$56</definedName>
    <definedName name="gas_h11_ho">VARIABLES!$E$52</definedName>
    <definedName name="gas_h11_ho_min">VARIABLES!$H$52</definedName>
    <definedName name="gas_h11_ti">VARIABLES!$E$50</definedName>
    <definedName name="gas_h11_ti_min">VARIABLES!$H$50</definedName>
    <definedName name="gas_h11_to">VARIABLES!$E$51</definedName>
    <definedName name="gas_h11_to_min">VARIABLES!$H$51</definedName>
    <definedName name="gas_h12_ho">VARIABLES!$E$55</definedName>
    <definedName name="gas_h12_ho_min">VARIABLES!$H$55</definedName>
    <definedName name="gas_h12_ti">VARIABLES!$E$53</definedName>
    <definedName name="gas_h12_ti_min">VARIABLES!$H$53</definedName>
    <definedName name="gas_h12_to">VARIABLES!$E$54</definedName>
    <definedName name="gas_h12_to_min">VARIABLES!$H$54</definedName>
    <definedName name="i">VARIABLES!$E$80</definedName>
    <definedName name="i_min">VARIABLES!$H$80</definedName>
    <definedName name="LHV_CH4">VARIABLES!$E$72</definedName>
    <definedName name="LHV_CH4_min">VARIABLES!$H$72</definedName>
    <definedName name="MeOH_feed">VARIABLES!$E$19</definedName>
    <definedName name="MeOH_feed_min">VARIABLES!$H$19</definedName>
    <definedName name="mix_c1_ho">VARIABLES!$E$43</definedName>
    <definedName name="mix_c1_ho_min">VARIABLES!$H$43</definedName>
    <definedName name="mix_c1_ti">VARIABLES!$E$41</definedName>
    <definedName name="mix_c1_ti_min">VARIABLES!$H$41</definedName>
    <definedName name="mix_c1_to">VARIABLES!$E$42</definedName>
    <definedName name="mix_c1_to_min">VARIABLES!$H$42</definedName>
    <definedName name="mix_c2_ho">VARIABLES!$E$46</definedName>
    <definedName name="mix_c2_ho_min">VARIABLES!$H$46</definedName>
    <definedName name="mix_c2_ti">VARIABLES!$E$44</definedName>
    <definedName name="mix_c2_ti_min">VARIABLES!$H$44</definedName>
    <definedName name="mix_c2_to">VARIABLES!$E$45</definedName>
    <definedName name="mix_c2_to_min">VARIABLES!$H$45</definedName>
    <definedName name="mix_c3_ho">VARIABLES!$E$49</definedName>
    <definedName name="mix_c3_ho_min">VARIABLES!$H$49</definedName>
    <definedName name="mix_c3_ti">VARIABLES!$E$47</definedName>
    <definedName name="mix_c3_ti_min">VARIABLES!$H$47</definedName>
    <definedName name="mix_c3_to">VARIABLES!$E$48</definedName>
    <definedName name="mix_c3_to_min">VARIABLES!$H$48</definedName>
    <definedName name="n">VARIABLES!$E$79</definedName>
    <definedName name="n_min">VARIABLES!$H$79</definedName>
    <definedName name="O2_feed">VARIABLES!$E$22</definedName>
    <definedName name="O2_feed_min">VARIABLES!$H$22</definedName>
    <definedName name="o2_h1_ho">VARIABLES!$E$25</definedName>
    <definedName name="o2_h1_ho_min">VARIABLES!$H$25</definedName>
    <definedName name="o2_h1_ti">VARIABLES!$E$23</definedName>
    <definedName name="o2_h1_ti_min">VARIABLES!$H$23</definedName>
    <definedName name="o2_h1_to">VARIABLES!$E$24</definedName>
    <definedName name="o2_h1_to_min">VARIABLES!$H$24</definedName>
    <definedName name="o2_h2_ho">VARIABLES!$E$28</definedName>
    <definedName name="o2_h2_ho_min">VARIABLES!$H$28</definedName>
    <definedName name="o2_h2_ti">VARIABLES!$E$26</definedName>
    <definedName name="o2_h2_ti_min">VARIABLES!$H$26</definedName>
    <definedName name="o2_h2_to">VARIABLES!$E$27</definedName>
    <definedName name="o2_h2_to_min">VARIABLES!$H$27</definedName>
    <definedName name="o2_h3_ho">VARIABLES!$E$31</definedName>
    <definedName name="o2_h3_ho_min">VARIABLES!$H$31</definedName>
    <definedName name="o2_h3_ti">VARIABLES!$E$29</definedName>
    <definedName name="o2_h3_ti_min">VARIABLES!$H$29</definedName>
    <definedName name="o2_h3_to">VARIABLES!$E$30</definedName>
    <definedName name="o2_h3_to_min">VARIABLES!$H$30</definedName>
    <definedName name="o2_h4_ho">VARIABLES!$E$34</definedName>
    <definedName name="o2_h4_ho_min">VARIABLES!$H$34</definedName>
    <definedName name="o2_h4_ti">VARIABLES!$E$32</definedName>
    <definedName name="o2_h4_ti_min">VARIABLES!$H$32</definedName>
    <definedName name="o2_h4_to">VARIABLES!$E$33</definedName>
    <definedName name="o2_h4_to_min">VARIABLES!$H$33</definedName>
    <definedName name="purifsyngasdry">VARIABLES!#REF!</definedName>
    <definedName name="purifsyngasdry_min">VARIABLES!#REF!</definedName>
    <definedName name="purifsyngasdry_molf">VARIABLES!#REF!</definedName>
    <definedName name="purifsyngasdry_molf_min">VARIABLES!#REF!</definedName>
    <definedName name="sngprod_c1_ho">VARIABLES!$E$62</definedName>
    <definedName name="sngprod_c1_ho_min">VARIABLES!$H$62</definedName>
    <definedName name="sngprod_c1_ti">VARIABLES!$E$60</definedName>
    <definedName name="sngprod_c1_ti_min">VARIABLES!$H$60</definedName>
    <definedName name="sngprod_c1_to">VARIABLES!$E$61</definedName>
    <definedName name="sngprod_c1_to_min">VARIABLES!$H$61</definedName>
    <definedName name="sngprod_h1_ho">VARIABLES!$E$65</definedName>
    <definedName name="sngprod_h1_ho_min">VARIABLES!$H$65</definedName>
    <definedName name="sngprod_h1_ti">VARIABLES!$E$63</definedName>
    <definedName name="sngprod_h1_ti_min">VARIABLES!$H$63</definedName>
    <definedName name="sngprod_h1_to">VARIABLES!$E$64</definedName>
    <definedName name="sngprod_h1_to_min">VARIABLES!$H$64</definedName>
    <definedName name="sngprod_h2_ho">VARIABLES!$E$68</definedName>
    <definedName name="sngprod_h2_ho_min">VARIABLES!$H$68</definedName>
    <definedName name="sngprod_h2_ti">VARIABLES!$E$66</definedName>
    <definedName name="sngprod_h2_ti_min">VARIABLES!$H$66</definedName>
    <definedName name="sngprod_h2_to">VARIABLES!$E$67</definedName>
    <definedName name="sngprod_h2_to_min">VARIABLES!$H$67</definedName>
    <definedName name="sngprod_h3_ho">VARIABLES!$E$71</definedName>
    <definedName name="sngprod_h3_ho_min">VARIABLES!$H$71</definedName>
    <definedName name="sngprod_h3_ti">VARIABLES!$E$69</definedName>
    <definedName name="sngprod_h3_ti_min">VARIABLES!$H$69</definedName>
    <definedName name="sngprod_h3_to">VARIABLES!$E$70</definedName>
    <definedName name="sngprod_h3_to_min">VARIABLES!$H$70</definedName>
    <definedName name="Spec_MethntrCost">VARIABLES!$E$78</definedName>
    <definedName name="Spec_MethntrCost_min">VARIABLES!$H$78</definedName>
    <definedName name="Spec_reformwgspsa">VARIABLES!$E$77</definedName>
    <definedName name="Spec_reformwgspsa_min">VARIABLES!$H$77</definedName>
    <definedName name="syngastoSNGtotal">VARIABLES!$E$57</definedName>
    <definedName name="syngastoSNGtotal_min">VARIABLES!$H$57</definedName>
    <definedName name="syngastoSNGtotal_molf">VARIABLES!$E$58</definedName>
    <definedName name="syngastoSNGtotal_molf_min">VARIABLES!$H$58</definedName>
    <definedName name="Tmilk">[1]VARIABLES!#REF!</definedName>
    <definedName name="Tmilk.Variablename">[1]VARIABLES!#REF!</definedName>
    <definedName name="water_cond">VARIABLES!$E$21</definedName>
    <definedName name="water_cond_min">VARIABLES!$H$21</definedName>
    <definedName name="water_feed">VARIABLES!$E$20</definedName>
    <definedName name="water_feed_min">VARIABLES!$H$20</definedName>
    <definedName name="waterfeedm3">VARIABLES!$E$83</definedName>
    <definedName name="waterfeedm3_min">VARIABLES!$H$83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bNxJkgama/kYeBi4o0J15qkHQT9g9UA3B49WFr4NTgI="/>
    </ext>
  </extLst>
</workbook>
</file>

<file path=xl/calcChain.xml><?xml version="1.0" encoding="utf-8"?>
<calcChain xmlns="http://schemas.openxmlformats.org/spreadsheetml/2006/main">
  <c r="A30" i="16" l="1"/>
  <c r="A29" i="16"/>
  <c r="A28" i="16"/>
  <c r="A27" i="16"/>
  <c r="A26" i="16"/>
  <c r="A25" i="16"/>
  <c r="A24" i="16"/>
  <c r="A23" i="16"/>
  <c r="A22" i="16"/>
  <c r="A21" i="16"/>
  <c r="A20" i="16"/>
  <c r="A17" i="16"/>
  <c r="A16" i="16"/>
  <c r="A13" i="16"/>
  <c r="A12" i="16"/>
  <c r="A6" i="16"/>
  <c r="A5" i="16"/>
  <c r="B12" i="2"/>
  <c r="K35" i="5"/>
  <c r="K32" i="5"/>
  <c r="M25" i="7"/>
  <c r="M26" i="7"/>
  <c r="M27" i="7"/>
  <c r="M24" i="7"/>
  <c r="O25" i="7" l="1"/>
  <c r="O26" i="7"/>
  <c r="O27" i="7"/>
  <c r="O24" i="7"/>
  <c r="I27" i="7"/>
  <c r="G26" i="7"/>
  <c r="G25" i="7"/>
  <c r="G24" i="7"/>
  <c r="E27" i="7"/>
  <c r="E26" i="7"/>
  <c r="E25" i="7"/>
  <c r="E24" i="7"/>
  <c r="C27" i="7"/>
  <c r="C26" i="7"/>
  <c r="C25" i="7"/>
  <c r="C24" i="7"/>
  <c r="D15" i="7"/>
  <c r="D17" i="7"/>
  <c r="D16" i="7"/>
  <c r="D14" i="7"/>
  <c r="O28" i="5"/>
  <c r="O29" i="5"/>
  <c r="O30" i="5"/>
  <c r="O31" i="5"/>
  <c r="O32" i="5"/>
  <c r="O33" i="5"/>
  <c r="O34" i="5"/>
  <c r="O35" i="5"/>
  <c r="O27" i="5"/>
  <c r="I33" i="5"/>
  <c r="I32" i="5"/>
  <c r="I31" i="5"/>
  <c r="I30" i="5"/>
  <c r="G35" i="5"/>
  <c r="G34" i="5"/>
  <c r="G29" i="5"/>
  <c r="G28" i="5"/>
  <c r="G27" i="5"/>
  <c r="E35" i="5"/>
  <c r="E34" i="5"/>
  <c r="E33" i="5"/>
  <c r="E32" i="5"/>
  <c r="E31" i="5"/>
  <c r="E30" i="5"/>
  <c r="E29" i="5"/>
  <c r="E28" i="5"/>
  <c r="E27" i="5"/>
  <c r="C35" i="5"/>
  <c r="C34" i="5"/>
  <c r="C33" i="5"/>
  <c r="C32" i="5"/>
  <c r="C31" i="5"/>
  <c r="C30" i="5"/>
  <c r="C29" i="5"/>
  <c r="C28" i="5"/>
  <c r="C27" i="5"/>
  <c r="D20" i="5"/>
  <c r="D19" i="5"/>
  <c r="D18" i="5"/>
  <c r="D17" i="5"/>
  <c r="M35" i="5"/>
  <c r="M34" i="5"/>
  <c r="D16" i="5"/>
  <c r="D15" i="5"/>
  <c r="M33" i="5"/>
  <c r="M32" i="5"/>
  <c r="M31" i="5"/>
  <c r="M30" i="5"/>
  <c r="M28" i="5"/>
  <c r="M29" i="5"/>
  <c r="M27" i="5"/>
  <c r="E82" i="4"/>
  <c r="E83" i="4"/>
  <c r="E84" i="4"/>
  <c r="E85" i="4"/>
  <c r="E86" i="4" s="1"/>
  <c r="K27" i="7" l="1"/>
  <c r="K25" i="7"/>
  <c r="K26" i="7"/>
  <c r="K24" i="7"/>
  <c r="K31" i="5"/>
  <c r="K34" i="5"/>
  <c r="K33" i="5"/>
  <c r="K29" i="5"/>
  <c r="K27" i="5"/>
  <c r="K28" i="5"/>
  <c r="K30" i="5"/>
  <c r="E8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tc={AB62C13E-E1A2-4DC7-A308-AC64BD92A260}</author>
  </authors>
  <commentList>
    <comment ref="K27" authorId="0" shapeId="0" xr:uid="{AB62C13E-E1A2-4DC7-A308-AC64BD92A260}">
      <text>
        <t>[Threaded comment]
Your version of Excel allows you to read this threaded comment; however, any edits to it will get removed if the file is opened in a newer version of Excel. Learn more: https://go.microsoft.com/fwlink/?linkid=870924
Comment:
    Computed from Q=m*cp*dT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tc={81EB2891-34D0-43DD-B1DB-FB16B2C1C81E}</author>
  </authors>
  <commentList>
    <comment ref="K24" authorId="0" shapeId="0" xr:uid="{81EB2891-34D0-43DD-B1DB-FB16B2C1C81E}">
      <text>
        <t>[Threaded comment]
Your version of Excel allows you to read this threaded comment; however, any edits to it will get removed if the file is opened in a newer version of Excel. Learn more: https://go.microsoft.com/fwlink/?linkid=870924
Comment:
    Computed from Q=m*cp*dT</t>
      </text>
    </comment>
  </commentList>
</comments>
</file>

<file path=xl/sharedStrings.xml><?xml version="1.0" encoding="utf-8"?>
<sst xmlns="http://schemas.openxmlformats.org/spreadsheetml/2006/main" count="1401" uniqueCount="573">
  <si>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</si>
  <si>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</si>
  <si>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</si>
  <si>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</si>
  <si>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</si>
  <si>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</si>
  <si>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</si>
  <si>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</si>
  <si>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</si>
  <si>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</si>
  <si>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</si>
  <si>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</si>
  <si>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</si>
  <si>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</si>
  <si>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</si>
  <si>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</si>
  <si>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</si>
  <si>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</si>
  <si>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</si>
  <si>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</si>
  <si>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</si>
  <si>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</si>
  <si>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</si>
  <si>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</si>
  <si>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</si>
  <si>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</si>
  <si>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MASS</t>
  </si>
  <si>
    <t>kg/h</t>
  </si>
  <si>
    <t>C</t>
  </si>
  <si>
    <t>bar</t>
  </si>
  <si>
    <t>(L)</t>
  </si>
  <si>
    <t>WATER</t>
  </si>
  <si>
    <t>MASSFRAC:H2O[1]</t>
  </si>
  <si>
    <t>CH4</t>
  </si>
  <si>
    <t>(V)</t>
  </si>
  <si>
    <t>ELECTRICITY</t>
  </si>
  <si>
    <t>kW</t>
  </si>
  <si>
    <t>-</t>
  </si>
  <si>
    <t>EMISSIONS</t>
  </si>
  <si>
    <t>CO2</t>
  </si>
  <si>
    <t>MASSFRAC:CO2[1]</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</si>
  <si>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</si>
  <si>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</si>
  <si>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</si>
  <si>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</si>
  <si>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</si>
  <si>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</si>
  <si>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</si>
  <si>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</si>
  <si>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</si>
  <si>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</si>
  <si>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DECISION</t>
  </si>
  <si>
    <t>LITERATURE</t>
  </si>
  <si>
    <t>MANDATORY</t>
  </si>
  <si>
    <t>°C</t>
  </si>
  <si>
    <t>kW/m2K</t>
  </si>
  <si>
    <t>DIRECTION</t>
  </si>
  <si>
    <t>VALUE</t>
  </si>
  <si>
    <t>IN</t>
  </si>
  <si>
    <t>OUT</t>
  </si>
  <si>
    <t>HEAT STREAMS</t>
  </si>
  <si>
    <t>Cold</t>
  </si>
  <si>
    <t>Hot</t>
  </si>
  <si>
    <t>DEFAULT</t>
  </si>
  <si>
    <t>EQUIPMENTS</t>
  </si>
  <si>
    <t>Pump</t>
  </si>
  <si>
    <t>Power</t>
  </si>
  <si>
    <t>Lifetime</t>
  </si>
  <si>
    <t>years</t>
  </si>
  <si>
    <t>Date</t>
  </si>
  <si>
    <t>year</t>
  </si>
  <si>
    <t>Pressure</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</si>
  <si>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</si>
  <si>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</si>
  <si>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</si>
  <si>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</si>
  <si>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</si>
  <si>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</si>
  <si>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</si>
  <si>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</si>
  <si>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</si>
  <si>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</si>
  <si>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</si>
  <si>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</si>
  <si>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</si>
  <si>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</si>
  <si>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</si>
  <si>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</si>
  <si>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</si>
  <si>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</si>
  <si>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kJ/kg</t>
  </si>
  <si>
    <t>FULL NAME</t>
  </si>
  <si>
    <t>MIN BOUND</t>
  </si>
  <si>
    <t>MAX BOUND</t>
  </si>
  <si>
    <t>LATEX SYNTAX</t>
  </si>
  <si>
    <t>kJ/kgK</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</si>
  <si>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</si>
  <si>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</si>
  <si>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</si>
  <si>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</si>
  <si>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</si>
  <si>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</si>
  <si>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</si>
  <si>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</si>
  <si>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</si>
  <si>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</si>
  <si>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</si>
  <si>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</si>
  <si>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</si>
  <si>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</si>
  <si>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</si>
  <si>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</si>
  <si>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</si>
  <si>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</si>
  <si>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</si>
  <si>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</si>
  <si>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</si>
  <si>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</si>
  <si>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</si>
  <si>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</si>
  <si>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</si>
  <si>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</si>
  <si>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</si>
  <si>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</si>
  <si>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</si>
  <si>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</si>
  <si>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Original file</t>
  </si>
  <si>
    <t>PARAMETER</t>
  </si>
  <si>
    <t>Drawio</t>
  </si>
  <si>
    <t>.xml</t>
  </si>
  <si>
    <t>50 kB</t>
  </si>
  <si>
    <t>See SUPPL MATERIAL tab</t>
  </si>
  <si>
    <t>VARIABLE NAME</t>
  </si>
  <si>
    <t>SOFTWARE FILE</t>
  </si>
  <si>
    <t>UID</t>
  </si>
  <si>
    <t>Metadata is important for model documentation and versioning, as well as for authorship and supplementary material indexation</t>
  </si>
  <si>
    <t>SHARING LAYER</t>
  </si>
  <si>
    <t>Lower heating value of methane</t>
  </si>
  <si>
    <t>SUBTYPE</t>
  </si>
  <si>
    <t>REFERENCE</t>
  </si>
  <si>
    <t>@Towler and Sinnott</t>
  </si>
  <si>
    <t>Material</t>
  </si>
  <si>
    <t>Carbon Steel</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</si>
  <si>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</si>
  <si>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</si>
  <si>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</si>
  <si>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</si>
  <si>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</si>
  <si>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</si>
  <si>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</si>
  <si>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</si>
  <si>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</si>
  <si>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</si>
  <si>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</si>
  <si>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</si>
  <si>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K</t>
  </si>
  <si>
    <t>DTMIN CONTR VALUE</t>
  </si>
  <si>
    <t>DTMIN CONTR UNIT</t>
  </si>
  <si>
    <t>HEAT TRANSFER COEF VALUE</t>
  </si>
  <si>
    <t>HEAT TRANSFER COEF UNIT</t>
  </si>
  <si>
    <t>REFERENCE STREAM</t>
  </si>
  <si>
    <t>Yes</t>
  </si>
  <si>
    <t>No</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</si>
  <si>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</si>
  <si>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</si>
  <si>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</si>
  <si>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</si>
  <si>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</si>
  <si>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</si>
  <si>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</si>
  <si>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</si>
  <si>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</si>
  <si>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</si>
  <si>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</si>
  <si>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</si>
  <si>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</si>
  <si>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</si>
  <si>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</si>
  <si>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</si>
  <si>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</si>
  <si>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</si>
  <si>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</si>
  <si>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</si>
  <si>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</si>
  <si>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</si>
  <si>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</si>
  <si>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</si>
  <si>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</si>
  <si>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</si>
  <si>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</si>
  <si>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</si>
  <si>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</si>
  <si>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</si>
  <si>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</si>
  <si>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Methanol to SNG</t>
  </si>
  <si>
    <t>Daniel Florez-Orrego, Meire Domingos</t>
  </si>
  <si>
    <t>MeOH, SNG, Methanol to SNG, Methanol reforming, Synthetic natural gas</t>
  </si>
  <si>
    <t>Methanol reforming, WGS and PSA to get stoich ratio for SNG production ([(H2-CO2)/(CO+CO2)] = 3)</t>
  </si>
  <si>
    <t>Domingos et al. https://www.sciencedirect.com/science/article/pii/S009813542200148X?via%3Dihub</t>
  </si>
  <si>
    <t>None</t>
  </si>
  <si>
    <t>Figures/MeOHtoSNG.svg</t>
  </si>
  <si>
    <t>METHANOL</t>
  </si>
  <si>
    <t>MASSFRAC:CH4O[1]</t>
  </si>
  <si>
    <t>OXYGEN</t>
  </si>
  <si>
    <t>MASSFRAC:O2[1]</t>
  </si>
  <si>
    <t>SNG</t>
  </si>
  <si>
    <t>MASSFRAC:CH4[0.99]</t>
  </si>
  <si>
    <t>m3/h</t>
  </si>
  <si>
    <t>Consumed electricity for O2 compressors and pumps</t>
  </si>
  <si>
    <t>Consumed water feedstock into the MeOH reforming unit</t>
  </si>
  <si>
    <t>Elec</t>
  </si>
  <si>
    <t>MeohProd</t>
  </si>
  <si>
    <t>Consumed methanol feedstock into the MeOH reforming unit</t>
  </si>
  <si>
    <t>water</t>
  </si>
  <si>
    <t>oxyvent</t>
  </si>
  <si>
    <t>Consumed oxygen from ASU or electrolyzer into the MeOH reforming unit</t>
  </si>
  <si>
    <t>CO2 separated in PSA unit and unconverted CO2 from methanation section</t>
  </si>
  <si>
    <t>Produced SNG from methanator</t>
  </si>
  <si>
    <t>MeohSyngasToSNG</t>
  </si>
  <si>
    <t>SYNGAS</t>
  </si>
  <si>
    <t>MASSFRAC:CO2[0.7691]&amp;CO[0.0718]&amp;H2[0.1564]</t>
  </si>
  <si>
    <t>Intermediate syngas from MeOH reforming unit into the methanator</t>
  </si>
  <si>
    <t>dtmin_gas</t>
  </si>
  <si>
    <t>Minimum temperature difference contribution of the gaseous streams</t>
  </si>
  <si>
    <t>$\mathrm{dtmin\_gas}$</t>
  </si>
  <si>
    <t>MeOH_feed</t>
  </si>
  <si>
    <t>Methanol pumped to reformer at 350C and 35bar</t>
  </si>
  <si>
    <t>$\mathrm{MeOH\_feed}$</t>
  </si>
  <si>
    <t>water_feed</t>
  </si>
  <si>
    <t>Water consumption at 1 bar to be pumped up to 35bar</t>
  </si>
  <si>
    <t>$\mathrm{water\_feed}$</t>
  </si>
  <si>
    <t>water_cond</t>
  </si>
  <si>
    <t>Water condensate at 1 bar</t>
  </si>
  <si>
    <t>$\mathrm{water\_cond}$</t>
  </si>
  <si>
    <t>O2_feed</t>
  </si>
  <si>
    <t>Oxygen consumption at 1 bar to be compressed up to 35bar</t>
  </si>
  <si>
    <t>$\mathrm{O2\_feed}$</t>
  </si>
  <si>
    <t>o2_h1_ti</t>
  </si>
  <si>
    <t>Temperature outlet first O2 compressor</t>
  </si>
  <si>
    <t>$\mathrm{o2\_h1\_ti}$</t>
  </si>
  <si>
    <t>o2_h1_to</t>
  </si>
  <si>
    <t>Temperature of intercooling first O2 compressor</t>
  </si>
  <si>
    <t>$\mathrm{o2\_h1\_to}$</t>
  </si>
  <si>
    <t>o2_h1_ho</t>
  </si>
  <si>
    <t>Intercooling duty of first O2 compressor from 1 to 3 bar</t>
  </si>
  <si>
    <t>$\mathrm{o2\_h1\_ho}$</t>
  </si>
  <si>
    <t>o2_h2_ti</t>
  </si>
  <si>
    <t>Temperature outlet second O2 compressor</t>
  </si>
  <si>
    <t>$\mathrm{o2\_h2\_ti}$</t>
  </si>
  <si>
    <t>o2_h2_to</t>
  </si>
  <si>
    <t>Temperature of intercooling second O2 compressor</t>
  </si>
  <si>
    <t>$\mathrm{o2\_h2\_to}$</t>
  </si>
  <si>
    <t>o2_h2_ho</t>
  </si>
  <si>
    <t>Intercooling duty of second O2 compressor from 3 to 10 bar</t>
  </si>
  <si>
    <t>$\mathrm{o2\_h2\_ho}$</t>
  </si>
  <si>
    <t>o2_h3_ti</t>
  </si>
  <si>
    <t>Temperature outlet third O2 compressor 3</t>
  </si>
  <si>
    <t>$\mathrm{o2\_h3\_ti}$</t>
  </si>
  <si>
    <t>o2_h3_to</t>
  </si>
  <si>
    <t>Temperature of intercooling O2 compressor 3</t>
  </si>
  <si>
    <t>$\mathrm{o2\_h3\_to}$</t>
  </si>
  <si>
    <t>o2_h3_ho</t>
  </si>
  <si>
    <t>Intercooling duty of O2 compressor 2 from 10 to 30 bar</t>
  </si>
  <si>
    <t>$\mathrm{o2\_h3\_ho}$</t>
  </si>
  <si>
    <t>o2_h4_ti</t>
  </si>
  <si>
    <t>Temperature of oxygen preheater inlet</t>
  </si>
  <si>
    <t>$\mathrm{o2\_h4\_ti}$</t>
  </si>
  <si>
    <t>o2_h4_to</t>
  </si>
  <si>
    <t>Temperature of oxygen preheater outlet</t>
  </si>
  <si>
    <t>$\mathrm{o2\_h4\_to}$</t>
  </si>
  <si>
    <t>o2_h4_ho</t>
  </si>
  <si>
    <t>Oxygen preheating after compressor outlet at 35 bar</t>
  </si>
  <si>
    <t>$\mathrm{o2\_h4\_ho}$</t>
  </si>
  <si>
    <t>e_o2_1</t>
  </si>
  <si>
    <t>Power consumption in first oxygen compressor</t>
  </si>
  <si>
    <t>$\mathrm{e\_o2\_1}$</t>
  </si>
  <si>
    <t>e_o2_2</t>
  </si>
  <si>
    <t>Power consumption in second oxygen compressor</t>
  </si>
  <si>
    <t>$\mathrm{e\_o2\_2}$</t>
  </si>
  <si>
    <t>e_o2_3</t>
  </si>
  <si>
    <t>Power consumption in third oxygen compressor</t>
  </si>
  <si>
    <t>$\mathrm{e\_o2\_3}$</t>
  </si>
  <si>
    <t>e_o2_4</t>
  </si>
  <si>
    <t>Power consumption in fourth oxygen compressor</t>
  </si>
  <si>
    <t>$\mathrm{e\_o2\_4}$</t>
  </si>
  <si>
    <t>e_pump_1</t>
  </si>
  <si>
    <t>Power consumption in methanol pump from 1 to 35 bar</t>
  </si>
  <si>
    <t>$\mathrm{e\_pump\_1}$</t>
  </si>
  <si>
    <t>e_pump_2</t>
  </si>
  <si>
    <t>Power consumption in water pump from 1 to 35 bar</t>
  </si>
  <si>
    <t>$\mathrm{e\_pump\_2}$</t>
  </si>
  <si>
    <t>mix_c1_ti</t>
  </si>
  <si>
    <t>Temperature inlet of the methanol and water preheating in HEX 1</t>
  </si>
  <si>
    <t>$\mathrm{mix\_c1\_ti}$</t>
  </si>
  <si>
    <t>mix_c1_to</t>
  </si>
  <si>
    <t>Temperature outlet of the methanol and water preheating in HEX 1</t>
  </si>
  <si>
    <t>$\mathrm{mix\_c1\_to}$</t>
  </si>
  <si>
    <t>mix_c1_ho</t>
  </si>
  <si>
    <t>PreHeating of methanol and water in HEX 1</t>
  </si>
  <si>
    <t>$\mathrm{mix\_c1\_ho}$</t>
  </si>
  <si>
    <t>mix_c2_ti</t>
  </si>
  <si>
    <t>Temperature inlet of the methanol and water preheating in HEX 2</t>
  </si>
  <si>
    <t>$\mathrm{mix\_c2\_ti}$</t>
  </si>
  <si>
    <t>mix_c2_to</t>
  </si>
  <si>
    <t>Temperature outlet of the methanol and water preheating in HEX 2</t>
  </si>
  <si>
    <t>$\mathrm{mix\_c2\_to}$</t>
  </si>
  <si>
    <t>mix_c2_ho</t>
  </si>
  <si>
    <t>PreHeating of methanol and water in HEX 2</t>
  </si>
  <si>
    <t>$\mathrm{mix\_c2\_ho}$</t>
  </si>
  <si>
    <t>mix_c3_ti</t>
  </si>
  <si>
    <t>Temperature inlet of the methanol and water preheating in HEX 3</t>
  </si>
  <si>
    <t>$\mathrm{mix\_c3\_ti}$</t>
  </si>
  <si>
    <t>mix_c3_to</t>
  </si>
  <si>
    <t>Temperature outlet of the methanol and water preheating in HEX 3</t>
  </si>
  <si>
    <t>$\mathrm{mix\_c3\_to}$</t>
  </si>
  <si>
    <t>mix_c3_ho</t>
  </si>
  <si>
    <t>PreHeating of methanol and water in HEX 3</t>
  </si>
  <si>
    <t>$\mathrm{mix\_c3\_ho}$</t>
  </si>
  <si>
    <t>gas_h11_ti</t>
  </si>
  <si>
    <t>Temperature inlet of the cooler after the first water gas shift reactor</t>
  </si>
  <si>
    <t>$\mathrm{gas\_h11\_ti}$</t>
  </si>
  <si>
    <t>gas_h11_to</t>
  </si>
  <si>
    <t>Temperature outlet of the cooler after the first water gas shift reactor</t>
  </si>
  <si>
    <t>$\mathrm{gas\_h11\_to}$</t>
  </si>
  <si>
    <t>gas_h11_ho</t>
  </si>
  <si>
    <t>Cooling duty of the cooler after the first water gas shift reactor</t>
  </si>
  <si>
    <t>$\mathrm{gas\_h11\_ho}$</t>
  </si>
  <si>
    <t>gas_h12_ti</t>
  </si>
  <si>
    <t>Temperature inlet of the cooler after the second water gas shift reactor</t>
  </si>
  <si>
    <t>$\mathrm{gas\_h12\_ti}$</t>
  </si>
  <si>
    <t>gas_h12_to</t>
  </si>
  <si>
    <t>Temperature outlet of the cooler after the second water gas shift reactor</t>
  </si>
  <si>
    <t>$\mathrm{gas\_h12\_to}$</t>
  </si>
  <si>
    <t>gas_h12_ho</t>
  </si>
  <si>
    <t>Cooling duty of the cooler after the second water gas shift reactor</t>
  </si>
  <si>
    <t>$\mathrm{gas\_h12\_ho}$</t>
  </si>
  <si>
    <t>FeedstockATR</t>
  </si>
  <si>
    <t>Mass flow rate of total feed to ATR</t>
  </si>
  <si>
    <t>$\mathrm{FeedstockATR}$</t>
  </si>
  <si>
    <t>syngastoSNGtotal</t>
  </si>
  <si>
    <t>Mass flow rate of syngas to methanator 35 bar, massfrac [76.91%CO2, 7.18%CO, 15.64%H2, 0%CH4]</t>
  </si>
  <si>
    <t>$\mathrm{syngastoSNGtotal}$</t>
  </si>
  <si>
    <t>syngastoSNGtotal_molf</t>
  </si>
  <si>
    <t>Molar flow rate of syngas to methanator 35 bar, molfrac [17.87%CO2, 2.62%CO, 79.36%H2, 0%CH4]</t>
  </si>
  <si>
    <t>kmol/h</t>
  </si>
  <si>
    <t>$\mathrm{syngastoSNGtotal\_molf}$</t>
  </si>
  <si>
    <t>CO2sep</t>
  </si>
  <si>
    <t>Low pressure CO2 separated in the PSA unit at 1 bar before the methanation process</t>
  </si>
  <si>
    <t>$\mathrm{CO2sep}$</t>
  </si>
  <si>
    <t>sngprod_c1_ti</t>
  </si>
  <si>
    <t>Temperature inlet of the preheater to the methanator</t>
  </si>
  <si>
    <t>$\mathrm{sngprod\_c1\_ti}$</t>
  </si>
  <si>
    <t>sngprod_c1_to</t>
  </si>
  <si>
    <t>Temperature outlet of the preheater to the methanator</t>
  </si>
  <si>
    <t>$\mathrm{sngprod\_c1\_to}$</t>
  </si>
  <si>
    <t>sngprod_c1_ho</t>
  </si>
  <si>
    <t>Methanator feed preheating</t>
  </si>
  <si>
    <t>$\mathrm{sngprod\_c1\_ho}$</t>
  </si>
  <si>
    <t>sngprod_h1_ti</t>
  </si>
  <si>
    <t>Temperature inlet of the first methanator intercooler</t>
  </si>
  <si>
    <t>$\mathrm{sngprod\_h1\_ti}$</t>
  </si>
  <si>
    <t>sngprod_h1_to</t>
  </si>
  <si>
    <t>Temperature outlet of the first methanator intercooler</t>
  </si>
  <si>
    <t>$\mathrm{sngprod\_h1\_to}$</t>
  </si>
  <si>
    <t>sngprod_h1_ho</t>
  </si>
  <si>
    <t>Cooling duty of the first methanator intercooler</t>
  </si>
  <si>
    <t>$\mathrm{sngprod\_h1\_ho}$</t>
  </si>
  <si>
    <t>sngprod_h2_ti</t>
  </si>
  <si>
    <t>Temperature inlet of the second methanator intercooler</t>
  </si>
  <si>
    <t>$\mathrm{sngprod\_h2\_ti}$</t>
  </si>
  <si>
    <t>sngprod_h2_to</t>
  </si>
  <si>
    <t>Temperature outlet of the second methanator intercooler</t>
  </si>
  <si>
    <t>$\mathrm{sngprod\_h2\_to}$</t>
  </si>
  <si>
    <t>sngprod_h2_ho</t>
  </si>
  <si>
    <t>Cooling duty of the second methanator intercooler</t>
  </si>
  <si>
    <t>$\mathrm{sngprod\_h2\_ho}$</t>
  </si>
  <si>
    <t>sngprod_h3_ti</t>
  </si>
  <si>
    <t>Temperature inlet of the third methanator intercooler</t>
  </si>
  <si>
    <t>$\mathrm{sngprod\_h3\_ti}$</t>
  </si>
  <si>
    <t>sngprod_h3_to</t>
  </si>
  <si>
    <t>Temperature outlet of the third methanator intercooler</t>
  </si>
  <si>
    <t>$\mathrm{sngprod\_h3\_to}$</t>
  </si>
  <si>
    <t>sngprod_h3_ho</t>
  </si>
  <si>
    <t>Cooling duty of the third methanator intercooler</t>
  </si>
  <si>
    <t>$\mathrm{sngprod\_h3\_ho}$</t>
  </si>
  <si>
    <t>LHV_CH4</t>
  </si>
  <si>
    <t>$\mathrm{LHV\_CH4}$</t>
  </si>
  <si>
    <t>CH4massflow</t>
  </si>
  <si>
    <t>Mass flow of produced methane at 30°C and 35 bar</t>
  </si>
  <si>
    <t>$\mathrm{CH4massflow}$</t>
  </si>
  <si>
    <t>CH4molflow</t>
  </si>
  <si>
    <t>Molar flow of produced methane at 30°C and 35 bar</t>
  </si>
  <si>
    <t>$\mathrm{CH4molflow}$</t>
  </si>
  <si>
    <t>Condensateflow</t>
  </si>
  <si>
    <t>Water production in methanation reaction</t>
  </si>
  <si>
    <t>$\mathrm{Condensateflow}$</t>
  </si>
  <si>
    <t>CO2unconverted</t>
  </si>
  <si>
    <t>Low pressure unconverted CO2 at 1 bar, separated in the PSA unit after the methanation section</t>
  </si>
  <si>
    <t>$\mathrm{CO2unconverted}$</t>
  </si>
  <si>
    <t>Spec_reformwgspsa</t>
  </si>
  <si>
    <t>350M Eur for 8000 tpd of ATR feedstock</t>
  </si>
  <si>
    <t>$\mathrm{Spec\_reformwgspsa}$</t>
  </si>
  <si>
    <t>Spec_MethntrCost</t>
  </si>
  <si>
    <t>Investment cost of methanator</t>
  </si>
  <si>
    <t>$\mathrm{Spec\_MethntrCost}$</t>
  </si>
  <si>
    <t>n</t>
  </si>
  <si>
    <t>CONTEXT</t>
  </si>
  <si>
    <t>Interest rate</t>
  </si>
  <si>
    <t>yr</t>
  </si>
  <si>
    <t>$\mathrm{n}$</t>
  </si>
  <si>
    <t>i</t>
  </si>
  <si>
    <t>Lifetime of the methanator</t>
  </si>
  <si>
    <t>$\mathrm{i}$</t>
  </si>
  <si>
    <t>CEPCI_2020</t>
  </si>
  <si>
    <t>$\mathrm{CEPCI\_2020}$</t>
  </si>
  <si>
    <t>CH4energyflow</t>
  </si>
  <si>
    <t>Energy flow rate of produced methane from methanol reforming</t>
  </si>
  <si>
    <t>$\mathrm{CH4energyflow}$</t>
  </si>
  <si>
    <t>waterfeedm3</t>
  </si>
  <si>
    <t>Volumetric flow rate of water feed</t>
  </si>
  <si>
    <t>$\mathrm{waterfeedm3}$</t>
  </si>
  <si>
    <t>e_demand</t>
  </si>
  <si>
    <t>Total power consumption</t>
  </si>
  <si>
    <t>$\mathrm{e\_demand}$</t>
  </si>
  <si>
    <t>Annuity</t>
  </si>
  <si>
    <t>Annualization factor</t>
  </si>
  <si>
    <t>$\mathrm{Annuity}$</t>
  </si>
  <si>
    <t>Cinv2_Reform</t>
  </si>
  <si>
    <t>Investment cost of the reforming section</t>
  </si>
  <si>
    <t>Eur/y</t>
  </si>
  <si>
    <t>$\mathrm{Cinv2\_Reform}$</t>
  </si>
  <si>
    <t>Cinv2_SyngastoSNG</t>
  </si>
  <si>
    <t>Investment cost of the methanation section</t>
  </si>
  <si>
    <t>$\mathrm{Cinv2\_SyngastoSNG}$</t>
  </si>
  <si>
    <t>dtmin_liq</t>
  </si>
  <si>
    <t>$\mathrm{dtmin\_liq}$</t>
  </si>
  <si>
    <t>Domingos et al.</t>
  </si>
  <si>
    <t>Minimum temperature difference contribution from liquids</t>
  </si>
  <si>
    <t>dtmin_2ph</t>
  </si>
  <si>
    <t>$\mathrm{dtmin\_2ph}$</t>
  </si>
  <si>
    <t>Minimum temperature difference contribution from phase change</t>
  </si>
  <si>
    <t>CEPCI 2020</t>
  </si>
  <si>
    <t>Eur/(kg/h)</t>
  </si>
  <si>
    <t>Eur/kW</t>
  </si>
  <si>
    <t>CH4massflow*LHV_CH4/3600</t>
  </si>
  <si>
    <t>(water_feed-water_cond)/1000</t>
  </si>
  <si>
    <t>e_o2_1+e_o2_2+e_o2_3+e_o2_4+e_pump_1+e_pump_2</t>
  </si>
  <si>
    <t>(i*(i+1)^n)/((i+1)^n-1)</t>
  </si>
  <si>
    <t>Spec_reformwgspsa*FeedstockATR*(CEPCI_2020/CEPCI_2020)*Annuity</t>
  </si>
  <si>
    <t>Spec_MethntrCost*CH4energyflow*(CEPCI_2020/CEPCI_2020)*Annuity</t>
  </si>
  <si>
    <t>MeOHtoSNG</t>
  </si>
  <si>
    <t>qt_h110</t>
  </si>
  <si>
    <t>qt_h111</t>
  </si>
  <si>
    <t>qt_h112</t>
  </si>
  <si>
    <t>qt_h113</t>
  </si>
  <si>
    <t>qt_c118</t>
  </si>
  <si>
    <t>qt_c119</t>
  </si>
  <si>
    <t>qt_c120</t>
  </si>
  <si>
    <t>qt_h119</t>
  </si>
  <si>
    <t>qt_h120</t>
  </si>
  <si>
    <t>SyngasMethanator</t>
  </si>
  <si>
    <t>qt_h116</t>
  </si>
  <si>
    <t>qt_h117</t>
  </si>
  <si>
    <t>qt_h118</t>
  </si>
  <si>
    <t>qt_c109</t>
  </si>
  <si>
    <t>MeOHReform</t>
  </si>
  <si>
    <t>O2 Comp Stage 1 Intercooling (1 to 3 bar)</t>
  </si>
  <si>
    <t>O2 Comp Stage 2 Intercooling (3 to 10 bar)</t>
  </si>
  <si>
    <t>O2 Comp Stage 3 Intercooling (10 to 30 bar)</t>
  </si>
  <si>
    <t>O2 final preheating to reactor entry</t>
  </si>
  <si>
    <t>Liquid MeOH/Water mixture preheating</t>
  </si>
  <si>
    <t>Latent heat of vaporization for MeOH/Water mix</t>
  </si>
  <si>
    <t>Superheating of MeOH/Water vapor to 350C</t>
  </si>
  <si>
    <t>High-temp syngas cooling post-WGS</t>
  </si>
  <si>
    <t>Low-temp syngas cooling and water condensation</t>
  </si>
  <si>
    <t>Methanol pumped to reformer</t>
  </si>
  <si>
    <t xml:space="preserve">Water consumption </t>
  </si>
  <si>
    <t>Water condensate</t>
  </si>
  <si>
    <t>DTmin for gaseous streams</t>
  </si>
  <si>
    <t>DTmin for liquids</t>
  </si>
  <si>
    <t>DTmin for phase change</t>
  </si>
  <si>
    <t>Oxygen consumption</t>
  </si>
  <si>
    <t>Intercooling duty of first O2 compressor</t>
  </si>
  <si>
    <t xml:space="preserve">Intercooling duty of second O2 compressor </t>
  </si>
  <si>
    <t xml:space="preserve">Intercooling duty of O2 compressor 2 </t>
  </si>
  <si>
    <t>Oxygen preheating after compressor outlet</t>
  </si>
  <si>
    <t xml:space="preserve">Power consumption in water pump </t>
  </si>
  <si>
    <t xml:space="preserve">Power consumption in methanol pump </t>
  </si>
  <si>
    <t>Temperature inlet  HEX 1</t>
  </si>
  <si>
    <t>Temperature outlet of  HEX 1</t>
  </si>
  <si>
    <t>Preheating  power in HEX 1</t>
  </si>
  <si>
    <t>Temperature inlet of  HEX 2</t>
  </si>
  <si>
    <t>Temperature outlet of HEX 2</t>
  </si>
  <si>
    <t>PreHeating of HEX 2</t>
  </si>
  <si>
    <t>Temperature inlet of HEX 3</t>
  </si>
  <si>
    <t>Temperature outlet of HEX 3</t>
  </si>
  <si>
    <t>Preheating power of HEX 3</t>
  </si>
  <si>
    <t xml:space="preserve">Cooling duty of the first water gas shift </t>
  </si>
  <si>
    <t>Temperature inlet of second water gas shif</t>
  </si>
  <si>
    <t xml:space="preserve">Temperature inlet of first water gas shift </t>
  </si>
  <si>
    <t>Temperature outlet of the first water gas shift</t>
  </si>
  <si>
    <t>Temperature outlet of second water gas shift</t>
  </si>
  <si>
    <t>Cooling duty of the second water gas shift</t>
  </si>
  <si>
    <t xml:space="preserve">Mass flow rate of syngas to methanator </t>
  </si>
  <si>
    <t>Molar flow rate of syngas to methanator</t>
  </si>
  <si>
    <t>Low pressure CO2 separated in the PSA unit</t>
  </si>
  <si>
    <t>Temperature inlet of the preheater of methanator</t>
  </si>
  <si>
    <t>Temperature outlet of the preheater of methanator</t>
  </si>
  <si>
    <t>Mass flow of produced methane</t>
  </si>
  <si>
    <t>Molar flow of produced methane</t>
  </si>
  <si>
    <t>Low pressure unconverted CO2</t>
  </si>
  <si>
    <t>Specific price of methanator per kg/h of feedstock</t>
  </si>
  <si>
    <t>Energy flow rate of produced methane</t>
  </si>
  <si>
    <t>[1] Domingos et al. https://www.sciencedirect.com/science/article/pii/S009813542200148X?via%3Dihub;
[2] https://www.sciencedirect.com/science/article/pii/S0196890422000413;</t>
  </si>
  <si>
    <t>First bed cooling</t>
  </si>
  <si>
    <t>Second bed cooling</t>
  </si>
  <si>
    <t>Third bed cooling</t>
  </si>
  <si>
    <t>This unit models the autothermal reforming (ATR) of methanol combined with water gas shift (WGS) reactors and a pressure swing adsorption (PSA) unit to produce a syngas with stoichiometric ratio [(H2−CO2)/(CO+CO2)] = 3 suitable for SNG production via methanation. The unit consumes methanol (12 103 kg/h) and produces syngas (12 709 kg/h) . Total electrical demand is 219 kW.</t>
  </si>
  <si>
    <t>Methanol, water and oxygen are fed into the ATR reformer at 1 bar and compressed/pumped to 35 bar internally. The unit outputs syngas to the methanator and separated CO2 at low pressure. Electricity is consumed for O2 compression and feed pumping. No steam connectors are required as the ATR is autothermal. Net water flow accounts for condensate recovery.</t>
  </si>
  <si>
    <t>Oxygen is intercooled between the four compression stages and then preheated before entering the ATR. The methanol/water mixture is preheated in three stages (liquid sensible, vaporisation, superheating). The syngas leaving the ATR is cooled in two stages after the WGS reactors to condense water before the PSA.</t>
  </si>
  <si>
    <t xml:space="preserve">The main equipment items cover the four-stage O2 compressor train with intercoolers, the feed pumps (methanol and water), the heat exchanger network (preheating and cooling), and the ATR reformer vessel. </t>
  </si>
  <si>
    <t>O2CompressorTrain</t>
  </si>
  <si>
    <t>Compressor</t>
  </si>
  <si>
    <t>Multi-stage centrifugal</t>
  </si>
  <si>
    <t>Stages</t>
  </si>
  <si>
    <t>Pressure ratio</t>
  </si>
  <si>
    <t>FeedPumps</t>
  </si>
  <si>
    <t>Centrifugal</t>
  </si>
  <si>
    <t>Number</t>
  </si>
  <si>
    <t>Stainless Steel</t>
  </si>
  <si>
    <t>HeatExchangerNetwork</t>
  </si>
  <si>
    <t>Heat Exchanger</t>
  </si>
  <si>
    <t>Shell and tube</t>
  </si>
  <si>
    <t>Duty</t>
  </si>
  <si>
    <t>Streams</t>
  </si>
  <si>
    <t>ATRReformer</t>
  </si>
  <si>
    <t>Reactor</t>
  </si>
  <si>
    <t>Autothermal fixed-bed</t>
  </si>
  <si>
    <t>@Domingos et al.</t>
  </si>
  <si>
    <t>Feedstock</t>
  </si>
  <si>
    <t>Temperature</t>
  </si>
  <si>
    <t>PSAUnit</t>
  </si>
  <si>
    <t>Separation</t>
  </si>
  <si>
    <t>Pressure swing adsorption</t>
  </si>
  <si>
    <t>CO2 separated</t>
  </si>
  <si>
    <t>The SyngasMethanator converts syngas from the MeOH reforming unit into substitute natural gas (SNG) via catalytic methanation at 35 bar. The process uses three adiabatic fixed-bed reactors with intercooling to manage the strongly exothermic Sabatier reaction. The unit produces 4 081 kg/h of CH4.</t>
  </si>
  <si>
    <t>ENERGY</t>
  </si>
  <si>
    <t>Investment is captured globally via Spec_MethntrCost (300 EUR/kW_CH4) in the VARIABLES sheet. The equipment entries below serve as cross-check references.</t>
  </si>
  <si>
    <t>Adiabatic fixed-bed</t>
  </si>
  <si>
    <t>CH4 output</t>
  </si>
  <si>
    <t>MethanatorBeds</t>
  </si>
  <si>
    <t>Beds</t>
  </si>
  <si>
    <t>Temperature (max)</t>
  </si>
  <si>
    <t>IntercoolerHEN</t>
  </si>
  <si>
    <t>Towler and Sinnott</t>
  </si>
  <si>
    <t>Total duty</t>
  </si>
  <si>
    <t>SNG_Dryer</t>
  </si>
  <si>
    <t>Molecular sieve</t>
  </si>
  <si>
    <t>SNG flow</t>
  </si>
  <si>
    <t>Syngas is preheated and goes throught three fixed-bed reactor followed by intercooling.</t>
  </si>
  <si>
    <t>Syngas is consumed to produce methane. The reaction produces water and CO2.</t>
  </si>
  <si>
    <t>Operating Pressure: Feedstocks enter at 1 bar and are compressed/pumped to 35 bar internally.</t>
  </si>
  <si>
    <t>EPFL IPESE research group</t>
  </si>
  <si>
    <t>[2]</t>
  </si>
  <si>
    <t>4. Investment and Operating Costs</t>
  </si>
  <si>
    <t>5. Key Model Parameters</t>
  </si>
  <si>
    <t>This unit models the Autothermal Reforming (ATR) of methanol, integrated with Water Gas Shift (WGS) reactors and a Pressure Swing Adsorption (PSA) unit. The objective is to produce a syngas with a stoichiometric ratio of $M=3$, where $M = \frac{H_2 - CO_2}{CO + CO_2}$.</t>
  </si>
  <si>
    <t>2. Technical Performance</t>
  </si>
  <si>
    <t>3. Syngas Methanator Unit</t>
  </si>
  <si>
    <t>The SyngasMethanator converts syngas into Substitute Natural Gas (SNG) using three adiabatic fixed-bed reactors in series. The process is governed by the exothermic Sabatier reaction:</t>
  </si>
  <si>
    <t>$CO + 3H_2 \rightarrow CH_4 + H_2O$ and $CO_2 + 4H_2 \rightarrow CH_4 + 2H_2O$.</t>
  </si>
  <si>
    <t>6. References</t>
  </si>
  <si>
    <t>1. MeOH Reforming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</si>
</sst>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0"/>
    <numFmt numFmtId="167" formatCode="#,##0.0"/>
  </numFmts>
  <fonts count="18"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i/>
      <sz val="11"/>
      <color theme="1"/>
      <name val="Calibri"/>
      <family val="2"/>
    </font>
  </fonts>
  <fills count="15">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theme="0"/>
      </patternFill>
    </fill>
    <fill>
      <patternFill patternType="solid">
        <fgColor theme="2"/>
        <bgColor indexed="64"/>
      </patternFill>
    </fill>
    <fill>
      <patternFill patternType="solid">
        <fgColor theme="2"/>
        <bgColor rgb="FFFFFFFF"/>
      </patternFill>
    </fill>
    <fill>
      <patternFill patternType="solid">
        <fgColor rgb="FFFFFFFF"/>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5" tint="0.79998168889431442"/>
        <bgColor theme="0"/>
      </patternFill>
    </fill>
    <fill>
      <patternFill patternType="solid">
        <fgColor theme="4" tint="0.59999389629810485"/>
        <bgColor indexed="64"/>
      </patternFill>
    </fill>
  </fills>
  <borders count="120">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right/>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medium">
        <color rgb="FFFFFFFF"/>
      </left>
      <right/>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FFFFFF"/>
      </left>
      <right style="medium">
        <color rgb="FFFFFFFF"/>
      </right>
      <top/>
      <bottom/>
      <diagonal/>
    </border>
    <border>
      <left/>
      <right/>
      <top/>
      <bottom/>
      <diagonal/>
    </border>
    <border>
      <left/>
      <right style="medium">
        <color rgb="FFFFFFFF"/>
      </right>
      <top/>
      <bottom/>
      <diagonal/>
    </border>
    <border>
      <left style="medium">
        <color rgb="FFFFFFFF"/>
      </left>
      <right/>
      <top/>
      <bottom/>
      <diagonal/>
    </border>
    <border>
      <left style="medium">
        <color rgb="FFFFFFFF"/>
      </left>
      <right/>
      <top/>
      <bottom/>
      <diagonal/>
    </border>
    <border>
      <left/>
      <right style="medium">
        <color rgb="FFFFFFFF"/>
      </right>
      <top/>
      <bottom/>
      <diagonal/>
    </border>
    <border>
      <left style="medium">
        <color rgb="FFFFFFFF"/>
      </left>
      <right style="medium">
        <color rgb="FFFFFFFF"/>
      </right>
      <top/>
      <bottom/>
      <diagonal/>
    </border>
    <border>
      <left/>
      <right style="medium">
        <color rgb="FFFFFFFF"/>
      </right>
      <top/>
      <bottom style="medium">
        <color rgb="FFFFFFFF"/>
      </bottom>
      <diagonal/>
    </border>
    <border>
      <left style="medium">
        <color rgb="FFFFFFFF"/>
      </left>
      <right/>
      <top/>
      <bottom style="medium">
        <color rgb="FFFFFFFF"/>
      </bottom>
      <diagonal/>
    </border>
    <border>
      <left style="medium">
        <color rgb="FFFFFFFF"/>
      </left>
      <right/>
      <top style="medium">
        <color rgb="FFFFFFFF"/>
      </top>
      <bottom/>
      <diagonal/>
    </border>
    <border>
      <left style="medium">
        <color rgb="FFFFFFFF"/>
      </left>
      <right style="medium">
        <color rgb="FFFFFFFF"/>
      </right>
      <top style="medium">
        <color rgb="FFFFFFFF"/>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style="thin">
        <color theme="6" tint="0.59996337778862885"/>
      </left>
      <right style="thin">
        <color theme="6" tint="0.59996337778862885"/>
      </right>
      <top style="medium">
        <color indexed="64"/>
      </top>
      <bottom style="thin">
        <color theme="6" tint="0.59996337778862885"/>
      </bottom>
      <diagonal/>
    </border>
    <border>
      <left style="medium">
        <color rgb="FF000000"/>
      </left>
      <right style="thin">
        <color theme="6" tint="0.59996337778862885"/>
      </right>
      <top style="thin">
        <color theme="6" tint="0.59996337778862885"/>
      </top>
      <bottom style="thin">
        <color theme="6" tint="0.59996337778862885"/>
      </bottom>
      <diagonal/>
    </border>
    <border>
      <left style="thin">
        <color theme="6" tint="0.59996337778862885"/>
      </left>
      <right style="thin">
        <color theme="6" tint="0.59996337778862885"/>
      </right>
      <top style="thin">
        <color theme="6" tint="0.59996337778862885"/>
      </top>
      <bottom style="thin">
        <color theme="6" tint="0.59996337778862885"/>
      </bottom>
      <diagonal/>
    </border>
    <border>
      <left style="thin">
        <color theme="6" tint="0.59996337778862885"/>
      </left>
      <right style="medium">
        <color rgb="FF000000"/>
      </right>
      <top style="thin">
        <color theme="6" tint="0.59996337778862885"/>
      </top>
      <bottom style="thin">
        <color theme="6" tint="0.59996337778862885"/>
      </bottom>
      <diagonal/>
    </border>
    <border>
      <left style="medium">
        <color rgb="FF000000"/>
      </left>
      <right style="thin">
        <color theme="6" tint="0.59996337778862885"/>
      </right>
      <top style="thin">
        <color theme="6" tint="0.59996337778862885"/>
      </top>
      <bottom style="medium">
        <color rgb="FF000000"/>
      </bottom>
      <diagonal/>
    </border>
    <border>
      <left style="thin">
        <color theme="6" tint="0.59996337778862885"/>
      </left>
      <right style="thin">
        <color theme="6" tint="0.59996337778862885"/>
      </right>
      <top style="thin">
        <color theme="6" tint="0.59996337778862885"/>
      </top>
      <bottom style="medium">
        <color rgb="FF000000"/>
      </bottom>
      <diagonal/>
    </border>
    <border>
      <left style="thin">
        <color theme="6" tint="0.59996337778862885"/>
      </left>
      <right style="medium">
        <color rgb="FF000000"/>
      </right>
      <top style="thin">
        <color theme="6" tint="0.59996337778862885"/>
      </top>
      <bottom style="medium">
        <color rgb="FF000000"/>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style="medium">
        <color rgb="FF000000"/>
      </left>
      <right style="thin">
        <color theme="6" tint="0.59996337778862885"/>
      </right>
      <top style="medium">
        <color rgb="FF000000"/>
      </top>
      <bottom style="thin">
        <color theme="6" tint="0.59996337778862885"/>
      </bottom>
      <diagonal/>
    </border>
    <border>
      <left style="thin">
        <color theme="6" tint="0.59996337778862885"/>
      </left>
      <right style="thin">
        <color theme="6" tint="0.59996337778862885"/>
      </right>
      <top style="medium">
        <color rgb="FF000000"/>
      </top>
      <bottom style="thin">
        <color theme="6" tint="0.59996337778862885"/>
      </bottom>
      <diagonal/>
    </border>
    <border>
      <left style="thin">
        <color theme="6" tint="0.59996337778862885"/>
      </left>
      <right style="medium">
        <color rgb="FF000000"/>
      </right>
      <top style="medium">
        <color rgb="FF000000"/>
      </top>
      <bottom style="thin">
        <color theme="6" tint="0.59996337778862885"/>
      </bottom>
      <diagonal/>
    </border>
    <border>
      <left style="medium">
        <color rgb="FF000000"/>
      </left>
      <right style="thin">
        <color theme="2" tint="-0.14996795556505021"/>
      </right>
      <top style="medium">
        <color rgb="FF000000"/>
      </top>
      <bottom style="thin">
        <color theme="2" tint="-0.14996795556505021"/>
      </bottom>
      <diagonal/>
    </border>
    <border>
      <left style="thin">
        <color theme="2" tint="-0.14996795556505021"/>
      </left>
      <right style="thin">
        <color theme="2" tint="-0.14996795556505021"/>
      </right>
      <top style="medium">
        <color rgb="FF000000"/>
      </top>
      <bottom style="thin">
        <color theme="2" tint="-0.14996795556505021"/>
      </bottom>
      <diagonal/>
    </border>
    <border>
      <left style="thin">
        <color theme="2" tint="-0.14996795556505021"/>
      </left>
      <right style="medium">
        <color rgb="FF000000"/>
      </right>
      <top style="medium">
        <color rgb="FF000000"/>
      </top>
      <bottom style="thin">
        <color theme="2" tint="-0.14996795556505021"/>
      </bottom>
      <diagonal/>
    </border>
    <border>
      <left style="medium">
        <color rgb="FF000000"/>
      </left>
      <right style="thin">
        <color theme="2" tint="-0.14996795556505021"/>
      </right>
      <top style="thin">
        <color theme="2" tint="-0.14996795556505021"/>
      </top>
      <bottom style="medium">
        <color rgb="FF000000"/>
      </bottom>
      <diagonal/>
    </border>
    <border>
      <left style="thin">
        <color theme="2" tint="-0.14996795556505021"/>
      </left>
      <right style="thin">
        <color theme="2" tint="-0.14996795556505021"/>
      </right>
      <top style="thin">
        <color theme="2" tint="-0.14996795556505021"/>
      </top>
      <bottom style="medium">
        <color rgb="FF000000"/>
      </bottom>
      <diagonal/>
    </border>
    <border>
      <left style="thin">
        <color theme="2" tint="-0.14996795556505021"/>
      </left>
      <right style="medium">
        <color rgb="FF000000"/>
      </right>
      <top style="thin">
        <color theme="2" tint="-0.14996795556505021"/>
      </top>
      <bottom style="medium">
        <color rgb="FF000000"/>
      </bottom>
      <diagonal/>
    </border>
    <border>
      <left style="medium">
        <color rgb="FF000000"/>
      </left>
      <right style="thin">
        <color theme="2" tint="-0.14996795556505021"/>
      </right>
      <top style="thin">
        <color theme="2" tint="-0.14996795556505021"/>
      </top>
      <bottom style="thin">
        <color theme="2" tint="-0.14996795556505021"/>
      </bottom>
      <diagonal/>
    </border>
    <border>
      <left style="thin">
        <color theme="2" tint="-0.14996795556505021"/>
      </left>
      <right style="thin">
        <color theme="2" tint="-0.14996795556505021"/>
      </right>
      <top style="thin">
        <color theme="2" tint="-0.14996795556505021"/>
      </top>
      <bottom style="thin">
        <color theme="2" tint="-0.14996795556505021"/>
      </bottom>
      <diagonal/>
    </border>
    <border>
      <left style="thin">
        <color theme="2" tint="-0.14996795556505021"/>
      </left>
      <right style="medium">
        <color rgb="FF000000"/>
      </right>
      <top style="thin">
        <color theme="2" tint="-0.14996795556505021"/>
      </top>
      <bottom style="thin">
        <color theme="2" tint="-0.14996795556505021"/>
      </bottom>
      <diagonal/>
    </border>
    <border>
      <left style="medium">
        <color indexed="64"/>
      </left>
      <right style="thin">
        <color theme="6" tint="0.59996337778862885"/>
      </right>
      <top style="medium">
        <color indexed="64"/>
      </top>
      <bottom style="thin">
        <color theme="6" tint="0.59996337778862885"/>
      </bottom>
      <diagonal/>
    </border>
    <border>
      <left style="thin">
        <color theme="6" tint="0.59996337778862885"/>
      </left>
      <right style="medium">
        <color indexed="64"/>
      </right>
      <top style="medium">
        <color indexed="64"/>
      </top>
      <bottom style="thin">
        <color theme="6" tint="0.59996337778862885"/>
      </bottom>
      <diagonal/>
    </border>
    <border>
      <left style="medium">
        <color indexed="64"/>
      </left>
      <right style="thin">
        <color theme="6" tint="0.59996337778862885"/>
      </right>
      <top style="thin">
        <color theme="6" tint="0.59996337778862885"/>
      </top>
      <bottom style="thin">
        <color theme="6" tint="0.59996337778862885"/>
      </bottom>
      <diagonal/>
    </border>
    <border>
      <left style="thin">
        <color theme="6" tint="0.59996337778862885"/>
      </left>
      <right style="medium">
        <color indexed="64"/>
      </right>
      <top style="thin">
        <color theme="6" tint="0.59996337778862885"/>
      </top>
      <bottom style="thin">
        <color theme="6" tint="0.59996337778862885"/>
      </bottom>
      <diagonal/>
    </border>
    <border>
      <left style="medium">
        <color indexed="64"/>
      </left>
      <right style="thin">
        <color theme="6" tint="0.59996337778862885"/>
      </right>
      <top style="thin">
        <color theme="6" tint="0.59996337778862885"/>
      </top>
      <bottom style="medium">
        <color indexed="64"/>
      </bottom>
      <diagonal/>
    </border>
    <border>
      <left style="thin">
        <color theme="6" tint="0.59996337778862885"/>
      </left>
      <right style="thin">
        <color theme="6" tint="0.59996337778862885"/>
      </right>
      <top style="thin">
        <color theme="6" tint="0.59996337778862885"/>
      </top>
      <bottom style="medium">
        <color indexed="64"/>
      </bottom>
      <diagonal/>
    </border>
    <border>
      <left style="thin">
        <color theme="6" tint="0.59996337778862885"/>
      </left>
      <right style="medium">
        <color indexed="64"/>
      </right>
      <top style="thin">
        <color theme="6" tint="0.59996337778862885"/>
      </top>
      <bottom style="medium">
        <color indexed="64"/>
      </bottom>
      <diagonal/>
    </border>
    <border>
      <left style="thin">
        <color rgb="FFFFFFFF"/>
      </left>
      <right/>
      <top/>
      <bottom/>
      <diagonal/>
    </border>
    <border>
      <left style="medium">
        <color indexed="64"/>
      </left>
      <right style="thin">
        <color theme="2" tint="-0.14996795556505021"/>
      </right>
      <top style="medium">
        <color indexed="64"/>
      </top>
      <bottom style="medium">
        <color indexed="64"/>
      </bottom>
      <diagonal/>
    </border>
    <border>
      <left style="thin">
        <color theme="2" tint="-0.14996795556505021"/>
      </left>
      <right style="thin">
        <color theme="2" tint="-0.14996795556505021"/>
      </right>
      <top style="medium">
        <color indexed="64"/>
      </top>
      <bottom style="medium">
        <color indexed="64"/>
      </bottom>
      <diagonal/>
    </border>
    <border>
      <left style="thin">
        <color theme="2" tint="-0.14996795556505021"/>
      </left>
      <right style="medium">
        <color indexed="64"/>
      </right>
      <top style="medium">
        <color indexed="64"/>
      </top>
      <bottom style="medium">
        <color indexed="64"/>
      </bottom>
      <diagonal/>
    </border>
    <border>
      <left style="medium">
        <color indexed="64"/>
      </left>
      <right style="thin">
        <color theme="2" tint="-0.14996795556505021"/>
      </right>
      <top style="thin">
        <color theme="2" tint="-0.14996795556505021"/>
      </top>
      <bottom style="thin">
        <color theme="2" tint="-0.14996795556505021"/>
      </bottom>
      <diagonal/>
    </border>
    <border>
      <left style="thin">
        <color theme="2" tint="-0.14996795556505021"/>
      </left>
      <right style="medium">
        <color indexed="64"/>
      </right>
      <top style="thin">
        <color theme="2" tint="-0.14996795556505021"/>
      </top>
      <bottom style="thin">
        <color theme="2" tint="-0.14996795556505021"/>
      </bottom>
      <diagonal/>
    </border>
    <border>
      <left style="medium">
        <color indexed="64"/>
      </left>
      <right style="thin">
        <color theme="2" tint="-0.14996795556505021"/>
      </right>
      <top style="medium">
        <color indexed="64"/>
      </top>
      <bottom style="thin">
        <color theme="2" tint="-0.14996795556505021"/>
      </bottom>
      <diagonal/>
    </border>
    <border>
      <left style="thin">
        <color theme="2" tint="-0.14996795556505021"/>
      </left>
      <right style="thin">
        <color theme="2" tint="-0.14996795556505021"/>
      </right>
      <top style="medium">
        <color indexed="64"/>
      </top>
      <bottom style="thin">
        <color theme="2" tint="-0.14996795556505021"/>
      </bottom>
      <diagonal/>
    </border>
    <border>
      <left style="thin">
        <color theme="2" tint="-0.14996795556505021"/>
      </left>
      <right style="medium">
        <color indexed="64"/>
      </right>
      <top style="medium">
        <color indexed="64"/>
      </top>
      <bottom style="thin">
        <color theme="2" tint="-0.14996795556505021"/>
      </bottom>
      <diagonal/>
    </border>
    <border>
      <left style="medium">
        <color indexed="64"/>
      </left>
      <right style="thin">
        <color theme="2" tint="-0.14996795556505021"/>
      </right>
      <top style="thin">
        <color theme="2" tint="-0.14996795556505021"/>
      </top>
      <bottom style="medium">
        <color indexed="64"/>
      </bottom>
      <diagonal/>
    </border>
    <border>
      <left style="thin">
        <color theme="2" tint="-0.14996795556505021"/>
      </left>
      <right style="thin">
        <color theme="2" tint="-0.14996795556505021"/>
      </right>
      <top style="thin">
        <color theme="2" tint="-0.14996795556505021"/>
      </top>
      <bottom style="medium">
        <color indexed="64"/>
      </bottom>
      <diagonal/>
    </border>
    <border>
      <left style="thin">
        <color theme="2" tint="-0.14996795556505021"/>
      </left>
      <right style="medium">
        <color indexed="64"/>
      </right>
      <top style="thin">
        <color theme="2" tint="-0.14996795556505021"/>
      </top>
      <bottom style="medium">
        <color indexed="64"/>
      </bottom>
      <diagonal/>
    </border>
    <border>
      <left style="medium">
        <color rgb="FF000000"/>
      </left>
      <right style="thin">
        <color theme="2" tint="-0.14996795556505021"/>
      </right>
      <top style="medium">
        <color rgb="FF000000"/>
      </top>
      <bottom style="medium">
        <color rgb="FF000000"/>
      </bottom>
      <diagonal/>
    </border>
    <border>
      <left style="thin">
        <color theme="2" tint="-0.14996795556505021"/>
      </left>
      <right style="medium">
        <color rgb="FF000000"/>
      </right>
      <top style="medium">
        <color rgb="FF000000"/>
      </top>
      <bottom style="medium">
        <color rgb="FF000000"/>
      </bottom>
      <diagonal/>
    </border>
    <border>
      <left/>
      <right/>
      <top style="medium">
        <color indexed="64"/>
      </top>
      <bottom/>
      <diagonal/>
    </border>
  </borders>
  <cellStyleXfs count="2">
    <xf numFmtId="0" fontId="0" fillId="0" borderId="0"/>
    <xf numFmtId="0" fontId="5" fillId="0" borderId="47"/>
  </cellStyleXfs>
  <cellXfs count="387">
    <xf numFmtId="0" fontId="0" fillId="0" borderId="0" xfId="0"/>
    <xf numFmtId="0" fontId="14" fillId="3" borderId="4" xfId="0" applyFont="1" applyFill="1" applyBorder="1" applyAlignment="1">
      <alignment horizontal="center" vertical="center"/>
    </xf>
    <xf numFmtId="0" fontId="14" fillId="3" borderId="5" xfId="0" applyFont="1" applyFill="1" applyBorder="1" applyAlignment="1">
      <alignment horizontal="left" vertical="center"/>
    </xf>
    <xf numFmtId="0" fontId="14" fillId="3" borderId="7" xfId="0" applyFont="1" applyFill="1" applyBorder="1"/>
    <xf numFmtId="0" fontId="14" fillId="3" borderId="3" xfId="0" applyFont="1" applyFill="1" applyBorder="1"/>
    <xf numFmtId="0" fontId="11" fillId="0" borderId="8" xfId="0" applyFont="1" applyBorder="1"/>
    <xf numFmtId="0" fontId="11" fillId="4" borderId="8" xfId="0" applyFont="1" applyFill="1" applyBorder="1"/>
    <xf numFmtId="0" fontId="13" fillId="4" borderId="8" xfId="0" applyFont="1" applyFill="1" applyBorder="1" applyAlignment="1">
      <alignment horizontal="center"/>
    </xf>
    <xf numFmtId="0" fontId="11" fillId="0" borderId="14" xfId="0" applyFont="1" applyBorder="1"/>
    <xf numFmtId="0" fontId="14" fillId="3" borderId="15" xfId="0" applyFont="1" applyFill="1" applyBorder="1"/>
    <xf numFmtId="0" fontId="14" fillId="3" borderId="16" xfId="0" applyFont="1" applyFill="1" applyBorder="1"/>
    <xf numFmtId="0" fontId="12" fillId="0" borderId="18" xfId="0" applyFont="1" applyBorder="1"/>
    <xf numFmtId="0" fontId="11" fillId="0" borderId="18" xfId="0" applyFont="1" applyBorder="1"/>
    <xf numFmtId="0" fontId="14" fillId="3" borderId="19" xfId="0" applyFont="1" applyFill="1" applyBorder="1"/>
    <xf numFmtId="0" fontId="14" fillId="4" borderId="20" xfId="0" applyFont="1" applyFill="1" applyBorder="1"/>
    <xf numFmtId="0" fontId="14" fillId="3" borderId="22" xfId="0" applyFont="1" applyFill="1" applyBorder="1"/>
    <xf numFmtId="0" fontId="11" fillId="0" borderId="20" xfId="0" applyFont="1" applyBorder="1"/>
    <xf numFmtId="0" fontId="16" fillId="4" borderId="1" xfId="0" applyFont="1" applyFill="1" applyBorder="1" applyAlignment="1">
      <alignment horizontal="left"/>
    </xf>
    <xf numFmtId="0" fontId="14" fillId="4" borderId="1" xfId="0" applyFont="1" applyFill="1" applyBorder="1"/>
    <xf numFmtId="0" fontId="14" fillId="4" borderId="1" xfId="0" applyFont="1" applyFill="1" applyBorder="1" applyAlignment="1">
      <alignment horizontal="left"/>
    </xf>
    <xf numFmtId="0" fontId="11" fillId="4" borderId="1" xfId="0" applyFont="1" applyFill="1" applyBorder="1" applyAlignment="1">
      <alignment horizontal="left"/>
    </xf>
    <xf numFmtId="0" fontId="11" fillId="4" borderId="1" xfId="0" applyFont="1" applyFill="1" applyBorder="1"/>
    <xf numFmtId="0" fontId="12" fillId="4" borderId="1" xfId="0" applyFont="1" applyFill="1" applyBorder="1"/>
    <xf numFmtId="0" fontId="10" fillId="4" borderId="18" xfId="0" applyFont="1" applyFill="1" applyBorder="1"/>
    <xf numFmtId="0" fontId="11" fillId="4" borderId="18" xfId="0" applyFont="1" applyFill="1" applyBorder="1"/>
    <xf numFmtId="0" fontId="14" fillId="4" borderId="18" xfId="0" applyFont="1" applyFill="1" applyBorder="1"/>
    <xf numFmtId="0" fontId="10" fillId="4" borderId="1" xfId="0" applyFont="1" applyFill="1" applyBorder="1"/>
    <xf numFmtId="0" fontId="14" fillId="4" borderId="30" xfId="0" applyFont="1" applyFill="1" applyBorder="1" applyAlignment="1">
      <alignment horizontal="center"/>
    </xf>
    <xf numFmtId="0" fontId="14" fillId="4" borderId="25" xfId="0" applyFont="1" applyFill="1" applyBorder="1" applyAlignment="1">
      <alignment horizontal="center"/>
    </xf>
    <xf numFmtId="0" fontId="14" fillId="4" borderId="31" xfId="0" applyFont="1" applyFill="1" applyBorder="1" applyAlignment="1">
      <alignment horizontal="center"/>
    </xf>
    <xf numFmtId="0" fontId="14" fillId="4" borderId="20" xfId="0" applyFont="1" applyFill="1" applyBorder="1" applyAlignment="1">
      <alignment horizontal="center"/>
    </xf>
    <xf numFmtId="0" fontId="16" fillId="4" borderId="21" xfId="0" applyFont="1" applyFill="1" applyBorder="1" applyAlignment="1">
      <alignment horizontal="left"/>
    </xf>
    <xf numFmtId="0" fontId="14" fillId="4" borderId="8" xfId="0" applyFont="1" applyFill="1" applyBorder="1" applyAlignment="1">
      <alignment horizontal="center"/>
    </xf>
    <xf numFmtId="0" fontId="13" fillId="4" borderId="20" xfId="0" applyFont="1" applyFill="1" applyBorder="1" applyAlignment="1">
      <alignment horizontal="center" vertical="center" wrapText="1"/>
    </xf>
    <xf numFmtId="0" fontId="14" fillId="3" borderId="8" xfId="0" applyFont="1" applyFill="1" applyBorder="1" applyAlignment="1">
      <alignment horizontal="center"/>
    </xf>
    <xf numFmtId="0" fontId="16" fillId="3" borderId="8" xfId="0" applyFont="1" applyFill="1" applyBorder="1" applyAlignment="1">
      <alignment horizontal="left"/>
    </xf>
    <xf numFmtId="0" fontId="13" fillId="4" borderId="0" xfId="0" applyFont="1" applyFill="1" applyAlignment="1">
      <alignment horizontal="center"/>
    </xf>
    <xf numFmtId="0" fontId="14" fillId="3" borderId="0" xfId="0" applyFont="1" applyFill="1" applyAlignment="1">
      <alignment horizontal="center"/>
    </xf>
    <xf numFmtId="0" fontId="16" fillId="4" borderId="17" xfId="0" applyFont="1" applyFill="1" applyBorder="1" applyAlignment="1">
      <alignment horizontal="left"/>
    </xf>
    <xf numFmtId="0" fontId="14" fillId="3" borderId="6" xfId="0" applyFont="1" applyFill="1" applyBorder="1" applyAlignment="1">
      <alignment horizontal="center"/>
    </xf>
    <xf numFmtId="0" fontId="16" fillId="3" borderId="6" xfId="0" applyFont="1" applyFill="1" applyBorder="1" applyAlignment="1">
      <alignment horizontal="left"/>
    </xf>
    <xf numFmtId="0" fontId="14" fillId="3" borderId="4" xfId="0" applyFont="1" applyFill="1" applyBorder="1" applyAlignment="1">
      <alignment horizontal="center"/>
    </xf>
    <xf numFmtId="0" fontId="16" fillId="3" borderId="35" xfId="0" quotePrefix="1" applyFont="1" applyFill="1" applyBorder="1" applyAlignment="1">
      <alignment horizontal="left"/>
    </xf>
    <xf numFmtId="0" fontId="14" fillId="3" borderId="35" xfId="0" applyFont="1" applyFill="1" applyBorder="1" applyAlignment="1">
      <alignment horizontal="center"/>
    </xf>
    <xf numFmtId="0" fontId="14" fillId="3" borderId="3" xfId="0" applyFont="1" applyFill="1" applyBorder="1" applyAlignment="1">
      <alignment horizontal="center"/>
    </xf>
    <xf numFmtId="0" fontId="16" fillId="3" borderId="3" xfId="0" applyFont="1" applyFill="1" applyBorder="1" applyAlignment="1">
      <alignment horizontal="left"/>
    </xf>
    <xf numFmtId="0" fontId="16" fillId="3" borderId="25" xfId="0" applyFont="1" applyFill="1" applyBorder="1" applyAlignment="1">
      <alignment horizontal="left" vertical="center"/>
    </xf>
    <xf numFmtId="0" fontId="14" fillId="3" borderId="25" xfId="0" applyFont="1" applyFill="1" applyBorder="1" applyAlignment="1">
      <alignment horizontal="center"/>
    </xf>
    <xf numFmtId="0" fontId="16" fillId="3" borderId="8" xfId="0" quotePrefix="1" applyFont="1" applyFill="1" applyBorder="1" applyAlignment="1">
      <alignment horizontal="left"/>
    </xf>
    <xf numFmtId="0" fontId="16" fillId="3" borderId="8" xfId="0" applyFont="1" applyFill="1" applyBorder="1" applyAlignment="1">
      <alignment horizontal="left" vertical="center"/>
    </xf>
    <xf numFmtId="0" fontId="16" fillId="3" borderId="15" xfId="0" applyFont="1" applyFill="1" applyBorder="1" applyAlignment="1">
      <alignment horizontal="left" vertical="center"/>
    </xf>
    <xf numFmtId="0" fontId="16" fillId="3" borderId="16" xfId="0" applyFont="1" applyFill="1" applyBorder="1" applyAlignment="1">
      <alignment horizontal="left"/>
    </xf>
    <xf numFmtId="0" fontId="14" fillId="3" borderId="16" xfId="0" applyFont="1" applyFill="1" applyBorder="1" applyAlignment="1">
      <alignment horizontal="center"/>
    </xf>
    <xf numFmtId="0" fontId="14" fillId="3" borderId="16" xfId="0" applyFont="1" applyFill="1" applyBorder="1" applyAlignment="1">
      <alignment horizontal="left"/>
    </xf>
    <xf numFmtId="0" fontId="14" fillId="3" borderId="8" xfId="0" applyFont="1" applyFill="1" applyBorder="1" applyAlignment="1">
      <alignment horizontal="center" vertical="center"/>
    </xf>
    <xf numFmtId="0" fontId="14" fillId="3" borderId="17" xfId="0" applyFont="1" applyFill="1" applyBorder="1" applyAlignment="1">
      <alignment horizontal="center" vertical="center"/>
    </xf>
    <xf numFmtId="0" fontId="11" fillId="0" borderId="25" xfId="0" applyFont="1" applyBorder="1"/>
    <xf numFmtId="0" fontId="14" fillId="3" borderId="25" xfId="0" applyFont="1" applyFill="1" applyBorder="1" applyAlignment="1">
      <alignment horizontal="center" vertical="center"/>
    </xf>
    <xf numFmtId="0" fontId="16" fillId="3" borderId="25" xfId="0" applyFont="1" applyFill="1" applyBorder="1" applyAlignment="1">
      <alignment horizontal="left"/>
    </xf>
    <xf numFmtId="0" fontId="14" fillId="3" borderId="36" xfId="0" applyFont="1" applyFill="1" applyBorder="1" applyAlignment="1">
      <alignment horizontal="center"/>
    </xf>
    <xf numFmtId="0" fontId="14" fillId="3" borderId="21" xfId="0" applyFont="1" applyFill="1" applyBorder="1" applyAlignment="1">
      <alignment horizontal="center" vertical="center"/>
    </xf>
    <xf numFmtId="0" fontId="14" fillId="3" borderId="39" xfId="0" applyFont="1" applyFill="1" applyBorder="1" applyAlignment="1">
      <alignment horizontal="center"/>
    </xf>
    <xf numFmtId="0" fontId="16" fillId="3" borderId="5" xfId="0" quotePrefix="1" applyFont="1" applyFill="1" applyBorder="1" applyAlignment="1">
      <alignment horizontal="left"/>
    </xf>
    <xf numFmtId="0" fontId="14" fillId="3" borderId="23" xfId="0" applyFont="1" applyFill="1" applyBorder="1" applyAlignment="1">
      <alignment horizontal="center"/>
    </xf>
    <xf numFmtId="0" fontId="14" fillId="3" borderId="24" xfId="0" applyFont="1" applyFill="1" applyBorder="1" applyAlignment="1">
      <alignment horizontal="center"/>
    </xf>
    <xf numFmtId="0" fontId="16" fillId="3" borderId="15" xfId="0" quotePrefix="1" applyFont="1" applyFill="1" applyBorder="1" applyAlignment="1">
      <alignment horizontal="left"/>
    </xf>
    <xf numFmtId="0" fontId="14" fillId="4" borderId="4" xfId="0" applyFont="1" applyFill="1" applyBorder="1" applyAlignment="1">
      <alignment horizontal="center"/>
    </xf>
    <xf numFmtId="0" fontId="14" fillId="4" borderId="5" xfId="0" applyFont="1" applyFill="1" applyBorder="1" applyAlignment="1">
      <alignment horizontal="center"/>
    </xf>
    <xf numFmtId="0" fontId="14" fillId="4" borderId="3" xfId="0" applyFont="1" applyFill="1" applyBorder="1" applyAlignment="1">
      <alignment horizontal="center"/>
    </xf>
    <xf numFmtId="0" fontId="14" fillId="4" borderId="14" xfId="0" applyFont="1" applyFill="1" applyBorder="1" applyAlignment="1">
      <alignment horizontal="center" vertical="center"/>
    </xf>
    <xf numFmtId="0" fontId="14" fillId="4" borderId="1" xfId="0" applyFont="1" applyFill="1" applyBorder="1" applyAlignment="1">
      <alignment horizontal="center" vertical="center"/>
    </xf>
    <xf numFmtId="0" fontId="14" fillId="4" borderId="17" xfId="0" applyFont="1" applyFill="1" applyBorder="1" applyAlignment="1">
      <alignment horizontal="center" vertical="center"/>
    </xf>
    <xf numFmtId="0" fontId="14" fillId="4" borderId="25" xfId="0" applyFont="1" applyFill="1" applyBorder="1" applyAlignment="1">
      <alignment horizontal="center" vertical="center"/>
    </xf>
    <xf numFmtId="0" fontId="16" fillId="4" borderId="0" xfId="0" applyFont="1" applyFill="1" applyAlignment="1">
      <alignment horizontal="left"/>
    </xf>
    <xf numFmtId="0" fontId="14" fillId="4" borderId="0" xfId="0" applyFont="1" applyFill="1" applyAlignment="1">
      <alignment horizontal="center"/>
    </xf>
    <xf numFmtId="0" fontId="14" fillId="4" borderId="6" xfId="0" applyFont="1" applyFill="1" applyBorder="1" applyAlignment="1">
      <alignment horizontal="center"/>
    </xf>
    <xf numFmtId="0" fontId="13" fillId="4" borderId="46" xfId="0" applyFont="1" applyFill="1" applyBorder="1" applyAlignment="1">
      <alignment horizontal="center"/>
    </xf>
    <xf numFmtId="0" fontId="16" fillId="4" borderId="25" xfId="0" applyFont="1" applyFill="1" applyBorder="1" applyAlignment="1">
      <alignment horizontal="left"/>
    </xf>
    <xf numFmtId="0" fontId="16" fillId="3" borderId="4" xfId="0" quotePrefix="1" applyFont="1" applyFill="1" applyBorder="1" applyAlignment="1">
      <alignment horizontal="left"/>
    </xf>
    <xf numFmtId="0" fontId="14" fillId="3" borderId="20" xfId="0" applyFont="1" applyFill="1" applyBorder="1" applyAlignment="1">
      <alignment horizontal="center"/>
    </xf>
    <xf numFmtId="0" fontId="14" fillId="3" borderId="11" xfId="0" applyFont="1" applyFill="1" applyBorder="1" applyAlignment="1">
      <alignment horizontal="center"/>
    </xf>
    <xf numFmtId="0" fontId="14" fillId="3" borderId="20" xfId="0" applyFont="1" applyFill="1" applyBorder="1" applyAlignment="1">
      <alignment horizontal="center" vertical="center"/>
    </xf>
    <xf numFmtId="0" fontId="13" fillId="4" borderId="48" xfId="0" applyFont="1" applyFill="1" applyBorder="1" applyAlignment="1">
      <alignment horizontal="center"/>
    </xf>
    <xf numFmtId="0" fontId="14" fillId="4" borderId="46" xfId="0" applyFont="1" applyFill="1" applyBorder="1" applyAlignment="1">
      <alignment horizontal="center"/>
    </xf>
    <xf numFmtId="0" fontId="14" fillId="3" borderId="50" xfId="0" applyFont="1" applyFill="1" applyBorder="1" applyAlignment="1">
      <alignment horizontal="center"/>
    </xf>
    <xf numFmtId="0" fontId="17" fillId="3" borderId="51" xfId="0" applyFont="1" applyFill="1" applyBorder="1" applyAlignment="1">
      <alignment horizontal="center"/>
    </xf>
    <xf numFmtId="0" fontId="14" fillId="3" borderId="52" xfId="0" applyFont="1" applyFill="1" applyBorder="1" applyAlignment="1">
      <alignment horizontal="center"/>
    </xf>
    <xf numFmtId="0" fontId="11" fillId="0" borderId="49" xfId="0" applyFont="1" applyBorder="1"/>
    <xf numFmtId="0" fontId="14" fillId="3" borderId="53" xfId="0" applyFont="1" applyFill="1" applyBorder="1" applyAlignment="1">
      <alignment horizontal="left"/>
    </xf>
    <xf numFmtId="0" fontId="14" fillId="3" borderId="54" xfId="0" applyFont="1" applyFill="1" applyBorder="1" applyAlignment="1">
      <alignment horizontal="center"/>
    </xf>
    <xf numFmtId="0" fontId="14" fillId="3" borderId="55" xfId="0" applyFont="1" applyFill="1" applyBorder="1" applyAlignment="1">
      <alignment horizontal="center"/>
    </xf>
    <xf numFmtId="0" fontId="16" fillId="3" borderId="56" xfId="0" applyFont="1" applyFill="1" applyBorder="1" applyAlignment="1">
      <alignment horizontal="left"/>
    </xf>
    <xf numFmtId="0" fontId="14" fillId="3" borderId="56" xfId="0" applyFont="1" applyFill="1" applyBorder="1" applyAlignment="1">
      <alignment horizontal="center"/>
    </xf>
    <xf numFmtId="0" fontId="14" fillId="4" borderId="36" xfId="0" applyFont="1" applyFill="1" applyBorder="1" applyAlignment="1">
      <alignment horizontal="center"/>
    </xf>
    <xf numFmtId="0" fontId="14" fillId="4" borderId="26" xfId="0" applyFont="1" applyFill="1" applyBorder="1" applyAlignment="1">
      <alignment horizontal="center"/>
    </xf>
    <xf numFmtId="0" fontId="14" fillId="4" borderId="56" xfId="0" applyFont="1" applyFill="1" applyBorder="1" applyAlignment="1">
      <alignment horizontal="center"/>
    </xf>
    <xf numFmtId="0" fontId="0" fillId="6" borderId="0" xfId="0" applyFill="1"/>
    <xf numFmtId="0" fontId="10" fillId="0" borderId="1" xfId="0" applyFont="1" applyBorder="1" applyAlignment="1">
      <alignment horizontal="left" vertical="top"/>
    </xf>
    <xf numFmtId="0" fontId="14" fillId="3" borderId="47" xfId="0" applyFont="1" applyFill="1" applyBorder="1" applyAlignment="1">
      <alignment horizontal="left" vertical="center"/>
    </xf>
    <xf numFmtId="0" fontId="0" fillId="8" borderId="0" xfId="0" applyFill="1"/>
    <xf numFmtId="0" fontId="13" fillId="4" borderId="20" xfId="0" applyFont="1" applyFill="1" applyBorder="1" applyAlignment="1">
      <alignment horizontal="center" vertical="center"/>
    </xf>
    <xf numFmtId="2" fontId="11" fillId="4" borderId="8" xfId="0" applyNumberFormat="1" applyFont="1" applyFill="1" applyBorder="1"/>
    <xf numFmtId="0" fontId="13" fillId="2" borderId="27" xfId="0" applyFont="1" applyFill="1" applyBorder="1" applyAlignment="1">
      <alignment horizontal="left" vertical="top"/>
    </xf>
    <xf numFmtId="0" fontId="13" fillId="2" borderId="32" xfId="0" applyFont="1" applyFill="1" applyBorder="1" applyAlignment="1">
      <alignment horizontal="left" vertical="top"/>
    </xf>
    <xf numFmtId="0" fontId="13" fillId="2" borderId="33" xfId="0" applyFont="1" applyFill="1" applyBorder="1" applyAlignment="1">
      <alignment horizontal="left" vertical="top" wrapText="1"/>
    </xf>
    <xf numFmtId="0" fontId="13" fillId="2" borderId="34" xfId="0" applyFont="1" applyFill="1" applyBorder="1" applyAlignment="1">
      <alignment horizontal="left" vertical="top" wrapText="1"/>
    </xf>
    <xf numFmtId="0" fontId="13" fillId="2" borderId="28" xfId="0" applyFont="1" applyFill="1" applyBorder="1" applyAlignment="1">
      <alignment horizontal="left" vertical="top"/>
    </xf>
    <xf numFmtId="0" fontId="13" fillId="2" borderId="37" xfId="0" applyFont="1" applyFill="1" applyBorder="1" applyAlignment="1">
      <alignment horizontal="left" vertical="top"/>
    </xf>
    <xf numFmtId="0" fontId="13" fillId="2" borderId="38" xfId="0" applyFont="1" applyFill="1" applyBorder="1" applyAlignment="1">
      <alignment horizontal="left" vertical="top"/>
    </xf>
    <xf numFmtId="0" fontId="13" fillId="2" borderId="41" xfId="0" applyFont="1" applyFill="1" applyBorder="1" applyAlignment="1">
      <alignment horizontal="left" vertical="top"/>
    </xf>
    <xf numFmtId="0" fontId="14" fillId="9" borderId="47" xfId="0" applyFont="1" applyFill="1" applyBorder="1" applyAlignment="1">
      <alignment horizontal="right"/>
    </xf>
    <xf numFmtId="0" fontId="13" fillId="2" borderId="40" xfId="0" applyFont="1" applyFill="1" applyBorder="1" applyAlignment="1">
      <alignment horizontal="left" vertical="top"/>
    </xf>
    <xf numFmtId="0" fontId="14" fillId="2" borderId="41" xfId="0" applyFont="1" applyFill="1" applyBorder="1" applyAlignment="1">
      <alignment horizontal="left" vertical="top"/>
    </xf>
    <xf numFmtId="0" fontId="14" fillId="2" borderId="42" xfId="0" applyFont="1" applyFill="1" applyBorder="1" applyAlignment="1">
      <alignment horizontal="left" vertical="top"/>
    </xf>
    <xf numFmtId="165" fontId="14" fillId="3" borderId="8" xfId="0" applyNumberFormat="1" applyFont="1" applyFill="1" applyBorder="1" applyAlignment="1">
      <alignment horizontal="center"/>
    </xf>
    <xf numFmtId="0" fontId="13" fillId="2" borderId="9" xfId="0" applyFont="1" applyFill="1" applyBorder="1" applyAlignment="1">
      <alignment horizontal="left" vertical="top"/>
    </xf>
    <xf numFmtId="0" fontId="13" fillId="2" borderId="10" xfId="0" applyFont="1" applyFill="1" applyBorder="1" applyAlignment="1">
      <alignment horizontal="left" vertical="top"/>
    </xf>
    <xf numFmtId="0" fontId="13" fillId="2" borderId="43" xfId="0" applyFont="1" applyFill="1" applyBorder="1" applyAlignment="1">
      <alignment horizontal="left" vertical="top"/>
    </xf>
    <xf numFmtId="164" fontId="9" fillId="8" borderId="57" xfId="0" applyNumberFormat="1" applyFont="1" applyFill="1" applyBorder="1"/>
    <xf numFmtId="0" fontId="9" fillId="8" borderId="58" xfId="0" applyFont="1" applyFill="1" applyBorder="1"/>
    <xf numFmtId="14" fontId="0" fillId="8" borderId="58" xfId="0" applyNumberFormat="1" applyFill="1" applyBorder="1"/>
    <xf numFmtId="0" fontId="9" fillId="8" borderId="59" xfId="0" applyFont="1" applyFill="1" applyBorder="1"/>
    <xf numFmtId="0" fontId="14" fillId="2" borderId="40" xfId="0" applyFont="1" applyFill="1" applyBorder="1" applyAlignment="1">
      <alignment horizontal="left" vertical="top"/>
    </xf>
    <xf numFmtId="0" fontId="13" fillId="2" borderId="42" xfId="0" applyFont="1" applyFill="1" applyBorder="1" applyAlignment="1">
      <alignment horizontal="left" vertical="top"/>
    </xf>
    <xf numFmtId="0" fontId="0" fillId="8" borderId="57" xfId="0" applyFill="1" applyBorder="1" applyAlignment="1">
      <alignment horizontal="right"/>
    </xf>
    <xf numFmtId="0" fontId="9" fillId="8" borderId="58" xfId="0" applyFont="1" applyFill="1" applyBorder="1" applyAlignment="1">
      <alignment horizontal="right"/>
    </xf>
    <xf numFmtId="14" fontId="0" fillId="8" borderId="59" xfId="0" applyNumberFormat="1" applyFill="1" applyBorder="1" applyAlignment="1">
      <alignment horizontal="right"/>
    </xf>
    <xf numFmtId="0" fontId="13" fillId="2" borderId="60" xfId="0" applyFont="1" applyFill="1" applyBorder="1" applyAlignment="1">
      <alignment horizontal="left" vertical="top"/>
    </xf>
    <xf numFmtId="0" fontId="13" fillId="2" borderId="62" xfId="0" applyFont="1" applyFill="1" applyBorder="1" applyAlignment="1">
      <alignment horizontal="left" vertical="top"/>
    </xf>
    <xf numFmtId="0" fontId="14" fillId="9" borderId="61" xfId="0" applyFont="1" applyFill="1" applyBorder="1" applyAlignment="1">
      <alignment horizontal="left" vertical="top" wrapText="1"/>
    </xf>
    <xf numFmtId="0" fontId="13" fillId="2" borderId="61" xfId="0" applyFont="1" applyFill="1" applyBorder="1" applyAlignment="1">
      <alignment horizontal="left" vertical="top"/>
    </xf>
    <xf numFmtId="0" fontId="14" fillId="4" borderId="22" xfId="0" applyFont="1" applyFill="1" applyBorder="1" applyAlignment="1">
      <alignment horizontal="center" vertical="center"/>
    </xf>
    <xf numFmtId="0" fontId="14" fillId="2" borderId="28" xfId="0" applyFont="1" applyFill="1" applyBorder="1" applyAlignment="1">
      <alignment horizontal="left" vertical="top"/>
    </xf>
    <xf numFmtId="0" fontId="14" fillId="2" borderId="29" xfId="0" applyFont="1" applyFill="1" applyBorder="1" applyAlignment="1">
      <alignment horizontal="left" vertical="top"/>
    </xf>
    <xf numFmtId="0" fontId="14" fillId="2" borderId="12" xfId="0" applyFont="1" applyFill="1" applyBorder="1" applyAlignment="1">
      <alignment horizontal="left" vertical="top"/>
    </xf>
    <xf numFmtId="0" fontId="14" fillId="2" borderId="47" xfId="0" applyFont="1" applyFill="1" applyBorder="1" applyAlignment="1">
      <alignment horizontal="left" vertical="top"/>
    </xf>
    <xf numFmtId="0" fontId="9" fillId="2" borderId="47" xfId="0" applyFont="1" applyFill="1" applyBorder="1" applyAlignment="1">
      <alignment horizontal="left" vertical="top"/>
    </xf>
    <xf numFmtId="0" fontId="14" fillId="2" borderId="13" xfId="0" applyFont="1" applyFill="1" applyBorder="1" applyAlignment="1">
      <alignment horizontal="left" vertical="top"/>
    </xf>
    <xf numFmtId="0" fontId="14" fillId="4" borderId="61" xfId="0" applyFont="1" applyFill="1" applyBorder="1" applyAlignment="1">
      <alignment vertical="top" wrapText="1"/>
    </xf>
    <xf numFmtId="0" fontId="14" fillId="3" borderId="51" xfId="0" applyFont="1" applyFill="1" applyBorder="1" applyAlignment="1">
      <alignment horizontal="center" vertical="center"/>
    </xf>
    <xf numFmtId="0" fontId="14" fillId="3" borderId="51" xfId="0" applyFont="1" applyFill="1" applyBorder="1" applyAlignment="1">
      <alignment horizontal="center"/>
    </xf>
    <xf numFmtId="0" fontId="13" fillId="2" borderId="66" xfId="0" applyFont="1" applyFill="1" applyBorder="1" applyAlignment="1">
      <alignment horizontal="left" vertical="top"/>
    </xf>
    <xf numFmtId="0" fontId="13" fillId="2" borderId="67" xfId="0" applyFont="1" applyFill="1" applyBorder="1" applyAlignment="1">
      <alignment horizontal="left" vertical="top"/>
    </xf>
    <xf numFmtId="0" fontId="13" fillId="2" borderId="68" xfId="0" applyFont="1" applyFill="1" applyBorder="1" applyAlignment="1">
      <alignment horizontal="left" vertical="top"/>
    </xf>
    <xf numFmtId="0" fontId="14" fillId="2" borderId="66" xfId="0" applyFont="1" applyFill="1" applyBorder="1" applyAlignment="1">
      <alignment horizontal="left" vertical="top"/>
    </xf>
    <xf numFmtId="0" fontId="14" fillId="2" borderId="67" xfId="0" applyFont="1" applyFill="1" applyBorder="1" applyAlignment="1">
      <alignment horizontal="left" vertical="top"/>
    </xf>
    <xf numFmtId="0" fontId="9" fillId="2" borderId="67" xfId="0" applyFont="1" applyFill="1" applyBorder="1" applyAlignment="1">
      <alignment horizontal="left" vertical="top"/>
    </xf>
    <xf numFmtId="0" fontId="14" fillId="2" borderId="68" xfId="0" applyFont="1" applyFill="1" applyBorder="1" applyAlignment="1">
      <alignment horizontal="left" vertical="top"/>
    </xf>
    <xf numFmtId="0" fontId="0" fillId="6" borderId="64" xfId="0" applyFill="1" applyBorder="1"/>
    <xf numFmtId="0" fontId="13" fillId="2" borderId="69" xfId="0" applyFont="1" applyFill="1" applyBorder="1" applyAlignment="1">
      <alignment horizontal="left" vertical="center"/>
    </xf>
    <xf numFmtId="0" fontId="13" fillId="2" borderId="63" xfId="0" applyFont="1" applyFill="1" applyBorder="1" applyAlignment="1">
      <alignment horizontal="left" vertical="center"/>
    </xf>
    <xf numFmtId="0" fontId="14" fillId="3" borderId="64" xfId="0" applyFont="1" applyFill="1" applyBorder="1" applyAlignment="1">
      <alignment horizontal="right"/>
    </xf>
    <xf numFmtId="164" fontId="14" fillId="3" borderId="64" xfId="0" applyNumberFormat="1" applyFont="1" applyFill="1" applyBorder="1" applyAlignment="1">
      <alignment horizontal="right"/>
    </xf>
    <xf numFmtId="0" fontId="13" fillId="2" borderId="63" xfId="0" applyFont="1" applyFill="1" applyBorder="1" applyAlignment="1">
      <alignment horizontal="left" vertical="center" wrapText="1"/>
    </xf>
    <xf numFmtId="0" fontId="14" fillId="3" borderId="64" xfId="0" applyFont="1" applyFill="1" applyBorder="1" applyAlignment="1">
      <alignment horizontal="right" wrapText="1"/>
    </xf>
    <xf numFmtId="0" fontId="13" fillId="2" borderId="71" xfId="0" applyFont="1" applyFill="1" applyBorder="1" applyAlignment="1">
      <alignment horizontal="left" vertical="center" wrapText="1"/>
    </xf>
    <xf numFmtId="0" fontId="14" fillId="3" borderId="73" xfId="0" applyFont="1" applyFill="1" applyBorder="1" applyAlignment="1">
      <alignment horizontal="right"/>
    </xf>
    <xf numFmtId="0" fontId="14" fillId="9" borderId="47" xfId="0" quotePrefix="1" applyFont="1" applyFill="1" applyBorder="1" applyAlignment="1">
      <alignment horizontal="right"/>
    </xf>
    <xf numFmtId="0" fontId="9" fillId="9" borderId="47" xfId="0" applyFont="1" applyFill="1" applyBorder="1" applyAlignment="1">
      <alignment horizontal="right"/>
    </xf>
    <xf numFmtId="0" fontId="13" fillId="2" borderId="66" xfId="0" applyFont="1" applyFill="1" applyBorder="1" applyAlignment="1">
      <alignment vertical="top"/>
    </xf>
    <xf numFmtId="0" fontId="13" fillId="2" borderId="67" xfId="0" applyFont="1" applyFill="1" applyBorder="1" applyAlignment="1">
      <alignment vertical="top"/>
    </xf>
    <xf numFmtId="0" fontId="13" fillId="2" borderId="68" xfId="0" applyFont="1" applyFill="1" applyBorder="1" applyAlignment="1">
      <alignment vertical="top"/>
    </xf>
    <xf numFmtId="0" fontId="13" fillId="2" borderId="65" xfId="0" applyFont="1" applyFill="1" applyBorder="1" applyAlignment="1">
      <alignment horizontal="left" vertical="top"/>
    </xf>
    <xf numFmtId="0" fontId="13" fillId="2" borderId="74" xfId="0" applyFont="1" applyFill="1" applyBorder="1" applyAlignment="1">
      <alignment horizontal="left" vertical="top"/>
    </xf>
    <xf numFmtId="0" fontId="14" fillId="2" borderId="45" xfId="0" applyFont="1" applyFill="1" applyBorder="1" applyAlignment="1">
      <alignment horizontal="left" vertical="top"/>
    </xf>
    <xf numFmtId="0" fontId="11" fillId="2" borderId="2" xfId="0" applyFont="1" applyFill="1" applyBorder="1" applyAlignment="1">
      <alignment vertical="top"/>
    </xf>
    <xf numFmtId="0" fontId="11" fillId="2" borderId="2" xfId="0" applyFont="1" applyFill="1" applyBorder="1" applyAlignment="1" applyProtection="1">
      <alignment vertical="top"/>
      <protection locked="0"/>
    </xf>
    <xf numFmtId="0" fontId="0" fillId="0" borderId="0" xfId="0" applyProtection="1">
      <protection locked="0"/>
    </xf>
    <xf numFmtId="0" fontId="9" fillId="0" borderId="1" xfId="0" applyFont="1" applyBorder="1" applyAlignment="1" applyProtection="1">
      <alignment horizontal="left" vertical="top" wrapText="1"/>
      <protection locked="0"/>
    </xf>
    <xf numFmtId="0" fontId="8" fillId="0" borderId="1" xfId="0" applyFont="1" applyBorder="1" applyAlignment="1" applyProtection="1">
      <alignment horizontal="left" vertical="top" wrapText="1"/>
      <protection locked="0"/>
    </xf>
    <xf numFmtId="0" fontId="9" fillId="6" borderId="0" xfId="0" applyFont="1" applyFill="1" applyAlignment="1">
      <alignment horizontal="left" vertical="center"/>
    </xf>
    <xf numFmtId="0" fontId="7" fillId="6" borderId="0" xfId="0" applyFont="1" applyFill="1" applyAlignment="1">
      <alignment horizontal="left" vertical="center"/>
    </xf>
    <xf numFmtId="0" fontId="7" fillId="4" borderId="1" xfId="0" applyFont="1" applyFill="1" applyBorder="1"/>
    <xf numFmtId="0" fontId="14" fillId="0" borderId="75" xfId="0" applyFont="1" applyBorder="1" applyAlignment="1">
      <alignment horizontal="right"/>
    </xf>
    <xf numFmtId="0" fontId="11" fillId="0" borderId="77" xfId="0" applyFont="1" applyBorder="1" applyAlignment="1">
      <alignment horizontal="right"/>
    </xf>
    <xf numFmtId="0" fontId="14" fillId="0" borderId="77" xfId="0" applyFont="1" applyBorder="1" applyAlignment="1">
      <alignment horizontal="right"/>
    </xf>
    <xf numFmtId="0" fontId="14" fillId="3" borderId="66" xfId="0" applyFont="1" applyFill="1" applyBorder="1" applyAlignment="1">
      <alignment horizontal="right"/>
    </xf>
    <xf numFmtId="0" fontId="14" fillId="2" borderId="44" xfId="0" applyFont="1" applyFill="1" applyBorder="1" applyAlignment="1">
      <alignment horizontal="left" vertical="top"/>
    </xf>
    <xf numFmtId="0" fontId="14" fillId="2" borderId="82" xfId="0" applyFont="1" applyFill="1" applyBorder="1" applyAlignment="1">
      <alignment horizontal="left" vertical="top"/>
    </xf>
    <xf numFmtId="0" fontId="14" fillId="2" borderId="83" xfId="0" applyFont="1" applyFill="1" applyBorder="1" applyAlignment="1">
      <alignment horizontal="left" vertical="top"/>
    </xf>
    <xf numFmtId="0" fontId="14" fillId="2" borderId="84" xfId="0" applyFont="1" applyFill="1" applyBorder="1" applyAlignment="1">
      <alignment horizontal="left" vertical="top"/>
    </xf>
    <xf numFmtId="0" fontId="14" fillId="2" borderId="85" xfId="0" applyFont="1" applyFill="1" applyBorder="1" applyAlignment="1">
      <alignment horizontal="left" vertical="top"/>
    </xf>
    <xf numFmtId="0" fontId="14" fillId="8" borderId="77" xfId="0" applyFont="1" applyFill="1" applyBorder="1" applyAlignment="1">
      <alignment horizontal="right"/>
    </xf>
    <xf numFmtId="2" fontId="14" fillId="8" borderId="77" xfId="0" applyNumberFormat="1" applyFont="1" applyFill="1" applyBorder="1" applyAlignment="1">
      <alignment horizontal="right"/>
    </xf>
    <xf numFmtId="0" fontId="11" fillId="8" borderId="77" xfId="0" applyFont="1" applyFill="1" applyBorder="1" applyAlignment="1">
      <alignment horizontal="right"/>
    </xf>
    <xf numFmtId="0" fontId="8" fillId="8" borderId="77" xfId="0" applyFont="1" applyFill="1" applyBorder="1" applyAlignment="1">
      <alignment horizontal="right"/>
    </xf>
    <xf numFmtId="2" fontId="11" fillId="8" borderId="77" xfId="0" applyNumberFormat="1" applyFont="1" applyFill="1" applyBorder="1" applyAlignment="1">
      <alignment horizontal="right"/>
    </xf>
    <xf numFmtId="0" fontId="14" fillId="7" borderId="86" xfId="0" applyFont="1" applyFill="1" applyBorder="1" applyAlignment="1">
      <alignment horizontal="left" vertical="top"/>
    </xf>
    <xf numFmtId="0" fontId="14" fillId="7" borderId="87" xfId="0" applyFont="1" applyFill="1" applyBorder="1" applyAlignment="1">
      <alignment horizontal="right"/>
    </xf>
    <xf numFmtId="164" fontId="14" fillId="7" borderId="87" xfId="0" applyNumberFormat="1" applyFont="1" applyFill="1" applyBorder="1" applyAlignment="1">
      <alignment horizontal="right"/>
    </xf>
    <xf numFmtId="0" fontId="8" fillId="6" borderId="87" xfId="0" applyFont="1" applyFill="1" applyBorder="1" applyAlignment="1">
      <alignment horizontal="right"/>
    </xf>
    <xf numFmtId="2" fontId="14" fillId="7" borderId="87" xfId="0" applyNumberFormat="1" applyFont="1" applyFill="1" applyBorder="1" applyAlignment="1">
      <alignment horizontal="right"/>
    </xf>
    <xf numFmtId="0" fontId="0" fillId="6" borderId="87" xfId="0" applyFill="1" applyBorder="1" applyAlignment="1">
      <alignment horizontal="right"/>
    </xf>
    <xf numFmtId="0" fontId="14" fillId="7" borderId="76" xfId="0" applyFont="1" applyFill="1" applyBorder="1" applyAlignment="1">
      <alignment horizontal="left" vertical="top"/>
    </xf>
    <xf numFmtId="0" fontId="14" fillId="7" borderId="77" xfId="0" applyFont="1" applyFill="1" applyBorder="1" applyAlignment="1">
      <alignment horizontal="right"/>
    </xf>
    <xf numFmtId="164" fontId="14" fillId="7" borderId="77" xfId="0" applyNumberFormat="1" applyFont="1" applyFill="1" applyBorder="1" applyAlignment="1">
      <alignment horizontal="right"/>
    </xf>
    <xf numFmtId="0" fontId="8" fillId="6" borderId="77" xfId="0" applyFont="1" applyFill="1" applyBorder="1" applyAlignment="1">
      <alignment horizontal="right"/>
    </xf>
    <xf numFmtId="2" fontId="14" fillId="7" borderId="77" xfId="0" applyNumberFormat="1" applyFont="1" applyFill="1" applyBorder="1" applyAlignment="1">
      <alignment horizontal="right"/>
    </xf>
    <xf numFmtId="0" fontId="0" fillId="6" borderId="77" xfId="0" applyFill="1" applyBorder="1" applyAlignment="1">
      <alignment horizontal="right"/>
    </xf>
    <xf numFmtId="0" fontId="7" fillId="6" borderId="77" xfId="0" applyFont="1" applyFill="1" applyBorder="1" applyAlignment="1">
      <alignment horizontal="right"/>
    </xf>
    <xf numFmtId="2" fontId="0" fillId="0" borderId="77" xfId="0" applyNumberFormat="1" applyBorder="1"/>
    <xf numFmtId="0" fontId="14" fillId="7" borderId="79" xfId="0" applyFont="1" applyFill="1" applyBorder="1" applyAlignment="1">
      <alignment horizontal="left" vertical="top"/>
    </xf>
    <xf numFmtId="0" fontId="14" fillId="7" borderId="80" xfId="0" applyFont="1" applyFill="1" applyBorder="1" applyAlignment="1">
      <alignment horizontal="right"/>
    </xf>
    <xf numFmtId="164" fontId="14" fillId="7" borderId="80" xfId="0" applyNumberFormat="1" applyFont="1" applyFill="1" applyBorder="1" applyAlignment="1">
      <alignment horizontal="right"/>
    </xf>
    <xf numFmtId="0" fontId="8" fillId="6" borderId="80" xfId="0" applyFont="1" applyFill="1" applyBorder="1" applyAlignment="1">
      <alignment horizontal="right"/>
    </xf>
    <xf numFmtId="2" fontId="14" fillId="7" borderId="80" xfId="0" applyNumberFormat="1" applyFont="1" applyFill="1" applyBorder="1" applyAlignment="1">
      <alignment horizontal="right"/>
    </xf>
    <xf numFmtId="0" fontId="0" fillId="6" borderId="80" xfId="0" applyFill="1" applyBorder="1" applyAlignment="1">
      <alignment horizontal="right"/>
    </xf>
    <xf numFmtId="0" fontId="11" fillId="0" borderId="36" xfId="0" applyFont="1" applyBorder="1"/>
    <xf numFmtId="0" fontId="14" fillId="3" borderId="36" xfId="0" applyFont="1" applyFill="1" applyBorder="1" applyAlignment="1">
      <alignment horizontal="center" vertical="center"/>
    </xf>
    <xf numFmtId="0" fontId="16" fillId="3" borderId="36" xfId="0" applyFont="1" applyFill="1" applyBorder="1" applyAlignment="1">
      <alignment horizontal="left"/>
    </xf>
    <xf numFmtId="0" fontId="14" fillId="7" borderId="89" xfId="0" applyFont="1" applyFill="1" applyBorder="1" applyAlignment="1">
      <alignment horizontal="right"/>
    </xf>
    <xf numFmtId="0" fontId="14" fillId="7" borderId="90" xfId="0" applyFont="1" applyFill="1" applyBorder="1" applyAlignment="1">
      <alignment horizontal="right"/>
    </xf>
    <xf numFmtId="164" fontId="14" fillId="7" borderId="90" xfId="0" applyNumberFormat="1" applyFont="1" applyFill="1" applyBorder="1" applyAlignment="1">
      <alignment horizontal="right"/>
    </xf>
    <xf numFmtId="0" fontId="7" fillId="6" borderId="90" xfId="0" applyFont="1" applyFill="1" applyBorder="1" applyAlignment="1">
      <alignment horizontal="right"/>
    </xf>
    <xf numFmtId="2" fontId="0" fillId="0" borderId="90" xfId="0" applyNumberFormat="1" applyBorder="1"/>
    <xf numFmtId="2" fontId="14" fillId="7" borderId="90" xfId="0" applyNumberFormat="1" applyFont="1" applyFill="1" applyBorder="1" applyAlignment="1">
      <alignment horizontal="right"/>
    </xf>
    <xf numFmtId="0" fontId="0" fillId="6" borderId="90" xfId="0" applyFill="1" applyBorder="1" applyAlignment="1">
      <alignment horizontal="right"/>
    </xf>
    <xf numFmtId="0" fontId="8" fillId="6" borderId="90" xfId="0" applyFont="1" applyFill="1" applyBorder="1" applyAlignment="1">
      <alignment horizontal="right"/>
    </xf>
    <xf numFmtId="0" fontId="14" fillId="7" borderId="92" xfId="0" applyFont="1" applyFill="1" applyBorder="1" applyAlignment="1">
      <alignment horizontal="right"/>
    </xf>
    <xf numFmtId="0" fontId="14" fillId="7" borderId="93" xfId="0" applyFont="1" applyFill="1" applyBorder="1" applyAlignment="1">
      <alignment horizontal="right"/>
    </xf>
    <xf numFmtId="164" fontId="14" fillId="7" borderId="93" xfId="0" applyNumberFormat="1" applyFont="1" applyFill="1" applyBorder="1" applyAlignment="1">
      <alignment horizontal="right"/>
    </xf>
    <xf numFmtId="0" fontId="8" fillId="0" borderId="93" xfId="0" applyFont="1" applyBorder="1" applyAlignment="1">
      <alignment horizontal="right"/>
    </xf>
    <xf numFmtId="2" fontId="14" fillId="7" borderId="93" xfId="0" applyNumberFormat="1" applyFont="1" applyFill="1" applyBorder="1" applyAlignment="1">
      <alignment horizontal="right"/>
    </xf>
    <xf numFmtId="0" fontId="0" fillId="6" borderId="93" xfId="0" applyFill="1" applyBorder="1" applyAlignment="1">
      <alignment horizontal="right"/>
    </xf>
    <xf numFmtId="0" fontId="14" fillId="8" borderId="96" xfId="0" applyFont="1" applyFill="1" applyBorder="1" applyAlignment="1">
      <alignment horizontal="right"/>
    </xf>
    <xf numFmtId="0" fontId="11" fillId="8" borderId="96" xfId="0" applyFont="1" applyFill="1" applyBorder="1" applyAlignment="1">
      <alignment horizontal="right"/>
    </xf>
    <xf numFmtId="0" fontId="8" fillId="8" borderId="96" xfId="0" applyFont="1" applyFill="1" applyBorder="1" applyAlignment="1">
      <alignment horizontal="right"/>
    </xf>
    <xf numFmtId="0" fontId="13" fillId="5" borderId="69" xfId="0" applyFont="1" applyFill="1" applyBorder="1" applyAlignment="1">
      <alignment horizontal="left" vertical="top"/>
    </xf>
    <xf numFmtId="0" fontId="13" fillId="5" borderId="70" xfId="0" applyFont="1" applyFill="1" applyBorder="1" applyAlignment="1">
      <alignment horizontal="left" vertical="top"/>
    </xf>
    <xf numFmtId="0" fontId="14" fillId="3" borderId="68" xfId="0" applyFont="1" applyFill="1" applyBorder="1" applyAlignment="1">
      <alignment horizontal="right"/>
    </xf>
    <xf numFmtId="14" fontId="0" fillId="0" borderId="0" xfId="0" applyNumberFormat="1"/>
    <xf numFmtId="14" fontId="14" fillId="3" borderId="64" xfId="0" applyNumberFormat="1" applyFont="1" applyFill="1" applyBorder="1" applyAlignment="1">
      <alignment horizontal="right"/>
    </xf>
    <xf numFmtId="0" fontId="14" fillId="0" borderId="98" xfId="0" applyFont="1" applyBorder="1" applyAlignment="1">
      <alignment horizontal="right"/>
    </xf>
    <xf numFmtId="0" fontId="11" fillId="0" borderId="100" xfId="0" applyFont="1" applyBorder="1" applyAlignment="1">
      <alignment horizontal="right"/>
    </xf>
    <xf numFmtId="0" fontId="14" fillId="0" borderId="100" xfId="0" applyFont="1" applyBorder="1" applyAlignment="1">
      <alignment horizontal="right"/>
    </xf>
    <xf numFmtId="0" fontId="14" fillId="0" borderId="102" xfId="0" applyFont="1" applyBorder="1" applyAlignment="1">
      <alignment horizontal="right"/>
    </xf>
    <xf numFmtId="0" fontId="14" fillId="0" borderId="103" xfId="0" applyFont="1" applyBorder="1" applyAlignment="1">
      <alignment horizontal="right"/>
    </xf>
    <xf numFmtId="0" fontId="11" fillId="0" borderId="103" xfId="0" applyFont="1" applyBorder="1" applyAlignment="1">
      <alignment horizontal="right"/>
    </xf>
    <xf numFmtId="0" fontId="11" fillId="4" borderId="8" xfId="0" applyFont="1" applyFill="1" applyBorder="1" applyAlignment="1">
      <alignment horizontal="right"/>
    </xf>
    <xf numFmtId="0" fontId="0" fillId="0" borderId="0" xfId="0" applyAlignment="1">
      <alignment horizontal="right"/>
    </xf>
    <xf numFmtId="0" fontId="11" fillId="4" borderId="21" xfId="0" applyFont="1" applyFill="1" applyBorder="1" applyAlignment="1">
      <alignment horizontal="right"/>
    </xf>
    <xf numFmtId="0" fontId="14" fillId="3" borderId="105" xfId="0" applyFont="1" applyFill="1" applyBorder="1"/>
    <xf numFmtId="0" fontId="14" fillId="3" borderId="52" xfId="0" applyFont="1" applyFill="1" applyBorder="1"/>
    <xf numFmtId="0" fontId="11" fillId="0" borderId="52" xfId="0" applyFont="1" applyBorder="1"/>
    <xf numFmtId="0" fontId="14" fillId="4" borderId="52" xfId="0" applyFont="1" applyFill="1" applyBorder="1"/>
    <xf numFmtId="0" fontId="11" fillId="4" borderId="52" xfId="0" applyFont="1" applyFill="1" applyBorder="1"/>
    <xf numFmtId="0" fontId="11" fillId="4" borderId="36" xfId="0" applyFont="1" applyFill="1" applyBorder="1"/>
    <xf numFmtId="0" fontId="14" fillId="3" borderId="106" xfId="0" applyFont="1" applyFill="1" applyBorder="1" applyAlignment="1">
      <alignment horizontal="right"/>
    </xf>
    <xf numFmtId="0" fontId="14" fillId="3" borderId="107" xfId="0" applyFont="1" applyFill="1" applyBorder="1" applyAlignment="1">
      <alignment horizontal="right"/>
    </xf>
    <xf numFmtId="0" fontId="14" fillId="4" borderId="107" xfId="0" applyFont="1" applyFill="1" applyBorder="1" applyAlignment="1">
      <alignment horizontal="right"/>
    </xf>
    <xf numFmtId="0" fontId="11" fillId="4" borderId="107" xfId="0" applyFont="1" applyFill="1" applyBorder="1" applyAlignment="1">
      <alignment horizontal="right"/>
    </xf>
    <xf numFmtId="0" fontId="0" fillId="6" borderId="0" xfId="0" applyFill="1" applyAlignment="1">
      <alignment horizontal="right"/>
    </xf>
    <xf numFmtId="0" fontId="15" fillId="10" borderId="109" xfId="0" applyFont="1" applyFill="1" applyBorder="1" applyAlignment="1">
      <alignment horizontal="right"/>
    </xf>
    <xf numFmtId="0" fontId="0" fillId="0" borderId="96" xfId="0" applyBorder="1" applyAlignment="1">
      <alignment horizontal="right"/>
    </xf>
    <xf numFmtId="0" fontId="15" fillId="10" borderId="96" xfId="0" applyFont="1" applyFill="1" applyBorder="1" applyAlignment="1">
      <alignment horizontal="right"/>
    </xf>
    <xf numFmtId="166" fontId="15" fillId="10" borderId="96" xfId="0" applyNumberFormat="1" applyFont="1" applyFill="1" applyBorder="1" applyAlignment="1">
      <alignment horizontal="right"/>
    </xf>
    <xf numFmtId="0" fontId="0" fillId="6" borderId="96" xfId="0" applyFill="1" applyBorder="1" applyAlignment="1">
      <alignment horizontal="right"/>
    </xf>
    <xf numFmtId="0" fontId="6" fillId="6" borderId="96" xfId="0" applyFont="1" applyFill="1" applyBorder="1" applyAlignment="1">
      <alignment horizontal="right"/>
    </xf>
    <xf numFmtId="0" fontId="0" fillId="6" borderId="111" xfId="0" applyFill="1" applyBorder="1" applyAlignment="1">
      <alignment horizontal="right"/>
    </xf>
    <xf numFmtId="0" fontId="0" fillId="6" borderId="112" xfId="0" applyFill="1" applyBorder="1" applyAlignment="1">
      <alignment horizontal="right"/>
    </xf>
    <xf numFmtId="0" fontId="0" fillId="6" borderId="109" xfId="0" applyFill="1" applyBorder="1" applyAlignment="1">
      <alignment horizontal="right"/>
    </xf>
    <xf numFmtId="0" fontId="0" fillId="6" borderId="114" xfId="0" applyFill="1" applyBorder="1" applyAlignment="1">
      <alignment horizontal="right"/>
    </xf>
    <xf numFmtId="0" fontId="0" fillId="6" borderId="115" xfId="0" applyFill="1" applyBorder="1" applyAlignment="1">
      <alignment horizontal="right"/>
    </xf>
    <xf numFmtId="166" fontId="15" fillId="10" borderId="112" xfId="0" applyNumberFormat="1" applyFont="1" applyFill="1" applyBorder="1" applyAlignment="1">
      <alignment horizontal="right"/>
    </xf>
    <xf numFmtId="166" fontId="14" fillId="0" borderId="96" xfId="0" applyNumberFormat="1" applyFont="1" applyBorder="1" applyAlignment="1">
      <alignment horizontal="right"/>
    </xf>
    <xf numFmtId="166" fontId="15" fillId="0" borderId="96" xfId="0" applyNumberFormat="1" applyFont="1" applyBorder="1" applyAlignment="1">
      <alignment horizontal="right"/>
    </xf>
    <xf numFmtId="166" fontId="0" fillId="0" borderId="96" xfId="0" applyNumberFormat="1" applyBorder="1" applyAlignment="1">
      <alignment horizontal="right"/>
    </xf>
    <xf numFmtId="4" fontId="15" fillId="10" borderId="96" xfId="0" applyNumberFormat="1" applyFont="1" applyFill="1" applyBorder="1" applyAlignment="1">
      <alignment horizontal="right"/>
    </xf>
    <xf numFmtId="167" fontId="15" fillId="10" borderId="96" xfId="0" applyNumberFormat="1" applyFont="1" applyFill="1" applyBorder="1" applyAlignment="1">
      <alignment horizontal="right"/>
    </xf>
    <xf numFmtId="4" fontId="15" fillId="10" borderId="115" xfId="0" applyNumberFormat="1" applyFont="1" applyFill="1" applyBorder="1" applyAlignment="1">
      <alignment horizontal="right"/>
    </xf>
    <xf numFmtId="0" fontId="5" fillId="6" borderId="96" xfId="0" applyFont="1" applyFill="1" applyBorder="1" applyAlignment="1">
      <alignment horizontal="right"/>
    </xf>
    <xf numFmtId="0" fontId="0" fillId="0" borderId="109" xfId="0" applyBorder="1" applyAlignment="1">
      <alignment horizontal="right"/>
    </xf>
    <xf numFmtId="0" fontId="15" fillId="6" borderId="71" xfId="0" applyFont="1" applyFill="1" applyBorder="1" applyAlignment="1">
      <alignment horizontal="right"/>
    </xf>
    <xf numFmtId="2" fontId="5" fillId="6" borderId="72" xfId="0" applyNumberFormat="1" applyFont="1" applyFill="1" applyBorder="1" applyAlignment="1">
      <alignment horizontal="right"/>
    </xf>
    <xf numFmtId="0" fontId="15" fillId="6" borderId="73" xfId="0" applyFont="1" applyFill="1" applyBorder="1" applyAlignment="1">
      <alignment horizontal="right"/>
    </xf>
    <xf numFmtId="0" fontId="14" fillId="3" borderId="67" xfId="0" applyFont="1" applyFill="1" applyBorder="1" applyAlignment="1">
      <alignment horizontal="right"/>
    </xf>
    <xf numFmtId="0" fontId="5" fillId="8" borderId="77" xfId="0" applyFont="1" applyFill="1" applyBorder="1" applyAlignment="1">
      <alignment horizontal="right"/>
    </xf>
    <xf numFmtId="0" fontId="5" fillId="8" borderId="96" xfId="0" applyFont="1" applyFill="1" applyBorder="1" applyAlignment="1">
      <alignment horizontal="right"/>
    </xf>
    <xf numFmtId="0" fontId="14" fillId="8" borderId="111" xfId="0" applyFont="1" applyFill="1" applyBorder="1" applyAlignment="1">
      <alignment horizontal="right"/>
    </xf>
    <xf numFmtId="0" fontId="14" fillId="8" borderId="112" xfId="0" applyFont="1" applyFill="1" applyBorder="1" applyAlignment="1">
      <alignment horizontal="right"/>
    </xf>
    <xf numFmtId="0" fontId="11" fillId="8" borderId="112" xfId="0" applyFont="1" applyFill="1" applyBorder="1" applyAlignment="1">
      <alignment horizontal="right"/>
    </xf>
    <xf numFmtId="0" fontId="14" fillId="8" borderId="109" xfId="0" applyFont="1" applyFill="1" applyBorder="1" applyAlignment="1">
      <alignment horizontal="right"/>
    </xf>
    <xf numFmtId="0" fontId="14" fillId="8" borderId="114" xfId="0" applyFont="1" applyFill="1" applyBorder="1" applyAlignment="1">
      <alignment horizontal="right"/>
    </xf>
    <xf numFmtId="0" fontId="14" fillId="8" borderId="115" xfId="0" applyFont="1" applyFill="1" applyBorder="1" applyAlignment="1">
      <alignment horizontal="right"/>
    </xf>
    <xf numFmtId="0" fontId="11" fillId="8" borderId="115" xfId="0" applyFont="1" applyFill="1" applyBorder="1" applyAlignment="1">
      <alignment horizontal="right"/>
    </xf>
    <xf numFmtId="0" fontId="14" fillId="8" borderId="115" xfId="0" quotePrefix="1" applyFont="1" applyFill="1" applyBorder="1" applyAlignment="1">
      <alignment horizontal="right"/>
    </xf>
    <xf numFmtId="0" fontId="14" fillId="7" borderId="95" xfId="0" applyFont="1" applyFill="1" applyBorder="1" applyAlignment="1">
      <alignment horizontal="right"/>
    </xf>
    <xf numFmtId="0" fontId="14" fillId="7" borderId="96" xfId="0" applyFont="1" applyFill="1" applyBorder="1" applyAlignment="1">
      <alignment horizontal="right"/>
    </xf>
    <xf numFmtId="164" fontId="14" fillId="7" borderId="96" xfId="0" applyNumberFormat="1" applyFont="1" applyFill="1" applyBorder="1" applyAlignment="1">
      <alignment horizontal="right"/>
    </xf>
    <xf numFmtId="0" fontId="7" fillId="6" borderId="96" xfId="0" applyFont="1" applyFill="1" applyBorder="1" applyAlignment="1">
      <alignment horizontal="right"/>
    </xf>
    <xf numFmtId="2" fontId="0" fillId="0" borderId="96" xfId="0" applyNumberFormat="1" applyBorder="1"/>
    <xf numFmtId="2" fontId="14" fillId="7" borderId="96" xfId="0" applyNumberFormat="1" applyFont="1" applyFill="1" applyBorder="1" applyAlignment="1">
      <alignment horizontal="right"/>
    </xf>
    <xf numFmtId="0" fontId="8" fillId="6" borderId="96" xfId="0" applyFont="1" applyFill="1" applyBorder="1" applyAlignment="1">
      <alignment horizontal="right"/>
    </xf>
    <xf numFmtId="0" fontId="8" fillId="6" borderId="93" xfId="0" applyFont="1" applyFill="1" applyBorder="1" applyAlignment="1">
      <alignment horizontal="right"/>
    </xf>
    <xf numFmtId="0" fontId="14" fillId="8" borderId="98" xfId="0" applyFont="1" applyFill="1" applyBorder="1" applyAlignment="1">
      <alignment horizontal="right"/>
    </xf>
    <xf numFmtId="0" fontId="14" fillId="8" borderId="75" xfId="0" applyFont="1" applyFill="1" applyBorder="1" applyAlignment="1">
      <alignment horizontal="right"/>
    </xf>
    <xf numFmtId="2" fontId="14" fillId="8" borderId="75" xfId="0" applyNumberFormat="1" applyFont="1" applyFill="1" applyBorder="1" applyAlignment="1">
      <alignment horizontal="right"/>
    </xf>
    <xf numFmtId="0" fontId="11" fillId="8" borderId="75" xfId="0" applyFont="1" applyFill="1" applyBorder="1" applyAlignment="1">
      <alignment horizontal="right"/>
    </xf>
    <xf numFmtId="0" fontId="14" fillId="8" borderId="100" xfId="0" applyFont="1" applyFill="1" applyBorder="1" applyAlignment="1">
      <alignment horizontal="right"/>
    </xf>
    <xf numFmtId="0" fontId="14" fillId="8" borderId="103" xfId="0" applyFont="1" applyFill="1" applyBorder="1" applyAlignment="1">
      <alignment horizontal="right"/>
    </xf>
    <xf numFmtId="2" fontId="11" fillId="8" borderId="103" xfId="0" applyNumberFormat="1" applyFont="1" applyFill="1" applyBorder="1" applyAlignment="1">
      <alignment horizontal="right"/>
    </xf>
    <xf numFmtId="0" fontId="11" fillId="8" borderId="103" xfId="0" applyFont="1" applyFill="1" applyBorder="1" applyAlignment="1">
      <alignment horizontal="right"/>
    </xf>
    <xf numFmtId="0" fontId="8" fillId="8" borderId="103" xfId="0" applyFont="1" applyFill="1" applyBorder="1" applyAlignment="1">
      <alignment horizontal="right"/>
    </xf>
    <xf numFmtId="0" fontId="5" fillId="0" borderId="75" xfId="0" applyFont="1" applyBorder="1" applyAlignment="1">
      <alignment horizontal="right"/>
    </xf>
    <xf numFmtId="0" fontId="5" fillId="8" borderId="102" xfId="0" applyFont="1" applyFill="1" applyBorder="1" applyAlignment="1">
      <alignment horizontal="right"/>
    </xf>
    <xf numFmtId="0" fontId="5" fillId="6" borderId="112" xfId="0" applyFont="1" applyFill="1" applyBorder="1" applyAlignment="1">
      <alignment horizontal="right"/>
    </xf>
    <xf numFmtId="0" fontId="5" fillId="0" borderId="96" xfId="0" applyFont="1" applyBorder="1" applyAlignment="1">
      <alignment horizontal="right"/>
    </xf>
    <xf numFmtId="0" fontId="5" fillId="6" borderId="115" xfId="0" applyFont="1" applyFill="1" applyBorder="1" applyAlignment="1">
      <alignment horizontal="right"/>
    </xf>
    <xf numFmtId="0" fontId="0" fillId="0" borderId="47" xfId="0" applyBorder="1"/>
    <xf numFmtId="0" fontId="13" fillId="5" borderId="117" xfId="0" applyFont="1" applyFill="1" applyBorder="1" applyAlignment="1">
      <alignment horizontal="left" vertical="top"/>
    </xf>
    <xf numFmtId="0" fontId="13" fillId="5" borderId="118" xfId="0" applyFont="1" applyFill="1" applyBorder="1" applyAlignment="1">
      <alignment horizontal="left" vertical="top"/>
    </xf>
    <xf numFmtId="0" fontId="14" fillId="3" borderId="117" xfId="0" applyFont="1" applyFill="1" applyBorder="1" applyAlignment="1">
      <alignment horizontal="right"/>
    </xf>
    <xf numFmtId="0" fontId="14" fillId="3" borderId="118" xfId="0" applyFont="1" applyFill="1" applyBorder="1" applyAlignment="1">
      <alignment horizontal="right"/>
    </xf>
    <xf numFmtId="0" fontId="14" fillId="4" borderId="47" xfId="0" applyFont="1" applyFill="1" applyBorder="1" applyAlignment="1">
      <alignment horizontal="center"/>
    </xf>
    <xf numFmtId="0" fontId="16" fillId="9" borderId="47" xfId="0" applyFont="1" applyFill="1" applyBorder="1" applyAlignment="1">
      <alignment horizontal="right"/>
    </xf>
    <xf numFmtId="0" fontId="3" fillId="0" borderId="8" xfId="0" applyFont="1" applyBorder="1"/>
    <xf numFmtId="0" fontId="14" fillId="0" borderId="5" xfId="0" applyFont="1" applyBorder="1" applyAlignment="1">
      <alignment horizontal="center"/>
    </xf>
    <xf numFmtId="0" fontId="14" fillId="0" borderId="47" xfId="0" applyFont="1" applyBorder="1" applyAlignment="1">
      <alignment horizontal="center"/>
    </xf>
    <xf numFmtId="0" fontId="14" fillId="11" borderId="61" xfId="0" applyFont="1" applyFill="1" applyBorder="1" applyAlignment="1">
      <alignment vertical="top" wrapText="1"/>
    </xf>
    <xf numFmtId="0" fontId="14" fillId="12" borderId="113" xfId="0" applyFont="1" applyFill="1" applyBorder="1" applyAlignment="1">
      <alignment horizontal="right"/>
    </xf>
    <xf numFmtId="0" fontId="14" fillId="12" borderId="110" xfId="0" applyFont="1" applyFill="1" applyBorder="1" applyAlignment="1">
      <alignment horizontal="right"/>
    </xf>
    <xf numFmtId="0" fontId="14" fillId="12" borderId="116" xfId="0" quotePrefix="1" applyFont="1" applyFill="1" applyBorder="1" applyAlignment="1">
      <alignment horizontal="right"/>
    </xf>
    <xf numFmtId="2" fontId="14" fillId="13" borderId="90" xfId="0" applyNumberFormat="1" applyFont="1" applyFill="1" applyBorder="1" applyAlignment="1">
      <alignment horizontal="right"/>
    </xf>
    <xf numFmtId="2" fontId="14" fillId="13" borderId="96" xfId="0" applyNumberFormat="1" applyFont="1" applyFill="1" applyBorder="1" applyAlignment="1">
      <alignment horizontal="right"/>
    </xf>
    <xf numFmtId="2" fontId="14" fillId="13" borderId="115" xfId="0" applyNumberFormat="1" applyFont="1" applyFill="1" applyBorder="1" applyAlignment="1">
      <alignment horizontal="right"/>
    </xf>
    <xf numFmtId="0" fontId="14" fillId="13" borderId="91" xfId="0" applyFont="1" applyFill="1" applyBorder="1" applyAlignment="1">
      <alignment horizontal="right" vertical="top"/>
    </xf>
    <xf numFmtId="0" fontId="14" fillId="13" borderId="97" xfId="0" applyFont="1" applyFill="1" applyBorder="1" applyAlignment="1">
      <alignment horizontal="right" vertical="top"/>
    </xf>
    <xf numFmtId="2" fontId="14" fillId="13" borderId="94" xfId="0" applyNumberFormat="1" applyFont="1" applyFill="1" applyBorder="1" applyAlignment="1">
      <alignment horizontal="right"/>
    </xf>
    <xf numFmtId="0" fontId="4" fillId="12" borderId="69" xfId="0" applyFont="1" applyFill="1" applyBorder="1" applyAlignment="1">
      <alignment horizontal="right"/>
    </xf>
    <xf numFmtId="0" fontId="14" fillId="12" borderId="119" xfId="0" applyFont="1" applyFill="1" applyBorder="1" applyAlignment="1">
      <alignment horizontal="right"/>
    </xf>
    <xf numFmtId="0" fontId="14" fillId="12" borderId="119" xfId="0" quotePrefix="1" applyFont="1" applyFill="1" applyBorder="1" applyAlignment="1">
      <alignment horizontal="right"/>
    </xf>
    <xf numFmtId="0" fontId="14" fillId="12" borderId="70" xfId="0" applyFont="1" applyFill="1" applyBorder="1" applyAlignment="1">
      <alignment horizontal="right"/>
    </xf>
    <xf numFmtId="0" fontId="14" fillId="12" borderId="63" xfId="0" applyFont="1" applyFill="1" applyBorder="1" applyAlignment="1">
      <alignment horizontal="right"/>
    </xf>
    <xf numFmtId="0" fontId="14" fillId="12" borderId="47" xfId="0" applyFont="1" applyFill="1" applyBorder="1" applyAlignment="1">
      <alignment horizontal="right"/>
    </xf>
    <xf numFmtId="0" fontId="14" fillId="12" borderId="47" xfId="0" quotePrefix="1" applyFont="1" applyFill="1" applyBorder="1" applyAlignment="1">
      <alignment horizontal="right"/>
    </xf>
    <xf numFmtId="0" fontId="14" fillId="12" borderId="64" xfId="0" applyFont="1" applyFill="1" applyBorder="1" applyAlignment="1">
      <alignment horizontal="right"/>
    </xf>
    <xf numFmtId="0" fontId="14" fillId="12" borderId="71" xfId="0" applyFont="1" applyFill="1" applyBorder="1" applyAlignment="1">
      <alignment horizontal="right"/>
    </xf>
    <xf numFmtId="0" fontId="14" fillId="12" borderId="72" xfId="0" applyFont="1" applyFill="1" applyBorder="1" applyAlignment="1">
      <alignment horizontal="right"/>
    </xf>
    <xf numFmtId="0" fontId="14" fillId="12" borderId="72" xfId="0" quotePrefix="1" applyFont="1" applyFill="1" applyBorder="1" applyAlignment="1">
      <alignment horizontal="right"/>
    </xf>
    <xf numFmtId="0" fontId="14" fillId="12" borderId="73" xfId="0" applyFont="1" applyFill="1" applyBorder="1" applyAlignment="1">
      <alignment horizontal="right"/>
    </xf>
    <xf numFmtId="0" fontId="14" fillId="12" borderId="69" xfId="0" applyFont="1" applyFill="1" applyBorder="1" applyAlignment="1">
      <alignment horizontal="right"/>
    </xf>
    <xf numFmtId="0" fontId="14" fillId="0" borderId="39" xfId="0" applyFont="1" applyBorder="1" applyAlignment="1">
      <alignment horizontal="center"/>
    </xf>
    <xf numFmtId="0" fontId="14" fillId="0" borderId="8" xfId="0" applyFont="1" applyBorder="1" applyAlignment="1">
      <alignment horizontal="center"/>
    </xf>
    <xf numFmtId="0" fontId="14" fillId="0" borderId="4" xfId="0" applyFont="1" applyBorder="1" applyAlignment="1">
      <alignment horizontal="center"/>
    </xf>
    <xf numFmtId="0" fontId="11" fillId="0" borderId="47" xfId="0" applyFont="1" applyBorder="1"/>
    <xf numFmtId="0" fontId="11" fillId="12" borderId="47" xfId="0" applyFont="1" applyFill="1" applyBorder="1" applyAlignment="1">
      <alignment horizontal="right"/>
    </xf>
    <xf numFmtId="0" fontId="9" fillId="12" borderId="47" xfId="0" applyFont="1" applyFill="1" applyBorder="1" applyAlignment="1">
      <alignment horizontal="right"/>
    </xf>
    <xf numFmtId="0" fontId="16" fillId="12" borderId="63" xfId="0" applyFont="1" applyFill="1" applyBorder="1" applyAlignment="1">
      <alignment horizontal="right"/>
    </xf>
    <xf numFmtId="0" fontId="16" fillId="12" borderId="71" xfId="0" applyFont="1" applyFill="1" applyBorder="1" applyAlignment="1">
      <alignment horizontal="right"/>
    </xf>
    <xf numFmtId="0" fontId="9" fillId="12" borderId="72" xfId="0" applyFont="1" applyFill="1" applyBorder="1" applyAlignment="1">
      <alignment horizontal="right"/>
    </xf>
    <xf numFmtId="2" fontId="14" fillId="0" borderId="77" xfId="0" applyNumberFormat="1" applyFont="1" applyBorder="1" applyAlignment="1">
      <alignment horizontal="right"/>
    </xf>
    <xf numFmtId="0" fontId="14" fillId="13" borderId="88" xfId="0" applyFont="1" applyFill="1" applyBorder="1" applyAlignment="1">
      <alignment horizontal="right" vertical="top"/>
    </xf>
    <xf numFmtId="0" fontId="14" fillId="13" borderId="78" xfId="0" applyFont="1" applyFill="1" applyBorder="1" applyAlignment="1">
      <alignment horizontal="right" vertical="top"/>
    </xf>
    <xf numFmtId="0" fontId="14" fillId="13" borderId="81" xfId="0" applyFont="1" applyFill="1" applyBorder="1" applyAlignment="1">
      <alignment horizontal="right" vertical="top"/>
    </xf>
    <xf numFmtId="2" fontId="14" fillId="13" borderId="87" xfId="0" applyNumberFormat="1" applyFont="1" applyFill="1" applyBorder="1" applyAlignment="1">
      <alignment horizontal="right"/>
    </xf>
    <xf numFmtId="2" fontId="14" fillId="13" borderId="77" xfId="0" applyNumberFormat="1" applyFont="1" applyFill="1" applyBorder="1" applyAlignment="1">
      <alignment horizontal="right"/>
    </xf>
    <xf numFmtId="2" fontId="14" fillId="13" borderId="80" xfId="0" applyNumberFormat="1" applyFont="1" applyFill="1" applyBorder="1" applyAlignment="1">
      <alignment horizontal="right"/>
    </xf>
    <xf numFmtId="2" fontId="14" fillId="12" borderId="77" xfId="0" applyNumberFormat="1" applyFont="1" applyFill="1" applyBorder="1" applyAlignment="1">
      <alignment horizontal="right"/>
    </xf>
    <xf numFmtId="2" fontId="14" fillId="12" borderId="80" xfId="0" applyNumberFormat="1" applyFont="1" applyFill="1" applyBorder="1" applyAlignment="1">
      <alignment horizontal="right"/>
    </xf>
    <xf numFmtId="0" fontId="14" fillId="11" borderId="61" xfId="0" applyFont="1" applyFill="1" applyBorder="1" applyAlignment="1">
      <alignment horizontal="left" vertical="top" wrapText="1"/>
    </xf>
    <xf numFmtId="0" fontId="14" fillId="12" borderId="99" xfId="0" applyFont="1" applyFill="1" applyBorder="1" applyAlignment="1">
      <alignment horizontal="right"/>
    </xf>
    <xf numFmtId="0" fontId="8" fillId="12" borderId="101" xfId="0" applyFont="1" applyFill="1" applyBorder="1" applyAlignment="1">
      <alignment horizontal="right"/>
    </xf>
    <xf numFmtId="0" fontId="14" fillId="12" borderId="101" xfId="0" quotePrefix="1" applyFont="1" applyFill="1" applyBorder="1" applyAlignment="1">
      <alignment horizontal="right"/>
    </xf>
    <xf numFmtId="0" fontId="14" fillId="12" borderId="104" xfId="0" applyFont="1" applyFill="1" applyBorder="1" applyAlignment="1">
      <alignment horizontal="right"/>
    </xf>
    <xf numFmtId="0" fontId="14" fillId="13" borderId="70" xfId="0" applyFont="1" applyFill="1" applyBorder="1" applyAlignment="1">
      <alignment horizontal="right"/>
    </xf>
    <xf numFmtId="0" fontId="0" fillId="12" borderId="64" xfId="0" applyFill="1" applyBorder="1" applyAlignment="1">
      <alignment horizontal="right"/>
    </xf>
    <xf numFmtId="0" fontId="6" fillId="12" borderId="101" xfId="0" applyFont="1" applyFill="1" applyBorder="1" applyAlignment="1">
      <alignment horizontal="right"/>
    </xf>
    <xf numFmtId="0" fontId="14" fillId="12" borderId="101" xfId="0" applyFont="1" applyFill="1" applyBorder="1" applyAlignment="1">
      <alignment horizontal="right"/>
    </xf>
    <xf numFmtId="0" fontId="11" fillId="11" borderId="108" xfId="0" applyFont="1" applyFill="1" applyBorder="1" applyAlignment="1">
      <alignment horizontal="right"/>
    </xf>
    <xf numFmtId="0" fontId="0" fillId="12" borderId="112" xfId="0" applyFill="1" applyBorder="1" applyAlignment="1">
      <alignment horizontal="right"/>
    </xf>
    <xf numFmtId="49" fontId="15" fillId="12" borderId="96" xfId="0" applyNumberFormat="1" applyFont="1" applyFill="1" applyBorder="1" applyAlignment="1">
      <alignment horizontal="right"/>
    </xf>
    <xf numFmtId="0" fontId="0" fillId="12" borderId="96" xfId="0" applyFill="1" applyBorder="1" applyAlignment="1">
      <alignment horizontal="right"/>
    </xf>
    <xf numFmtId="0" fontId="0" fillId="12" borderId="115" xfId="0" applyFill="1" applyBorder="1" applyAlignment="1">
      <alignment horizontal="right"/>
    </xf>
    <xf numFmtId="0" fontId="15" fillId="12" borderId="112" xfId="0" applyFont="1" applyFill="1" applyBorder="1" applyAlignment="1">
      <alignment horizontal="right"/>
    </xf>
    <xf numFmtId="0" fontId="15" fillId="12" borderId="96" xfId="0" applyFont="1" applyFill="1" applyBorder="1" applyAlignment="1">
      <alignment horizontal="right"/>
    </xf>
    <xf numFmtId="0" fontId="15" fillId="12" borderId="115" xfId="0" applyFont="1" applyFill="1" applyBorder="1" applyAlignment="1">
      <alignment horizontal="right"/>
    </xf>
    <xf numFmtId="0" fontId="0" fillId="12" borderId="113" xfId="0" applyFill="1" applyBorder="1" applyAlignment="1">
      <alignment horizontal="right"/>
    </xf>
    <xf numFmtId="0" fontId="15" fillId="12" borderId="110" xfId="0" applyFont="1" applyFill="1" applyBorder="1" applyAlignment="1">
      <alignment horizontal="right"/>
    </xf>
    <xf numFmtId="0" fontId="0" fillId="12" borderId="110" xfId="0" applyFill="1" applyBorder="1" applyAlignment="1">
      <alignment horizontal="right"/>
    </xf>
    <xf numFmtId="0" fontId="5" fillId="12" borderId="110" xfId="0" applyFont="1" applyFill="1" applyBorder="1" applyAlignment="1">
      <alignment horizontal="right"/>
    </xf>
    <xf numFmtId="0" fontId="6" fillId="12" borderId="110" xfId="0" applyFont="1" applyFill="1" applyBorder="1" applyAlignment="1">
      <alignment horizontal="right"/>
    </xf>
    <xf numFmtId="0" fontId="0" fillId="12" borderId="116" xfId="0" applyFill="1" applyBorder="1" applyAlignment="1">
      <alignment horizontal="right"/>
    </xf>
    <xf numFmtId="0" fontId="14" fillId="13" borderId="64" xfId="0" applyFont="1" applyFill="1" applyBorder="1" applyAlignment="1">
      <alignment horizontal="right" wrapText="1"/>
    </xf>
    <xf numFmtId="0" fontId="14" fillId="0" borderId="64" xfId="0" applyFont="1" applyBorder="1" applyAlignment="1">
      <alignment horizontal="right" vertical="center"/>
    </xf>
    <xf numFmtId="0" fontId="2" fillId="0" borderId="0" xfId="0" applyFont="1" applyAlignment="1">
      <alignment wrapText="1"/>
    </xf>
    <xf numFmtId="0" fontId="10" fillId="14" borderId="61" xfId="0" applyFont="1" applyFill="1" applyBorder="1" applyAlignment="1">
      <alignment wrapText="1"/>
    </xf>
    <xf numFmtId="0" fontId="14" fillId="13" borderId="64" xfId="0" applyFont="1" applyFill="1" applyBorder="1" applyAlignment="1">
      <alignment horizontal="right"/>
    </xf>
  </cellXfs>
  <cellStyles count="2">
    <cellStyle name="Normal" xfId="0" builtinId="0"/>
    <cellStyle name="Normal 2" xfId="1" xr:uid="{17F7084D-7EEE-42E4-92D0-98B8E3C2AFA2}"/>
  </cellStyles>
  <dxfs count="2">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41</xdr:row>
      <xdr:rowOff>0</xdr:rowOff>
    </xdr:from>
    <xdr:to>
      <xdr:col>13</xdr:col>
      <xdr:colOff>737754</xdr:colOff>
      <xdr:row>62</xdr:row>
      <xdr:rowOff>22514</xdr:rowOff>
    </xdr:to>
    <xdr:pic>
      <xdr:nvPicPr>
        <xdr:cNvPr id="3" name="Picture 2">
          <a:extLst>
            <a:ext uri="{FF2B5EF4-FFF2-40B4-BE49-F238E27FC236}">
              <a16:creationId xmlns:a16="http://schemas.microsoft.com/office/drawing/2014/main" id="{4CCE3E30-77A3-9A72-891D-A84E86347E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782327" y="11402291"/>
          <a:ext cx="6667500" cy="409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337242</xdr:colOff>
      <xdr:row>28</xdr:row>
      <xdr:rowOff>122306</xdr:rowOff>
    </xdr:from>
    <xdr:to>
      <xdr:col>12</xdr:col>
      <xdr:colOff>765094</xdr:colOff>
      <xdr:row>47</xdr:row>
      <xdr:rowOff>131858</xdr:rowOff>
    </xdr:to>
    <xdr:pic>
      <xdr:nvPicPr>
        <xdr:cNvPr id="6" name="Picture 5">
          <a:extLst>
            <a:ext uri="{FF2B5EF4-FFF2-40B4-BE49-F238E27FC236}">
              <a16:creationId xmlns:a16="http://schemas.microsoft.com/office/drawing/2014/main" id="{CAF8D0F1-C116-BAC3-00EA-1349847646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769242" y="6995247"/>
          <a:ext cx="6673264" cy="40735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3893820</xdr:colOff>
      <xdr:row>19</xdr:row>
      <xdr:rowOff>30480</xdr:rowOff>
    </xdr:from>
    <xdr:to>
      <xdr:col>0</xdr:col>
      <xdr:colOff>8436527</xdr:colOff>
      <xdr:row>30</xdr:row>
      <xdr:rowOff>175260</xdr:rowOff>
    </xdr:to>
    <xdr:pic>
      <xdr:nvPicPr>
        <xdr:cNvPr id="5" name="Graphic 4">
          <a:extLst>
            <a:ext uri="{FF2B5EF4-FFF2-40B4-BE49-F238E27FC236}">
              <a16:creationId xmlns:a16="http://schemas.microsoft.com/office/drawing/2014/main" id="{33F65E4E-1BF4-9070-770F-F4FE397492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893820" y="3939540"/>
          <a:ext cx="4542707" cy="215646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f3aee38b355b722b/Documents/02_EPFL/01_MA2/SemesterProject/PdS2026/MethanoltoSNG/MeOHtoSNG_old.xlsx" TargetMode="External"/><Relationship Id="rId1" Type="http://schemas.openxmlformats.org/officeDocument/2006/relationships/externalLinkPath" Target="MeOHtoSNG_ol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HEADER"/>
      <sheetName val="VARIABLES"/>
      <sheetName val="CONNECTORS"/>
      <sheetName val="MeOH_reform"/>
      <sheetName val="SyngasMethanator"/>
    </sheetNames>
    <sheetDataSet>
      <sheetData sheetId="0" refreshError="1"/>
      <sheetData sheetId="1" refreshError="1"/>
      <sheetData sheetId="2">
        <row r="15">
          <cell r="E15">
            <v>8</v>
          </cell>
        </row>
      </sheetData>
      <sheetData sheetId="3" refreshError="1"/>
      <sheetData sheetId="4" refreshError="1"/>
      <sheetData sheetId="5" refreshError="1"/>
    </sheetDataSet>
  </externalBook>
</externalLink>
</file>

<file path=xl/persons/person.xml><?xml version="1.0" encoding="utf-8"?>
<personList xmlns="http://schemas.microsoft.com/office/spreadsheetml/2018/threadedcomments" xmlns:x="http://schemas.openxmlformats.org/spreadsheetml/2006/main">
  <person displayName="baptiste mabboux" id="{B7EF1D94-B352-4079-870D-ECE1DE547936}"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27" dT="2026-05-05T13:53:34.15" personId="{B7EF1D94-B352-4079-870D-ECE1DE547936}" id="{AB62C13E-E1A2-4DC7-A308-AC64BD92A260}">
    <text>Computed from Q=m*cp*dT</text>
  </threadedComment>
</ThreadedComments>
</file>

<file path=xl/threadedComments/threadedComment2.xml><?xml version="1.0" encoding="utf-8"?>
<ThreadedComments xmlns="http://schemas.microsoft.com/office/spreadsheetml/2018/threadedcomments" xmlns:x="http://schemas.openxmlformats.org/spreadsheetml/2006/main">
  <threadedComment ref="K24" dT="2026-05-05T13:54:15.93" personId="{B7EF1D94-B352-4079-870D-ECE1DE547936}" id="{81EB2891-34D0-43DD-B1DB-FB16B2C1C81E}">
    <text>Computed from Q=m*cp*dT</text>
  </threadedComment>
</ThreadedComment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32" sqref="B32"/>
    </sheetView>
  </sheetViews>
  <sheetFormatPr defaultColWidth="14.44140625" defaultRowHeight="15" customHeight="1" x14ac:dyDescent="0.3"/>
  <cols>
    <col min="1" max="1" width="18.109375" bestFit="1" customWidth="1"/>
    <col min="2" max="2" width="255.77734375" style="167" customWidth="1"/>
    <col min="3" max="3" width="29.44140625" customWidth="1"/>
  </cols>
  <sheetData>
    <row r="2" spans="1:2" ht="37.799999999999997" customHeight="1" x14ac:dyDescent="0.3">
      <c r="A2" s="97" t="s">
        <v>0</v>
      </c>
      <c r="B2" s="168" t="s">
        <v>1</v>
      </c>
    </row>
    <row r="3" spans="1:2" ht="15" customHeight="1" x14ac:dyDescent="0.3">
      <c r="A3" s="165"/>
      <c r="B3" s="166"/>
    </row>
    <row r="4" spans="1:2" ht="23.55" customHeight="1" x14ac:dyDescent="0.3">
      <c r="A4" s="97" t="s">
        <v>164</v>
      </c>
      <c r="B4" s="169" t="s">
        <v>165</v>
      </c>
    </row>
    <row r="5" spans="1:2" ht="14.4" x14ac:dyDescent="0.3">
      <c r="A5" s="165"/>
      <c r="B5" s="166"/>
    </row>
    <row r="6" spans="1:2" ht="72.45" customHeight="1" x14ac:dyDescent="0.3">
      <c r="A6" s="97" t="s">
        <v>2</v>
      </c>
      <c r="B6" s="169" t="s">
        <v>166</v>
      </c>
    </row>
    <row r="7" spans="1:2" ht="14.4" x14ac:dyDescent="0.3">
      <c r="A7" s="165"/>
      <c r="B7" s="166"/>
    </row>
    <row r="8" spans="1:2" ht="39.450000000000003" customHeight="1" x14ac:dyDescent="0.3">
      <c r="A8" s="97" t="s">
        <v>3</v>
      </c>
      <c r="B8" s="168" t="s">
        <v>4</v>
      </c>
    </row>
    <row r="9" spans="1:2" ht="14.4" x14ac:dyDescent="0.3">
      <c r="A9" s="165"/>
      <c r="B9" s="166"/>
    </row>
    <row r="10" spans="1:2" ht="55.8" customHeight="1" x14ac:dyDescent="0.3">
      <c r="A10" s="97" t="s">
        <v>5</v>
      </c>
      <c r="B10" s="169" t="s">
        <v>167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37"/>
  <sheetViews>
    <sheetView showGridLines="0" zoomScale="85" zoomScaleNormal="85"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27.77734375" customWidth="1"/>
    <col min="7" max="26" width="10.6640625" customWidth="1"/>
    <col min="27" max="16384" width="14.44140625" style="99"/>
  </cols>
  <sheetData>
    <row r="1" spans="1:4" ht="14.4" x14ac:dyDescent="0.3">
      <c r="A1" s="149" t="s">
        <v>98</v>
      </c>
      <c r="B1" s="364"/>
      <c r="C1" s="2"/>
      <c r="D1" s="11" t="s">
        <v>135</v>
      </c>
    </row>
    <row r="2" spans="1:4" ht="14.4" x14ac:dyDescent="0.3">
      <c r="A2" s="150" t="s">
        <v>99</v>
      </c>
      <c r="B2" s="151" t="s">
        <v>194</v>
      </c>
      <c r="D2" s="170" t="s">
        <v>6</v>
      </c>
    </row>
    <row r="3" spans="1:4" ht="14.4" x14ac:dyDescent="0.3">
      <c r="A3" s="150" t="s">
        <v>100</v>
      </c>
      <c r="B3" s="151" t="s">
        <v>195</v>
      </c>
      <c r="C3" s="99"/>
      <c r="D3" s="171" t="s">
        <v>173</v>
      </c>
    </row>
    <row r="4" spans="1:4" ht="14.4" x14ac:dyDescent="0.3">
      <c r="A4" s="150" t="s">
        <v>112</v>
      </c>
      <c r="B4" s="151" t="s">
        <v>113</v>
      </c>
      <c r="C4" s="99"/>
      <c r="D4" s="171" t="s">
        <v>174</v>
      </c>
    </row>
    <row r="5" spans="1:4" ht="14.4" x14ac:dyDescent="0.3">
      <c r="A5" s="150" t="s">
        <v>103</v>
      </c>
      <c r="B5" s="231">
        <v>45974</v>
      </c>
      <c r="C5" s="99"/>
      <c r="D5" s="170" t="s">
        <v>8</v>
      </c>
    </row>
    <row r="6" spans="1:4" ht="14.4" x14ac:dyDescent="0.3">
      <c r="A6" s="150" t="s">
        <v>107</v>
      </c>
      <c r="B6" s="231">
        <v>45974</v>
      </c>
      <c r="C6" s="99"/>
      <c r="D6" s="170" t="s">
        <v>12</v>
      </c>
    </row>
    <row r="7" spans="1:4" ht="14.4" x14ac:dyDescent="0.3">
      <c r="A7" s="150" t="s">
        <v>115</v>
      </c>
      <c r="B7" s="151" t="s">
        <v>116</v>
      </c>
      <c r="D7" s="171" t="s">
        <v>175</v>
      </c>
    </row>
    <row r="8" spans="1:4" ht="14.4" x14ac:dyDescent="0.3">
      <c r="A8" s="150" t="s">
        <v>101</v>
      </c>
      <c r="B8" s="152">
        <v>1</v>
      </c>
      <c r="C8" s="99"/>
      <c r="D8" s="171" t="s">
        <v>171</v>
      </c>
    </row>
    <row r="9" spans="1:4" ht="14.4" x14ac:dyDescent="0.3">
      <c r="A9" s="150" t="s">
        <v>102</v>
      </c>
      <c r="B9" s="151" t="s">
        <v>7</v>
      </c>
      <c r="C9" s="99"/>
      <c r="D9" s="171" t="s">
        <v>172</v>
      </c>
    </row>
    <row r="10" spans="1:4" ht="14.4" x14ac:dyDescent="0.3">
      <c r="A10" s="150" t="s">
        <v>136</v>
      </c>
      <c r="B10" s="148">
        <v>1</v>
      </c>
      <c r="D10" s="171" t="s">
        <v>176</v>
      </c>
    </row>
    <row r="11" spans="1:4" ht="14.4" x14ac:dyDescent="0.3">
      <c r="A11" s="150" t="s">
        <v>105</v>
      </c>
      <c r="B11" s="151" t="s">
        <v>9</v>
      </c>
      <c r="C11" s="99"/>
      <c r="D11" s="171" t="s">
        <v>177</v>
      </c>
    </row>
    <row r="12" spans="1:4" ht="28.8" x14ac:dyDescent="0.3">
      <c r="A12" s="153" t="s">
        <v>109</v>
      </c>
      <c r="B12" s="383" t="str">
        <f>TEXT(CH4energyflow,0) &amp; "kw of produced CH4"</f>
        <v>56681kw of produced CH4</v>
      </c>
      <c r="C12" s="1"/>
      <c r="D12" s="171" t="s">
        <v>178</v>
      </c>
    </row>
    <row r="13" spans="1:4" ht="21.45" customHeight="1" x14ac:dyDescent="0.3">
      <c r="A13" s="153" t="s">
        <v>73</v>
      </c>
      <c r="B13" s="151">
        <v>9</v>
      </c>
      <c r="C13" s="1"/>
      <c r="D13" s="171" t="s">
        <v>179</v>
      </c>
    </row>
    <row r="14" spans="1:4" ht="14.4" x14ac:dyDescent="0.3">
      <c r="A14" s="150" t="s">
        <v>108</v>
      </c>
      <c r="B14" s="386" t="s">
        <v>196</v>
      </c>
      <c r="C14" s="98"/>
      <c r="D14" s="170" t="s">
        <v>13</v>
      </c>
    </row>
    <row r="15" spans="1:4" ht="14.4" x14ac:dyDescent="0.3">
      <c r="A15" s="153" t="s">
        <v>14</v>
      </c>
      <c r="B15" s="154" t="s">
        <v>197</v>
      </c>
      <c r="C15" s="1"/>
      <c r="D15" s="170" t="s">
        <v>169</v>
      </c>
    </row>
    <row r="16" spans="1:4" ht="14.4" x14ac:dyDescent="0.3">
      <c r="A16" s="153" t="s">
        <v>110</v>
      </c>
      <c r="B16" s="365"/>
      <c r="C16" s="1"/>
      <c r="D16" s="170" t="s">
        <v>168</v>
      </c>
    </row>
    <row r="17" spans="1:4" ht="14.4" x14ac:dyDescent="0.3">
      <c r="A17" s="153" t="s">
        <v>114</v>
      </c>
      <c r="B17" s="365" t="s">
        <v>198</v>
      </c>
      <c r="C17" s="1"/>
      <c r="D17" s="171" t="s">
        <v>180</v>
      </c>
    </row>
    <row r="18" spans="1:4" ht="20.55" customHeight="1" x14ac:dyDescent="0.3">
      <c r="A18" s="150" t="s">
        <v>104</v>
      </c>
      <c r="B18" s="382" t="s">
        <v>513</v>
      </c>
      <c r="C18" s="99"/>
      <c r="D18" s="171" t="s">
        <v>181</v>
      </c>
    </row>
    <row r="19" spans="1:4" ht="14.4" x14ac:dyDescent="0.3">
      <c r="A19" s="150" t="s">
        <v>106</v>
      </c>
      <c r="B19" s="151" t="s">
        <v>199</v>
      </c>
      <c r="C19" s="99"/>
      <c r="D19" s="170" t="s">
        <v>10</v>
      </c>
    </row>
    <row r="20" spans="1:4" ht="14.4" x14ac:dyDescent="0.3">
      <c r="A20" s="150" t="s">
        <v>133</v>
      </c>
      <c r="B20" s="151" t="s">
        <v>199</v>
      </c>
      <c r="C20" s="99"/>
      <c r="D20" s="171" t="s">
        <v>182</v>
      </c>
    </row>
    <row r="21" spans="1:4" ht="15.75" customHeight="1" x14ac:dyDescent="0.3">
      <c r="A21" s="153" t="s">
        <v>111</v>
      </c>
      <c r="B21" s="151" t="s">
        <v>200</v>
      </c>
      <c r="C21" s="1"/>
      <c r="D21" s="171" t="s">
        <v>183</v>
      </c>
    </row>
    <row r="22" spans="1:4" ht="14.4" x14ac:dyDescent="0.3">
      <c r="A22" s="150" t="s">
        <v>11</v>
      </c>
      <c r="B22" s="365"/>
      <c r="C22" s="99"/>
      <c r="D22" s="171" t="s">
        <v>184</v>
      </c>
    </row>
    <row r="23" spans="1:4" ht="15.75" customHeight="1" thickBot="1" x14ac:dyDescent="0.35">
      <c r="A23" s="155" t="s">
        <v>117</v>
      </c>
      <c r="B23" s="156" t="s">
        <v>131</v>
      </c>
      <c r="C23" s="1"/>
      <c r="D23" s="171" t="s">
        <v>170</v>
      </c>
    </row>
    <row r="36" spans="7:7" ht="15" customHeight="1" x14ac:dyDescent="0.3">
      <c r="G36" s="230"/>
    </row>
    <row r="37" spans="7:7" ht="15" customHeight="1" x14ac:dyDescent="0.3">
      <c r="G37" s="230"/>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50"/>
  <sheetViews>
    <sheetView showGridLines="0" zoomScale="85" zoomScaleNormal="55" workbookViewId="0">
      <selection activeCell="F16" sqref="F16"/>
    </sheetView>
  </sheetViews>
  <sheetFormatPr defaultColWidth="14.44140625" defaultRowHeight="15" customHeight="1" x14ac:dyDescent="0.3"/>
  <cols>
    <col min="1" max="1" width="42.6640625" style="96" customWidth="1"/>
    <col min="2" max="2" width="19.44140625" style="96" bestFit="1" customWidth="1"/>
    <col min="3" max="3" width="17.33203125" style="96" customWidth="1"/>
    <col min="4" max="4" width="20.109375" style="96" bestFit="1" customWidth="1"/>
    <col min="5" max="5" width="19.44140625" style="96" bestFit="1" customWidth="1"/>
    <col min="6" max="6" width="23.44140625" style="96" customWidth="1"/>
    <col min="7" max="7" width="27" style="96" customWidth="1"/>
    <col min="8" max="8" width="23.44140625" style="96" customWidth="1"/>
    <col min="9" max="9" width="33.109375" style="96" bestFit="1" customWidth="1"/>
    <col min="10" max="10" width="27" style="96" customWidth="1"/>
    <col min="11" max="11" width="54.77734375" bestFit="1" customWidth="1"/>
    <col min="12" max="12" width="61.33203125" customWidth="1"/>
    <col min="13" max="13" width="16" customWidth="1"/>
    <col min="14" max="14" width="18.44140625" customWidth="1"/>
    <col min="15" max="15" width="14.33203125" customWidth="1"/>
    <col min="16" max="16" width="5.109375" customWidth="1"/>
  </cols>
  <sheetData>
    <row r="1" spans="1:16" ht="15" customHeight="1" thickBot="1" x14ac:dyDescent="0.35"/>
    <row r="2" spans="1:16" thickBot="1" x14ac:dyDescent="0.35">
      <c r="A2" s="11" t="s">
        <v>97</v>
      </c>
      <c r="B2" s="4"/>
      <c r="C2" s="4"/>
      <c r="D2" s="4"/>
      <c r="E2" s="4"/>
      <c r="F2" s="4"/>
      <c r="G2" s="4"/>
      <c r="H2" s="4"/>
      <c r="I2" s="4"/>
      <c r="J2" s="4"/>
      <c r="K2" s="3"/>
      <c r="L2" s="5"/>
      <c r="M2" s="6"/>
      <c r="N2" s="6"/>
      <c r="O2" s="6"/>
      <c r="P2" s="6"/>
    </row>
    <row r="3" spans="1:16" thickBot="1" x14ac:dyDescent="0.35">
      <c r="A3" s="115" t="s">
        <v>15</v>
      </c>
      <c r="B3" s="116"/>
      <c r="C3" s="116"/>
      <c r="D3" s="116"/>
      <c r="E3" s="116"/>
      <c r="F3" s="116"/>
      <c r="G3" s="116"/>
      <c r="H3" s="116"/>
      <c r="I3" s="116"/>
      <c r="J3" s="116"/>
      <c r="K3" s="162"/>
      <c r="L3" s="163"/>
      <c r="M3" s="6"/>
      <c r="N3" s="6"/>
      <c r="O3" s="6"/>
      <c r="P3" s="6"/>
    </row>
    <row r="4" spans="1:16" thickBot="1" x14ac:dyDescent="0.35">
      <c r="A4" s="144" t="s">
        <v>134</v>
      </c>
      <c r="B4" s="145" t="s">
        <v>16</v>
      </c>
      <c r="C4" s="145" t="s">
        <v>17</v>
      </c>
      <c r="D4" s="145" t="s">
        <v>189</v>
      </c>
      <c r="E4" s="145" t="s">
        <v>19</v>
      </c>
      <c r="F4" s="146" t="s">
        <v>20</v>
      </c>
      <c r="G4" s="145" t="s">
        <v>21</v>
      </c>
      <c r="H4" s="145" t="s">
        <v>22</v>
      </c>
      <c r="I4" s="145" t="s">
        <v>23</v>
      </c>
      <c r="J4" s="145" t="s">
        <v>24</v>
      </c>
      <c r="K4" s="145" t="s">
        <v>25</v>
      </c>
      <c r="L4" s="147" t="s">
        <v>14</v>
      </c>
      <c r="M4" s="5"/>
      <c r="N4" s="6"/>
      <c r="O4" s="6"/>
      <c r="P4" s="6"/>
    </row>
    <row r="5" spans="1:16" thickBot="1" x14ac:dyDescent="0.35">
      <c r="A5" s="232" t="s">
        <v>201</v>
      </c>
      <c r="B5" s="173" t="s">
        <v>211</v>
      </c>
      <c r="C5" s="173" t="s">
        <v>26</v>
      </c>
      <c r="D5" s="173" t="s">
        <v>27</v>
      </c>
      <c r="E5" s="173">
        <v>30</v>
      </c>
      <c r="F5" s="303" t="s">
        <v>54</v>
      </c>
      <c r="G5" s="173">
        <v>1</v>
      </c>
      <c r="H5" s="173" t="s">
        <v>29</v>
      </c>
      <c r="I5" s="173">
        <v>-1</v>
      </c>
      <c r="J5" s="173" t="s">
        <v>30</v>
      </c>
      <c r="K5" s="173" t="s">
        <v>202</v>
      </c>
      <c r="L5" s="360" t="s">
        <v>212</v>
      </c>
      <c r="N5" s="6"/>
      <c r="O5" s="6"/>
      <c r="P5" s="6"/>
    </row>
    <row r="6" spans="1:16" thickBot="1" x14ac:dyDescent="0.35">
      <c r="A6" s="233" t="s">
        <v>31</v>
      </c>
      <c r="B6" s="174" t="s">
        <v>213</v>
      </c>
      <c r="C6" s="175" t="s">
        <v>26</v>
      </c>
      <c r="D6" s="175" t="s">
        <v>27</v>
      </c>
      <c r="E6" s="175">
        <v>30</v>
      </c>
      <c r="F6" s="174" t="s">
        <v>54</v>
      </c>
      <c r="G6" s="174">
        <v>1</v>
      </c>
      <c r="H6" s="175" t="s">
        <v>29</v>
      </c>
      <c r="I6" s="174">
        <v>-1</v>
      </c>
      <c r="J6" s="174" t="s">
        <v>30</v>
      </c>
      <c r="K6" s="174" t="s">
        <v>32</v>
      </c>
      <c r="L6" s="366" t="s">
        <v>209</v>
      </c>
      <c r="M6" s="96"/>
      <c r="N6" s="6"/>
      <c r="O6" s="6"/>
      <c r="P6" s="6"/>
    </row>
    <row r="7" spans="1:16" thickBot="1" x14ac:dyDescent="0.35">
      <c r="A7" s="234" t="s">
        <v>203</v>
      </c>
      <c r="B7" s="175" t="s">
        <v>214</v>
      </c>
      <c r="C7" s="175" t="s">
        <v>26</v>
      </c>
      <c r="D7" s="175" t="s">
        <v>27</v>
      </c>
      <c r="E7" s="175">
        <v>30</v>
      </c>
      <c r="F7" s="174" t="s">
        <v>54</v>
      </c>
      <c r="G7" s="174">
        <v>1</v>
      </c>
      <c r="H7" s="175" t="s">
        <v>29</v>
      </c>
      <c r="I7" s="174">
        <v>-1</v>
      </c>
      <c r="J7" s="174" t="s">
        <v>34</v>
      </c>
      <c r="K7" s="174" t="s">
        <v>204</v>
      </c>
      <c r="L7" s="366" t="s">
        <v>215</v>
      </c>
      <c r="M7" s="96"/>
      <c r="N7" s="6"/>
      <c r="O7" s="6"/>
      <c r="P7" s="6"/>
    </row>
    <row r="8" spans="1:16" thickBot="1" x14ac:dyDescent="0.35">
      <c r="A8" s="234" t="s">
        <v>39</v>
      </c>
      <c r="B8" s="175" t="s">
        <v>39</v>
      </c>
      <c r="C8" s="175" t="s">
        <v>38</v>
      </c>
      <c r="D8" s="175" t="s">
        <v>27</v>
      </c>
      <c r="E8" s="175">
        <v>30</v>
      </c>
      <c r="F8" s="174" t="s">
        <v>54</v>
      </c>
      <c r="G8" s="174">
        <v>1</v>
      </c>
      <c r="H8" s="175" t="s">
        <v>29</v>
      </c>
      <c r="I8" s="175">
        <v>-1</v>
      </c>
      <c r="J8" s="175" t="s">
        <v>34</v>
      </c>
      <c r="K8" s="174" t="s">
        <v>40</v>
      </c>
      <c r="L8" s="366" t="s">
        <v>216</v>
      </c>
      <c r="M8" s="96"/>
      <c r="N8" s="6"/>
      <c r="O8" s="6"/>
      <c r="P8" s="6"/>
    </row>
    <row r="9" spans="1:16" thickBot="1" x14ac:dyDescent="0.35">
      <c r="A9" s="234" t="s">
        <v>205</v>
      </c>
      <c r="B9" s="175" t="s">
        <v>33</v>
      </c>
      <c r="C9" s="175" t="s">
        <v>26</v>
      </c>
      <c r="D9" s="175" t="s">
        <v>36</v>
      </c>
      <c r="E9" s="175">
        <v>30</v>
      </c>
      <c r="F9" s="174" t="s">
        <v>54</v>
      </c>
      <c r="G9" s="174">
        <v>35</v>
      </c>
      <c r="H9" s="175" t="s">
        <v>29</v>
      </c>
      <c r="I9" s="175">
        <v>-1</v>
      </c>
      <c r="J9" s="175" t="s">
        <v>34</v>
      </c>
      <c r="K9" s="175" t="s">
        <v>206</v>
      </c>
      <c r="L9" s="367" t="s">
        <v>217</v>
      </c>
      <c r="M9" s="96"/>
      <c r="N9" s="6"/>
      <c r="O9" s="6"/>
      <c r="P9" s="6"/>
    </row>
    <row r="10" spans="1:16" thickBot="1" x14ac:dyDescent="0.35">
      <c r="A10" s="235" t="s">
        <v>35</v>
      </c>
      <c r="B10" s="236" t="s">
        <v>210</v>
      </c>
      <c r="C10" s="236" t="s">
        <v>35</v>
      </c>
      <c r="D10" s="236" t="s">
        <v>36</v>
      </c>
      <c r="E10" s="236" t="s">
        <v>37</v>
      </c>
      <c r="F10" s="237" t="s">
        <v>37</v>
      </c>
      <c r="G10" s="236" t="s">
        <v>37</v>
      </c>
      <c r="H10" s="236" t="s">
        <v>37</v>
      </c>
      <c r="I10" s="237" t="s">
        <v>37</v>
      </c>
      <c r="J10" s="237" t="s">
        <v>37</v>
      </c>
      <c r="K10" s="236" t="s">
        <v>37</v>
      </c>
      <c r="L10" s="363" t="s">
        <v>208</v>
      </c>
      <c r="M10" s="96"/>
      <c r="N10" s="6"/>
      <c r="O10" s="6"/>
      <c r="P10" s="6"/>
    </row>
    <row r="11" spans="1:16" thickBot="1" x14ac:dyDescent="0.35">
      <c r="A11" s="8"/>
      <c r="B11" s="8"/>
      <c r="C11" s="8"/>
      <c r="D11" s="8"/>
      <c r="E11" s="8"/>
      <c r="F11" s="8"/>
      <c r="G11" s="8"/>
      <c r="H11" s="8"/>
      <c r="I11" s="9"/>
      <c r="J11" s="10"/>
      <c r="K11" s="10"/>
      <c r="L11" s="10"/>
      <c r="N11" s="6"/>
      <c r="O11" s="6"/>
      <c r="P11" s="6"/>
    </row>
    <row r="12" spans="1:16" thickBot="1" x14ac:dyDescent="0.35">
      <c r="A12" s="11" t="s">
        <v>96</v>
      </c>
      <c r="B12" s="12"/>
      <c r="C12" s="12"/>
      <c r="D12" s="12"/>
      <c r="E12" s="12"/>
      <c r="F12" s="12"/>
      <c r="G12" s="12"/>
      <c r="H12" s="12"/>
      <c r="I12" s="13"/>
      <c r="J12" s="14"/>
      <c r="K12" s="14"/>
      <c r="L12" s="14"/>
      <c r="M12" s="6"/>
      <c r="N12" s="6"/>
      <c r="O12" s="6"/>
      <c r="P12" s="6"/>
    </row>
    <row r="13" spans="1:16" thickBot="1" x14ac:dyDescent="0.35">
      <c r="A13" s="115" t="s">
        <v>41</v>
      </c>
      <c r="B13" s="116"/>
      <c r="C13" s="116"/>
      <c r="D13" s="116"/>
      <c r="E13" s="116"/>
      <c r="F13" s="116"/>
      <c r="G13" s="116"/>
      <c r="H13" s="116"/>
      <c r="I13" s="116"/>
      <c r="J13" s="116"/>
      <c r="K13" s="162"/>
      <c r="L13" s="163"/>
      <c r="M13" s="5"/>
      <c r="N13" s="6"/>
      <c r="O13" s="6"/>
      <c r="P13" s="6"/>
    </row>
    <row r="14" spans="1:16" thickBot="1" x14ac:dyDescent="0.35">
      <c r="A14" s="144" t="s">
        <v>134</v>
      </c>
      <c r="B14" s="145" t="s">
        <v>16</v>
      </c>
      <c r="C14" s="145" t="s">
        <v>17</v>
      </c>
      <c r="D14" s="145" t="s">
        <v>189</v>
      </c>
      <c r="E14" s="145" t="s">
        <v>19</v>
      </c>
      <c r="F14" s="146" t="s">
        <v>20</v>
      </c>
      <c r="G14" s="145" t="s">
        <v>21</v>
      </c>
      <c r="H14" s="145" t="s">
        <v>22</v>
      </c>
      <c r="I14" s="145" t="s">
        <v>23</v>
      </c>
      <c r="J14" s="145" t="s">
        <v>24</v>
      </c>
      <c r="K14" s="145" t="s">
        <v>25</v>
      </c>
      <c r="L14" s="147" t="s">
        <v>14</v>
      </c>
      <c r="M14" s="5"/>
      <c r="N14" s="6"/>
      <c r="O14" s="6"/>
      <c r="P14" s="6"/>
    </row>
    <row r="15" spans="1:16" s="239" customFormat="1" ht="15.75" customHeight="1" thickBot="1" x14ac:dyDescent="0.35">
      <c r="A15" s="247" t="s">
        <v>219</v>
      </c>
      <c r="B15" s="248" t="s">
        <v>218</v>
      </c>
      <c r="C15" s="248" t="s">
        <v>26</v>
      </c>
      <c r="D15" s="248" t="s">
        <v>27</v>
      </c>
      <c r="E15" s="248">
        <v>35</v>
      </c>
      <c r="F15" s="248" t="s">
        <v>54</v>
      </c>
      <c r="G15" s="248">
        <v>35</v>
      </c>
      <c r="H15" s="248" t="s">
        <v>29</v>
      </c>
      <c r="I15" s="248">
        <v>1</v>
      </c>
      <c r="J15" s="249" t="s">
        <v>34</v>
      </c>
      <c r="K15" s="250" t="s">
        <v>220</v>
      </c>
      <c r="L15" s="368" t="s">
        <v>221</v>
      </c>
      <c r="M15" s="240"/>
      <c r="N15" s="238"/>
      <c r="O15" s="238"/>
      <c r="P15" s="238"/>
    </row>
    <row r="16" spans="1:16" ht="15.75" customHeight="1" thickBot="1" x14ac:dyDescent="0.35">
      <c r="A16" s="15"/>
      <c r="B16" s="15"/>
      <c r="C16" s="15"/>
      <c r="D16" s="15"/>
      <c r="E16" s="15"/>
      <c r="F16" s="241"/>
      <c r="G16" s="242"/>
      <c r="H16" s="243"/>
      <c r="I16" s="242"/>
      <c r="J16" s="244"/>
      <c r="K16" s="245"/>
      <c r="L16" s="246"/>
      <c r="M16" s="6"/>
      <c r="N16" s="6"/>
      <c r="O16" s="6"/>
      <c r="P16" s="6"/>
    </row>
    <row r="17" spans="10:16" ht="15.75" customHeight="1" thickBot="1" x14ac:dyDescent="0.35">
      <c r="J17" s="99"/>
      <c r="K17" s="99"/>
      <c r="L17" s="96"/>
      <c r="M17" s="6"/>
      <c r="N17" s="6"/>
      <c r="O17" s="6"/>
      <c r="P17" s="6"/>
    </row>
    <row r="18" spans="10:16" ht="15.75" customHeight="1" thickBot="1" x14ac:dyDescent="0.35">
      <c r="J18" s="99"/>
      <c r="K18" s="99"/>
      <c r="L18" s="96"/>
      <c r="M18" s="6"/>
      <c r="N18" s="6"/>
      <c r="O18" s="6"/>
      <c r="P18" s="6"/>
    </row>
    <row r="19" spans="10:16" ht="15.75" customHeight="1" x14ac:dyDescent="0.3"/>
    <row r="20" spans="10:16" ht="15.75" customHeight="1" x14ac:dyDescent="0.3"/>
    <row r="21" spans="10:16" ht="15.75" customHeight="1" x14ac:dyDescent="0.3"/>
    <row r="22" spans="10:16" ht="15.75" customHeight="1" x14ac:dyDescent="0.3"/>
    <row r="23" spans="10:16" ht="15.75" customHeight="1" x14ac:dyDescent="0.3"/>
    <row r="24" spans="10:16" ht="15.75" customHeight="1" x14ac:dyDescent="0.3"/>
    <row r="25" spans="10:16" ht="15.75" customHeight="1" x14ac:dyDescent="0.3"/>
    <row r="26" spans="10:16" ht="15.75" customHeight="1" x14ac:dyDescent="0.3"/>
    <row r="27" spans="10:16" ht="15.75" customHeight="1" x14ac:dyDescent="0.3"/>
    <row r="28" spans="10:16" ht="15.75" customHeight="1" x14ac:dyDescent="0.3"/>
    <row r="29" spans="10:16" ht="15.75" customHeight="1" x14ac:dyDescent="0.3"/>
    <row r="30" spans="10:16" ht="15.75" customHeight="1" x14ac:dyDescent="0.3"/>
    <row r="31" spans="10:16" ht="15.75" customHeight="1" x14ac:dyDescent="0.3"/>
    <row r="32" spans="10:16"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sheetData>
  <dataValidations count="2">
    <dataValidation type="list" allowBlank="1" showErrorMessage="1" sqref="C5:C10" xr:uid="{00000000-0002-0000-0200-000000000000}">
      <formula1>"ELECTRICITY,EMISSIONS,MASS"</formula1>
    </dataValidation>
    <dataValidation type="list" errorStyle="information" allowBlank="1" showInputMessage="1" showErrorMessage="1" sqref="D5:D10 F5:F10 H5:H10 D15 F15 H15" xr:uid="{9F4F24D5-F7EF-40F8-BD39-E8784015D95C}">
      <formula1>"-,kg,s,m,K,°C,W,bar,kg/h,t/h,kW,kW/m2K,W/m2K,kJ/kgK,kJ/kg,m3/h,%,eur,eur/y,kWel/kWth,year"</formula1>
    </dataValidation>
  </dataValidations>
  <pageMargins left="0.7" right="0.7" top="0.75" bottom="0.75" header="0" footer="0"/>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18"/>
  <sheetViews>
    <sheetView showGridLines="0" zoomScale="55" zoomScaleNormal="55" workbookViewId="0">
      <selection activeCell="A94" sqref="A94"/>
    </sheetView>
  </sheetViews>
  <sheetFormatPr defaultColWidth="14.44140625" defaultRowHeight="15" customHeight="1" x14ac:dyDescent="0.3"/>
  <cols>
    <col min="1" max="1" width="153.33203125" style="96" bestFit="1" customWidth="1"/>
    <col min="2" max="2" width="13.6640625" style="96" customWidth="1"/>
    <col min="3" max="3" width="36.44140625" style="96" bestFit="1" customWidth="1"/>
    <col min="4" max="4" width="14" style="96" customWidth="1"/>
    <col min="5" max="5" width="17.6640625" style="96" bestFit="1" customWidth="1"/>
    <col min="6" max="6" width="13.109375" style="96" bestFit="1" customWidth="1"/>
    <col min="7" max="7" width="97.44140625" style="96" bestFit="1" customWidth="1"/>
    <col min="8" max="8" width="10.33203125" style="96" bestFit="1" customWidth="1"/>
    <col min="9" max="9" width="10.6640625" style="96" bestFit="1" customWidth="1"/>
    <col min="10" max="10" width="24.33203125" style="96" bestFit="1" customWidth="1"/>
    <col min="11" max="11" width="20.109375" style="96" bestFit="1" customWidth="1"/>
    <col min="12" max="12" width="96" style="96" bestFit="1" customWidth="1"/>
    <col min="13" max="13" width="29.77734375" style="96" customWidth="1"/>
    <col min="14" max="39" width="10.6640625" style="96" customWidth="1"/>
    <col min="40" max="16384" width="14.44140625" style="96"/>
  </cols>
  <sheetData>
    <row r="1" spans="1:12" customFormat="1" ht="14.4" x14ac:dyDescent="0.3">
      <c r="A1" s="17" t="s">
        <v>42</v>
      </c>
      <c r="B1" s="18"/>
      <c r="C1" s="18"/>
      <c r="D1" s="18"/>
      <c r="E1" s="18"/>
      <c r="F1" s="18"/>
      <c r="G1" s="18"/>
      <c r="H1" s="18"/>
      <c r="I1" s="18"/>
      <c r="J1" s="18"/>
      <c r="K1" s="18"/>
      <c r="L1" s="18"/>
    </row>
    <row r="2" spans="1:12" ht="14.4" x14ac:dyDescent="0.3">
      <c r="A2" s="19" t="s">
        <v>43</v>
      </c>
      <c r="B2" s="18"/>
      <c r="C2" s="18"/>
      <c r="D2" s="18"/>
      <c r="E2" s="18"/>
      <c r="F2" s="18"/>
      <c r="G2" s="18"/>
      <c r="H2" s="18"/>
      <c r="I2" s="18"/>
      <c r="J2" s="18"/>
      <c r="K2" s="18"/>
      <c r="L2" s="18"/>
    </row>
    <row r="3" spans="1:12" ht="14.4" x14ac:dyDescent="0.3">
      <c r="A3" s="20" t="s">
        <v>44</v>
      </c>
      <c r="B3" s="21"/>
      <c r="C3" s="21"/>
      <c r="D3" s="21"/>
      <c r="E3" s="21"/>
      <c r="F3" s="21"/>
      <c r="G3" s="21"/>
      <c r="H3" s="21"/>
      <c r="I3" s="21"/>
      <c r="J3" s="21"/>
      <c r="K3" s="18"/>
      <c r="L3" s="18"/>
    </row>
    <row r="4" spans="1:12" ht="14.4" x14ac:dyDescent="0.3">
      <c r="A4" s="20" t="s">
        <v>45</v>
      </c>
      <c r="B4" s="21"/>
      <c r="C4" s="21"/>
      <c r="D4" s="21"/>
      <c r="E4" s="21"/>
      <c r="F4" s="21"/>
      <c r="G4" s="21"/>
      <c r="H4" s="21"/>
      <c r="I4" s="21"/>
      <c r="J4" s="21"/>
      <c r="K4" s="18"/>
      <c r="L4" s="18"/>
    </row>
    <row r="5" spans="1:12" ht="14.4" x14ac:dyDescent="0.3">
      <c r="A5" s="20" t="s">
        <v>46</v>
      </c>
      <c r="B5" s="21"/>
      <c r="C5" s="21"/>
      <c r="D5" s="21"/>
      <c r="E5" s="21"/>
      <c r="F5" s="21"/>
      <c r="G5" s="21"/>
      <c r="H5" s="21"/>
      <c r="I5" s="21"/>
      <c r="J5" s="21"/>
      <c r="K5" s="18"/>
      <c r="L5" s="18"/>
    </row>
    <row r="6" spans="1:12" ht="14.4" x14ac:dyDescent="0.3">
      <c r="A6" s="172" t="s">
        <v>185</v>
      </c>
      <c r="B6" s="21"/>
      <c r="C6" s="21"/>
      <c r="D6" s="21"/>
      <c r="E6" s="21"/>
      <c r="F6" s="21"/>
      <c r="G6" s="21"/>
      <c r="H6" s="21"/>
      <c r="I6" s="21"/>
      <c r="J6" s="21"/>
      <c r="K6" s="18"/>
      <c r="L6" s="18"/>
    </row>
    <row r="7" spans="1:12" ht="14.4" x14ac:dyDescent="0.3">
      <c r="A7" s="22" t="s">
        <v>47</v>
      </c>
      <c r="B7" s="21"/>
      <c r="C7" s="21"/>
      <c r="D7" s="21"/>
      <c r="E7" s="21"/>
      <c r="F7" s="21"/>
      <c r="G7" s="21"/>
      <c r="H7" s="21"/>
      <c r="I7" s="21"/>
      <c r="J7" s="21"/>
      <c r="K7" s="18"/>
      <c r="L7" s="18"/>
    </row>
    <row r="8" spans="1:12" ht="14.4" x14ac:dyDescent="0.3">
      <c r="A8" s="21" t="s">
        <v>48</v>
      </c>
      <c r="B8" s="21"/>
      <c r="C8" s="21"/>
      <c r="D8" s="21"/>
      <c r="E8" s="21"/>
      <c r="F8" s="21"/>
      <c r="G8" s="21"/>
      <c r="H8" s="21"/>
      <c r="I8" s="21"/>
      <c r="J8" s="21"/>
      <c r="K8" s="18"/>
      <c r="L8" s="18"/>
    </row>
    <row r="9" spans="1:12" ht="14.4" x14ac:dyDescent="0.3">
      <c r="A9" s="23" t="s">
        <v>49</v>
      </c>
      <c r="B9" s="24"/>
      <c r="C9" s="24"/>
      <c r="D9" s="24"/>
      <c r="E9" s="24"/>
      <c r="F9" s="24"/>
      <c r="G9" s="24"/>
      <c r="H9" s="24"/>
      <c r="I9" s="24"/>
      <c r="J9" s="24"/>
      <c r="K9" s="25"/>
      <c r="L9" s="25"/>
    </row>
    <row r="10" spans="1:12" ht="14.4" x14ac:dyDescent="0.3">
      <c r="A10" s="26" t="s">
        <v>50</v>
      </c>
      <c r="B10" s="24"/>
      <c r="C10" s="24"/>
      <c r="D10" s="24"/>
      <c r="E10" s="24"/>
      <c r="F10" s="24"/>
      <c r="G10" s="24"/>
      <c r="H10" s="24"/>
      <c r="I10" s="24"/>
      <c r="J10" s="24"/>
      <c r="K10" s="25"/>
      <c r="L10" s="25"/>
    </row>
    <row r="11" spans="1:12" ht="14.4" x14ac:dyDescent="0.3">
      <c r="A11" s="21"/>
      <c r="B11" s="24"/>
      <c r="C11" s="24"/>
      <c r="D11" s="24"/>
      <c r="E11" s="24"/>
      <c r="F11" s="24"/>
      <c r="G11" s="24"/>
      <c r="H11" s="24"/>
      <c r="I11" s="24"/>
      <c r="J11" s="24"/>
      <c r="K11" s="25"/>
      <c r="L11" s="25"/>
    </row>
    <row r="12" spans="1:12" ht="17.25" customHeight="1" thickBot="1" x14ac:dyDescent="0.35">
      <c r="A12" s="27"/>
      <c r="B12" s="28"/>
      <c r="C12" s="28"/>
      <c r="D12" s="28"/>
      <c r="E12" s="28"/>
      <c r="F12" s="28"/>
      <c r="G12" s="93"/>
      <c r="H12" s="28"/>
      <c r="I12" s="28"/>
      <c r="J12" s="28"/>
      <c r="K12" s="28"/>
      <c r="L12" s="28"/>
    </row>
    <row r="13" spans="1:12" thickBot="1" x14ac:dyDescent="0.35">
      <c r="A13" s="29"/>
      <c r="B13" s="30"/>
      <c r="C13" s="30"/>
      <c r="D13" s="30"/>
      <c r="E13" s="30"/>
      <c r="F13" s="30"/>
      <c r="G13" s="95"/>
      <c r="H13" s="30"/>
      <c r="I13" s="30"/>
      <c r="J13" s="30"/>
      <c r="K13" s="30"/>
      <c r="L13" s="30"/>
    </row>
    <row r="14" spans="1:12" thickBot="1" x14ac:dyDescent="0.35">
      <c r="A14" s="102" t="s">
        <v>3</v>
      </c>
      <c r="B14" s="132"/>
      <c r="C14" s="132"/>
      <c r="D14" s="132"/>
      <c r="E14" s="132"/>
      <c r="F14" s="132"/>
      <c r="G14" s="112"/>
      <c r="H14" s="132"/>
      <c r="I14" s="132"/>
      <c r="J14" s="132"/>
      <c r="K14" s="132"/>
      <c r="L14" s="133"/>
    </row>
    <row r="15" spans="1:12" thickBot="1" x14ac:dyDescent="0.35">
      <c r="A15" s="134" t="s">
        <v>132</v>
      </c>
      <c r="B15" s="135" t="s">
        <v>17</v>
      </c>
      <c r="C15" s="135" t="s">
        <v>91</v>
      </c>
      <c r="D15" s="135" t="s">
        <v>47</v>
      </c>
      <c r="E15" s="135" t="s">
        <v>193</v>
      </c>
      <c r="F15" s="135" t="s">
        <v>18</v>
      </c>
      <c r="G15" s="135" t="s">
        <v>192</v>
      </c>
      <c r="H15" s="136" t="s">
        <v>92</v>
      </c>
      <c r="I15" s="135" t="s">
        <v>93</v>
      </c>
      <c r="J15" s="135" t="s">
        <v>94</v>
      </c>
      <c r="K15" s="177" t="s">
        <v>139</v>
      </c>
      <c r="L15" s="137" t="s">
        <v>14</v>
      </c>
    </row>
    <row r="16" spans="1:12" ht="15.75" customHeight="1" x14ac:dyDescent="0.3">
      <c r="A16" s="258" t="s">
        <v>222</v>
      </c>
      <c r="B16" s="259" t="s">
        <v>52</v>
      </c>
      <c r="C16" s="305" t="s">
        <v>478</v>
      </c>
      <c r="D16" s="259" t="s">
        <v>53</v>
      </c>
      <c r="E16" s="263">
        <v>8</v>
      </c>
      <c r="F16" s="259" t="s">
        <v>54</v>
      </c>
      <c r="G16" s="259" t="s">
        <v>37</v>
      </c>
      <c r="H16" s="369">
        <v>4</v>
      </c>
      <c r="I16" s="369">
        <v>15</v>
      </c>
      <c r="J16" s="259" t="s">
        <v>224</v>
      </c>
      <c r="K16" s="373" t="s">
        <v>562</v>
      </c>
      <c r="L16" s="376" t="s">
        <v>223</v>
      </c>
    </row>
    <row r="17" spans="1:12" ht="14.4" x14ac:dyDescent="0.3">
      <c r="A17" s="252" t="s">
        <v>434</v>
      </c>
      <c r="B17" s="253" t="s">
        <v>52</v>
      </c>
      <c r="C17" s="254" t="s">
        <v>479</v>
      </c>
      <c r="D17" s="254" t="s">
        <v>53</v>
      </c>
      <c r="E17" s="255">
        <v>5</v>
      </c>
      <c r="F17" s="254" t="s">
        <v>54</v>
      </c>
      <c r="G17" s="256" t="s">
        <v>37</v>
      </c>
      <c r="H17" s="370">
        <v>2</v>
      </c>
      <c r="I17" s="370">
        <v>10</v>
      </c>
      <c r="J17" s="254" t="s">
        <v>435</v>
      </c>
      <c r="K17" s="374" t="s">
        <v>562</v>
      </c>
      <c r="L17" s="377" t="s">
        <v>437</v>
      </c>
    </row>
    <row r="18" spans="1:12" ht="14.4" x14ac:dyDescent="0.3">
      <c r="A18" s="252" t="s">
        <v>438</v>
      </c>
      <c r="B18" s="253" t="s">
        <v>52</v>
      </c>
      <c r="C18" s="254" t="s">
        <v>480</v>
      </c>
      <c r="D18" s="254" t="s">
        <v>53</v>
      </c>
      <c r="E18" s="255">
        <v>2</v>
      </c>
      <c r="F18" s="254" t="s">
        <v>54</v>
      </c>
      <c r="G18" s="256" t="s">
        <v>37</v>
      </c>
      <c r="H18" s="370">
        <v>1</v>
      </c>
      <c r="I18" s="370">
        <v>5</v>
      </c>
      <c r="J18" s="254" t="s">
        <v>439</v>
      </c>
      <c r="K18" s="374" t="s">
        <v>562</v>
      </c>
      <c r="L18" s="377" t="s">
        <v>440</v>
      </c>
    </row>
    <row r="19" spans="1:12" ht="15.75" customHeight="1" x14ac:dyDescent="0.3">
      <c r="A19" s="260" t="s">
        <v>225</v>
      </c>
      <c r="B19" s="256" t="s">
        <v>51</v>
      </c>
      <c r="C19" s="270" t="s">
        <v>475</v>
      </c>
      <c r="D19" s="256" t="s">
        <v>53</v>
      </c>
      <c r="E19" s="255">
        <v>12103</v>
      </c>
      <c r="F19" s="256" t="s">
        <v>27</v>
      </c>
      <c r="G19" s="256" t="s">
        <v>37</v>
      </c>
      <c r="H19" s="371">
        <v>9682.4</v>
      </c>
      <c r="I19" s="371">
        <v>14523.6</v>
      </c>
      <c r="J19" s="256" t="s">
        <v>227</v>
      </c>
      <c r="K19" s="374" t="s">
        <v>562</v>
      </c>
      <c r="L19" s="378" t="s">
        <v>226</v>
      </c>
    </row>
    <row r="20" spans="1:12" ht="15.75" customHeight="1" x14ac:dyDescent="0.3">
      <c r="A20" s="260" t="s">
        <v>228</v>
      </c>
      <c r="B20" s="256" t="s">
        <v>51</v>
      </c>
      <c r="C20" s="270" t="s">
        <v>476</v>
      </c>
      <c r="D20" s="256" t="s">
        <v>53</v>
      </c>
      <c r="E20" s="255">
        <v>14953</v>
      </c>
      <c r="F20" s="256" t="s">
        <v>27</v>
      </c>
      <c r="G20" s="256" t="s">
        <v>37</v>
      </c>
      <c r="H20" s="371">
        <v>11962.4</v>
      </c>
      <c r="I20" s="371">
        <v>17943.599999999999</v>
      </c>
      <c r="J20" s="256" t="s">
        <v>230</v>
      </c>
      <c r="K20" s="374" t="s">
        <v>562</v>
      </c>
      <c r="L20" s="378" t="s">
        <v>229</v>
      </c>
    </row>
    <row r="21" spans="1:12" ht="15.75" customHeight="1" x14ac:dyDescent="0.3">
      <c r="A21" s="260" t="s">
        <v>231</v>
      </c>
      <c r="B21" s="256" t="s">
        <v>51</v>
      </c>
      <c r="C21" s="270" t="s">
        <v>477</v>
      </c>
      <c r="D21" s="256" t="s">
        <v>53</v>
      </c>
      <c r="E21" s="255">
        <v>10731</v>
      </c>
      <c r="F21" s="256" t="s">
        <v>27</v>
      </c>
      <c r="G21" s="256" t="s">
        <v>37</v>
      </c>
      <c r="H21" s="371">
        <v>8584.7999999999993</v>
      </c>
      <c r="I21" s="371">
        <v>12877.2</v>
      </c>
      <c r="J21" s="256" t="s">
        <v>233</v>
      </c>
      <c r="K21" s="374" t="s">
        <v>562</v>
      </c>
      <c r="L21" s="378" t="s">
        <v>232</v>
      </c>
    </row>
    <row r="22" spans="1:12" ht="15.75" customHeight="1" x14ac:dyDescent="0.3">
      <c r="A22" s="260" t="s">
        <v>234</v>
      </c>
      <c r="B22" s="256" t="s">
        <v>51</v>
      </c>
      <c r="C22" s="270" t="s">
        <v>481</v>
      </c>
      <c r="D22" s="256" t="s">
        <v>53</v>
      </c>
      <c r="E22" s="255">
        <v>1760</v>
      </c>
      <c r="F22" s="256" t="s">
        <v>27</v>
      </c>
      <c r="G22" s="256" t="s">
        <v>37</v>
      </c>
      <c r="H22" s="371">
        <v>1408</v>
      </c>
      <c r="I22" s="371">
        <v>2112</v>
      </c>
      <c r="J22" s="256" t="s">
        <v>236</v>
      </c>
      <c r="K22" s="374" t="s">
        <v>562</v>
      </c>
      <c r="L22" s="378" t="s">
        <v>235</v>
      </c>
    </row>
    <row r="23" spans="1:12" ht="15.75" customHeight="1" x14ac:dyDescent="0.3">
      <c r="A23" s="260" t="s">
        <v>237</v>
      </c>
      <c r="B23" s="256" t="s">
        <v>51</v>
      </c>
      <c r="C23" s="270" t="s">
        <v>238</v>
      </c>
      <c r="D23" s="256" t="s">
        <v>53</v>
      </c>
      <c r="E23" s="255">
        <v>156</v>
      </c>
      <c r="F23" s="256" t="s">
        <v>54</v>
      </c>
      <c r="G23" s="256" t="s">
        <v>37</v>
      </c>
      <c r="H23" s="371">
        <v>140.4</v>
      </c>
      <c r="I23" s="371">
        <v>171.6</v>
      </c>
      <c r="J23" s="256" t="s">
        <v>239</v>
      </c>
      <c r="K23" s="374" t="s">
        <v>562</v>
      </c>
      <c r="L23" s="378" t="s">
        <v>238</v>
      </c>
    </row>
    <row r="24" spans="1:12" ht="15.75" customHeight="1" x14ac:dyDescent="0.3">
      <c r="A24" s="260" t="s">
        <v>240</v>
      </c>
      <c r="B24" s="256" t="s">
        <v>51</v>
      </c>
      <c r="C24" s="256" t="s">
        <v>241</v>
      </c>
      <c r="D24" s="256" t="s">
        <v>53</v>
      </c>
      <c r="E24" s="255">
        <v>35</v>
      </c>
      <c r="F24" s="256" t="s">
        <v>54</v>
      </c>
      <c r="G24" s="256" t="s">
        <v>37</v>
      </c>
      <c r="H24" s="371">
        <v>30</v>
      </c>
      <c r="I24" s="371">
        <v>50</v>
      </c>
      <c r="J24" s="256" t="s">
        <v>242</v>
      </c>
      <c r="K24" s="374" t="s">
        <v>562</v>
      </c>
      <c r="L24" s="378" t="s">
        <v>241</v>
      </c>
    </row>
    <row r="25" spans="1:12" ht="15.75" customHeight="1" x14ac:dyDescent="0.3">
      <c r="A25" s="260" t="s">
        <v>243</v>
      </c>
      <c r="B25" s="256" t="s">
        <v>51</v>
      </c>
      <c r="C25" s="270" t="s">
        <v>482</v>
      </c>
      <c r="D25" s="256" t="s">
        <v>53</v>
      </c>
      <c r="E25" s="255">
        <v>55</v>
      </c>
      <c r="F25" s="256" t="s">
        <v>36</v>
      </c>
      <c r="G25" s="256" t="s">
        <v>37</v>
      </c>
      <c r="H25" s="371">
        <v>44</v>
      </c>
      <c r="I25" s="371">
        <v>66</v>
      </c>
      <c r="J25" s="256" t="s">
        <v>245</v>
      </c>
      <c r="K25" s="374" t="s">
        <v>562</v>
      </c>
      <c r="L25" s="378" t="s">
        <v>244</v>
      </c>
    </row>
    <row r="26" spans="1:12" ht="15.75" customHeight="1" x14ac:dyDescent="0.3">
      <c r="A26" s="260" t="s">
        <v>246</v>
      </c>
      <c r="B26" s="256" t="s">
        <v>51</v>
      </c>
      <c r="C26" s="256" t="s">
        <v>247</v>
      </c>
      <c r="D26" s="256" t="s">
        <v>53</v>
      </c>
      <c r="E26" s="255">
        <v>163</v>
      </c>
      <c r="F26" s="256" t="s">
        <v>54</v>
      </c>
      <c r="G26" s="256" t="s">
        <v>37</v>
      </c>
      <c r="H26" s="371">
        <v>146.69999999999999</v>
      </c>
      <c r="I26" s="371">
        <v>179.3</v>
      </c>
      <c r="J26" s="256" t="s">
        <v>248</v>
      </c>
      <c r="K26" s="374" t="s">
        <v>562</v>
      </c>
      <c r="L26" s="378" t="s">
        <v>247</v>
      </c>
    </row>
    <row r="27" spans="1:12" ht="15.75" customHeight="1" x14ac:dyDescent="0.3">
      <c r="A27" s="260" t="s">
        <v>249</v>
      </c>
      <c r="B27" s="256" t="s">
        <v>51</v>
      </c>
      <c r="C27" s="256" t="s">
        <v>250</v>
      </c>
      <c r="D27" s="256" t="s">
        <v>53</v>
      </c>
      <c r="E27" s="255">
        <v>35</v>
      </c>
      <c r="F27" s="256" t="s">
        <v>54</v>
      </c>
      <c r="G27" s="256" t="s">
        <v>37</v>
      </c>
      <c r="H27" s="371">
        <v>30</v>
      </c>
      <c r="I27" s="371">
        <v>50</v>
      </c>
      <c r="J27" s="256" t="s">
        <v>251</v>
      </c>
      <c r="K27" s="374" t="s">
        <v>562</v>
      </c>
      <c r="L27" s="378" t="s">
        <v>250</v>
      </c>
    </row>
    <row r="28" spans="1:12" ht="15" customHeight="1" x14ac:dyDescent="0.3">
      <c r="A28" s="260" t="s">
        <v>252</v>
      </c>
      <c r="B28" s="256" t="s">
        <v>51</v>
      </c>
      <c r="C28" s="270" t="s">
        <v>483</v>
      </c>
      <c r="D28" s="256" t="s">
        <v>53</v>
      </c>
      <c r="E28" s="255">
        <v>59</v>
      </c>
      <c r="F28" s="256" t="s">
        <v>36</v>
      </c>
      <c r="G28" s="256" t="s">
        <v>37</v>
      </c>
      <c r="H28" s="371">
        <v>47.2</v>
      </c>
      <c r="I28" s="371">
        <v>70.8</v>
      </c>
      <c r="J28" s="256" t="s">
        <v>254</v>
      </c>
      <c r="K28" s="374" t="s">
        <v>562</v>
      </c>
      <c r="L28" s="378" t="s">
        <v>253</v>
      </c>
    </row>
    <row r="29" spans="1:12" ht="15.75" customHeight="1" x14ac:dyDescent="0.3">
      <c r="A29" s="260" t="s">
        <v>255</v>
      </c>
      <c r="B29" s="256" t="s">
        <v>51</v>
      </c>
      <c r="C29" s="256" t="s">
        <v>256</v>
      </c>
      <c r="D29" s="256" t="s">
        <v>53</v>
      </c>
      <c r="E29" s="255">
        <v>163</v>
      </c>
      <c r="F29" s="256" t="s">
        <v>54</v>
      </c>
      <c r="G29" s="256" t="s">
        <v>37</v>
      </c>
      <c r="H29" s="371">
        <v>146.69999999999999</v>
      </c>
      <c r="I29" s="371">
        <v>179.3</v>
      </c>
      <c r="J29" s="256" t="s">
        <v>257</v>
      </c>
      <c r="K29" s="374" t="s">
        <v>562</v>
      </c>
      <c r="L29" s="378" t="s">
        <v>256</v>
      </c>
    </row>
    <row r="30" spans="1:12" ht="15.75" customHeight="1" x14ac:dyDescent="0.3">
      <c r="A30" s="260" t="s">
        <v>258</v>
      </c>
      <c r="B30" s="256" t="s">
        <v>51</v>
      </c>
      <c r="C30" s="256" t="s">
        <v>259</v>
      </c>
      <c r="D30" s="256" t="s">
        <v>53</v>
      </c>
      <c r="E30" s="255">
        <v>35</v>
      </c>
      <c r="F30" s="256" t="s">
        <v>54</v>
      </c>
      <c r="G30" s="256" t="s">
        <v>37</v>
      </c>
      <c r="H30" s="371">
        <v>30</v>
      </c>
      <c r="I30" s="371">
        <v>50</v>
      </c>
      <c r="J30" s="256" t="s">
        <v>260</v>
      </c>
      <c r="K30" s="374" t="s">
        <v>562</v>
      </c>
      <c r="L30" s="378" t="s">
        <v>259</v>
      </c>
    </row>
    <row r="31" spans="1:12" ht="15.75" customHeight="1" x14ac:dyDescent="0.3">
      <c r="A31" s="260" t="s">
        <v>261</v>
      </c>
      <c r="B31" s="256" t="s">
        <v>51</v>
      </c>
      <c r="C31" s="270" t="s">
        <v>484</v>
      </c>
      <c r="D31" s="256" t="s">
        <v>53</v>
      </c>
      <c r="E31" s="255">
        <v>61</v>
      </c>
      <c r="F31" s="256" t="s">
        <v>36</v>
      </c>
      <c r="G31" s="256" t="s">
        <v>37</v>
      </c>
      <c r="H31" s="371">
        <v>48.8</v>
      </c>
      <c r="I31" s="371">
        <v>73.2</v>
      </c>
      <c r="J31" s="256" t="s">
        <v>263</v>
      </c>
      <c r="K31" s="374" t="s">
        <v>562</v>
      </c>
      <c r="L31" s="378" t="s">
        <v>262</v>
      </c>
    </row>
    <row r="32" spans="1:12" ht="15.75" customHeight="1" x14ac:dyDescent="0.3">
      <c r="A32" s="260" t="s">
        <v>264</v>
      </c>
      <c r="B32" s="256" t="s">
        <v>51</v>
      </c>
      <c r="C32" s="256" t="s">
        <v>265</v>
      </c>
      <c r="D32" s="256" t="s">
        <v>53</v>
      </c>
      <c r="E32" s="255">
        <v>50</v>
      </c>
      <c r="F32" s="256" t="s">
        <v>54</v>
      </c>
      <c r="G32" s="256" t="s">
        <v>37</v>
      </c>
      <c r="H32" s="371">
        <v>45</v>
      </c>
      <c r="I32" s="371">
        <v>55</v>
      </c>
      <c r="J32" s="256" t="s">
        <v>266</v>
      </c>
      <c r="K32" s="374" t="s">
        <v>562</v>
      </c>
      <c r="L32" s="378" t="s">
        <v>265</v>
      </c>
    </row>
    <row r="33" spans="1:12" ht="15.75" customHeight="1" x14ac:dyDescent="0.3">
      <c r="A33" s="260" t="s">
        <v>267</v>
      </c>
      <c r="B33" s="256" t="s">
        <v>51</v>
      </c>
      <c r="C33" s="256" t="s">
        <v>268</v>
      </c>
      <c r="D33" s="256" t="s">
        <v>53</v>
      </c>
      <c r="E33" s="255">
        <v>350</v>
      </c>
      <c r="F33" s="256" t="s">
        <v>54</v>
      </c>
      <c r="G33" s="256" t="s">
        <v>37</v>
      </c>
      <c r="H33" s="371">
        <v>315</v>
      </c>
      <c r="I33" s="371">
        <v>385</v>
      </c>
      <c r="J33" s="256" t="s">
        <v>269</v>
      </c>
      <c r="K33" s="374" t="s">
        <v>562</v>
      </c>
      <c r="L33" s="378" t="s">
        <v>268</v>
      </c>
    </row>
    <row r="34" spans="1:12" ht="15.75" customHeight="1" x14ac:dyDescent="0.3">
      <c r="A34" s="260" t="s">
        <v>270</v>
      </c>
      <c r="B34" s="256" t="s">
        <v>51</v>
      </c>
      <c r="C34" s="270" t="s">
        <v>485</v>
      </c>
      <c r="D34" s="256" t="s">
        <v>53</v>
      </c>
      <c r="E34" s="255">
        <v>145</v>
      </c>
      <c r="F34" s="256" t="s">
        <v>36</v>
      </c>
      <c r="G34" s="256" t="s">
        <v>37</v>
      </c>
      <c r="H34" s="371">
        <v>116</v>
      </c>
      <c r="I34" s="371">
        <v>174</v>
      </c>
      <c r="J34" s="256" t="s">
        <v>272</v>
      </c>
      <c r="K34" s="374" t="s">
        <v>562</v>
      </c>
      <c r="L34" s="378" t="s">
        <v>271</v>
      </c>
    </row>
    <row r="35" spans="1:12" ht="15.75" customHeight="1" x14ac:dyDescent="0.3">
      <c r="A35" s="260" t="s">
        <v>273</v>
      </c>
      <c r="B35" s="256" t="s">
        <v>51</v>
      </c>
      <c r="C35" s="256" t="s">
        <v>274</v>
      </c>
      <c r="D35" s="256" t="s">
        <v>53</v>
      </c>
      <c r="E35" s="255">
        <v>57</v>
      </c>
      <c r="F35" s="256" t="s">
        <v>36</v>
      </c>
      <c r="G35" s="256" t="s">
        <v>37</v>
      </c>
      <c r="H35" s="371">
        <v>45.6</v>
      </c>
      <c r="I35" s="371">
        <v>68.400000000000006</v>
      </c>
      <c r="J35" s="256" t="s">
        <v>275</v>
      </c>
      <c r="K35" s="374" t="s">
        <v>562</v>
      </c>
      <c r="L35" s="378" t="s">
        <v>274</v>
      </c>
    </row>
    <row r="36" spans="1:12" ht="15.75" customHeight="1" x14ac:dyDescent="0.3">
      <c r="A36" s="260" t="s">
        <v>276</v>
      </c>
      <c r="B36" s="256" t="s">
        <v>51</v>
      </c>
      <c r="C36" s="256" t="s">
        <v>277</v>
      </c>
      <c r="D36" s="256" t="s">
        <v>53</v>
      </c>
      <c r="E36" s="264">
        <v>58</v>
      </c>
      <c r="F36" s="256" t="s">
        <v>36</v>
      </c>
      <c r="G36" s="256" t="s">
        <v>37</v>
      </c>
      <c r="H36" s="371">
        <v>46.4</v>
      </c>
      <c r="I36" s="371">
        <v>69.599999999999994</v>
      </c>
      <c r="J36" s="256" t="s">
        <v>278</v>
      </c>
      <c r="K36" s="374" t="s">
        <v>562</v>
      </c>
      <c r="L36" s="378" t="s">
        <v>277</v>
      </c>
    </row>
    <row r="37" spans="1:12" ht="15.75" customHeight="1" x14ac:dyDescent="0.3">
      <c r="A37" s="260" t="s">
        <v>279</v>
      </c>
      <c r="B37" s="256" t="s">
        <v>51</v>
      </c>
      <c r="C37" s="256" t="s">
        <v>280</v>
      </c>
      <c r="D37" s="256" t="s">
        <v>53</v>
      </c>
      <c r="E37" s="255">
        <v>58</v>
      </c>
      <c r="F37" s="256" t="s">
        <v>36</v>
      </c>
      <c r="G37" s="256" t="s">
        <v>37</v>
      </c>
      <c r="H37" s="371">
        <v>46.4</v>
      </c>
      <c r="I37" s="371">
        <v>69.599999999999994</v>
      </c>
      <c r="J37" s="256" t="s">
        <v>281</v>
      </c>
      <c r="K37" s="374" t="s">
        <v>562</v>
      </c>
      <c r="L37" s="378" t="s">
        <v>280</v>
      </c>
    </row>
    <row r="38" spans="1:12" ht="15.75" customHeight="1" x14ac:dyDescent="0.3">
      <c r="A38" s="260" t="s">
        <v>282</v>
      </c>
      <c r="B38" s="256" t="s">
        <v>51</v>
      </c>
      <c r="C38" s="256" t="s">
        <v>283</v>
      </c>
      <c r="D38" s="256" t="s">
        <v>53</v>
      </c>
      <c r="E38" s="255">
        <v>7</v>
      </c>
      <c r="F38" s="256" t="s">
        <v>36</v>
      </c>
      <c r="G38" s="256" t="s">
        <v>37</v>
      </c>
      <c r="H38" s="371">
        <v>5.6</v>
      </c>
      <c r="I38" s="371">
        <v>8.4</v>
      </c>
      <c r="J38" s="256" t="s">
        <v>284</v>
      </c>
      <c r="K38" s="374" t="s">
        <v>562</v>
      </c>
      <c r="L38" s="378" t="s">
        <v>283</v>
      </c>
    </row>
    <row r="39" spans="1:12" ht="15.75" customHeight="1" x14ac:dyDescent="0.3">
      <c r="A39" s="260" t="s">
        <v>285</v>
      </c>
      <c r="B39" s="256" t="s">
        <v>51</v>
      </c>
      <c r="C39" s="270" t="s">
        <v>486</v>
      </c>
      <c r="D39" s="256" t="s">
        <v>53</v>
      </c>
      <c r="E39" s="265">
        <v>18</v>
      </c>
      <c r="F39" s="256" t="s">
        <v>36</v>
      </c>
      <c r="G39" s="256" t="s">
        <v>37</v>
      </c>
      <c r="H39" s="371">
        <v>14.4</v>
      </c>
      <c r="I39" s="371">
        <v>21.6</v>
      </c>
      <c r="J39" s="256" t="s">
        <v>287</v>
      </c>
      <c r="K39" s="374" t="s">
        <v>562</v>
      </c>
      <c r="L39" s="378" t="s">
        <v>286</v>
      </c>
    </row>
    <row r="40" spans="1:12" ht="15.75" customHeight="1" x14ac:dyDescent="0.3">
      <c r="A40" s="260" t="s">
        <v>288</v>
      </c>
      <c r="B40" s="256" t="s">
        <v>51</v>
      </c>
      <c r="C40" s="270" t="s">
        <v>487</v>
      </c>
      <c r="D40" s="256" t="s">
        <v>53</v>
      </c>
      <c r="E40" s="266">
        <v>21</v>
      </c>
      <c r="F40" s="256" t="s">
        <v>36</v>
      </c>
      <c r="G40" s="256" t="s">
        <v>37</v>
      </c>
      <c r="H40" s="371">
        <v>16.8</v>
      </c>
      <c r="I40" s="371">
        <v>25.2</v>
      </c>
      <c r="J40" s="256" t="s">
        <v>290</v>
      </c>
      <c r="K40" s="374" t="s">
        <v>562</v>
      </c>
      <c r="L40" s="378" t="s">
        <v>289</v>
      </c>
    </row>
    <row r="41" spans="1:12" ht="15.75" customHeight="1" x14ac:dyDescent="0.3">
      <c r="A41" s="260" t="s">
        <v>291</v>
      </c>
      <c r="B41" s="256" t="s">
        <v>51</v>
      </c>
      <c r="C41" s="270" t="s">
        <v>488</v>
      </c>
      <c r="D41" s="256" t="s">
        <v>53</v>
      </c>
      <c r="E41" s="266">
        <v>22</v>
      </c>
      <c r="F41" s="256" t="s">
        <v>54</v>
      </c>
      <c r="G41" s="256" t="s">
        <v>37</v>
      </c>
      <c r="H41" s="371">
        <v>15</v>
      </c>
      <c r="I41" s="371">
        <v>30</v>
      </c>
      <c r="J41" s="256" t="s">
        <v>293</v>
      </c>
      <c r="K41" s="374" t="s">
        <v>562</v>
      </c>
      <c r="L41" s="378" t="s">
        <v>292</v>
      </c>
    </row>
    <row r="42" spans="1:12" ht="15.75" customHeight="1" x14ac:dyDescent="0.3">
      <c r="A42" s="260" t="s">
        <v>294</v>
      </c>
      <c r="B42" s="256" t="s">
        <v>51</v>
      </c>
      <c r="C42" s="270" t="s">
        <v>489</v>
      </c>
      <c r="D42" s="256" t="s">
        <v>53</v>
      </c>
      <c r="E42" s="266">
        <v>131</v>
      </c>
      <c r="F42" s="256" t="s">
        <v>54</v>
      </c>
      <c r="G42" s="256" t="s">
        <v>37</v>
      </c>
      <c r="H42" s="371">
        <v>117.9</v>
      </c>
      <c r="I42" s="371">
        <v>144.1</v>
      </c>
      <c r="J42" s="256" t="s">
        <v>296</v>
      </c>
      <c r="K42" s="374" t="s">
        <v>562</v>
      </c>
      <c r="L42" s="378" t="s">
        <v>295</v>
      </c>
    </row>
    <row r="43" spans="1:12" ht="15.75" customHeight="1" x14ac:dyDescent="0.3">
      <c r="A43" s="260" t="s">
        <v>297</v>
      </c>
      <c r="B43" s="256" t="s">
        <v>51</v>
      </c>
      <c r="C43" s="270" t="s">
        <v>490</v>
      </c>
      <c r="D43" s="256" t="s">
        <v>53</v>
      </c>
      <c r="E43" s="266">
        <v>3495</v>
      </c>
      <c r="F43" s="256" t="s">
        <v>36</v>
      </c>
      <c r="G43" s="256" t="s">
        <v>37</v>
      </c>
      <c r="H43" s="371">
        <v>2796</v>
      </c>
      <c r="I43" s="371">
        <v>4194</v>
      </c>
      <c r="J43" s="256" t="s">
        <v>299</v>
      </c>
      <c r="K43" s="374" t="s">
        <v>562</v>
      </c>
      <c r="L43" s="378" t="s">
        <v>298</v>
      </c>
    </row>
    <row r="44" spans="1:12" ht="15.75" customHeight="1" x14ac:dyDescent="0.3">
      <c r="A44" s="260" t="s">
        <v>300</v>
      </c>
      <c r="B44" s="256" t="s">
        <v>51</v>
      </c>
      <c r="C44" s="270" t="s">
        <v>491</v>
      </c>
      <c r="D44" s="256" t="s">
        <v>53</v>
      </c>
      <c r="E44" s="266">
        <v>131</v>
      </c>
      <c r="F44" s="256" t="s">
        <v>54</v>
      </c>
      <c r="G44" s="256" t="s">
        <v>37</v>
      </c>
      <c r="H44" s="371">
        <v>117.9</v>
      </c>
      <c r="I44" s="371">
        <v>144.1</v>
      </c>
      <c r="J44" s="256" t="s">
        <v>302</v>
      </c>
      <c r="K44" s="374" t="s">
        <v>562</v>
      </c>
      <c r="L44" s="378" t="s">
        <v>301</v>
      </c>
    </row>
    <row r="45" spans="1:12" ht="15.75" customHeight="1" x14ac:dyDescent="0.3">
      <c r="A45" s="260" t="s">
        <v>303</v>
      </c>
      <c r="B45" s="256" t="s">
        <v>51</v>
      </c>
      <c r="C45" s="270" t="s">
        <v>492</v>
      </c>
      <c r="D45" s="256" t="s">
        <v>53</v>
      </c>
      <c r="E45" s="266">
        <v>241</v>
      </c>
      <c r="F45" s="256" t="s">
        <v>54</v>
      </c>
      <c r="G45" s="256" t="s">
        <v>37</v>
      </c>
      <c r="H45" s="371">
        <v>216.9</v>
      </c>
      <c r="I45" s="371">
        <v>265.10000000000002</v>
      </c>
      <c r="J45" s="256" t="s">
        <v>305</v>
      </c>
      <c r="K45" s="374" t="s">
        <v>562</v>
      </c>
      <c r="L45" s="378" t="s">
        <v>304</v>
      </c>
    </row>
    <row r="46" spans="1:12" ht="15.75" customHeight="1" x14ac:dyDescent="0.3">
      <c r="A46" s="260" t="s">
        <v>306</v>
      </c>
      <c r="B46" s="256" t="s">
        <v>51</v>
      </c>
      <c r="C46" s="270" t="s">
        <v>493</v>
      </c>
      <c r="D46" s="256" t="s">
        <v>53</v>
      </c>
      <c r="E46" s="264">
        <v>13437</v>
      </c>
      <c r="F46" s="256" t="s">
        <v>36</v>
      </c>
      <c r="G46" s="256" t="s">
        <v>37</v>
      </c>
      <c r="H46" s="371">
        <v>10749.6</v>
      </c>
      <c r="I46" s="371">
        <v>16124.4</v>
      </c>
      <c r="J46" s="256" t="s">
        <v>308</v>
      </c>
      <c r="K46" s="374" t="s">
        <v>562</v>
      </c>
      <c r="L46" s="378" t="s">
        <v>307</v>
      </c>
    </row>
    <row r="47" spans="1:12" ht="15.75" customHeight="1" x14ac:dyDescent="0.3">
      <c r="A47" s="260" t="s">
        <v>309</v>
      </c>
      <c r="B47" s="256" t="s">
        <v>51</v>
      </c>
      <c r="C47" s="270" t="s">
        <v>494</v>
      </c>
      <c r="D47" s="256" t="s">
        <v>53</v>
      </c>
      <c r="E47" s="264">
        <v>241</v>
      </c>
      <c r="F47" s="256" t="s">
        <v>54</v>
      </c>
      <c r="G47" s="256" t="s">
        <v>37</v>
      </c>
      <c r="H47" s="371">
        <v>216.9</v>
      </c>
      <c r="I47" s="371">
        <v>265.10000000000002</v>
      </c>
      <c r="J47" s="256" t="s">
        <v>311</v>
      </c>
      <c r="K47" s="374" t="s">
        <v>562</v>
      </c>
      <c r="L47" s="378" t="s">
        <v>310</v>
      </c>
    </row>
    <row r="48" spans="1:12" ht="15.75" customHeight="1" x14ac:dyDescent="0.3">
      <c r="A48" s="260" t="s">
        <v>312</v>
      </c>
      <c r="B48" s="256" t="s">
        <v>51</v>
      </c>
      <c r="C48" s="270" t="s">
        <v>495</v>
      </c>
      <c r="D48" s="256" t="s">
        <v>53</v>
      </c>
      <c r="E48" s="264">
        <v>350</v>
      </c>
      <c r="F48" s="256" t="s">
        <v>54</v>
      </c>
      <c r="G48" s="256" t="s">
        <v>37</v>
      </c>
      <c r="H48" s="371">
        <v>315</v>
      </c>
      <c r="I48" s="371">
        <v>385</v>
      </c>
      <c r="J48" s="256" t="s">
        <v>314</v>
      </c>
      <c r="K48" s="374" t="s">
        <v>562</v>
      </c>
      <c r="L48" s="378" t="s">
        <v>313</v>
      </c>
    </row>
    <row r="49" spans="1:12" ht="15.75" customHeight="1" x14ac:dyDescent="0.3">
      <c r="A49" s="260" t="s">
        <v>315</v>
      </c>
      <c r="B49" s="256" t="s">
        <v>51</v>
      </c>
      <c r="C49" s="270" t="s">
        <v>496</v>
      </c>
      <c r="D49" s="256" t="s">
        <v>53</v>
      </c>
      <c r="E49" s="255">
        <v>1894</v>
      </c>
      <c r="F49" s="256" t="s">
        <v>36</v>
      </c>
      <c r="G49" s="256" t="s">
        <v>37</v>
      </c>
      <c r="H49" s="371">
        <v>1515.2</v>
      </c>
      <c r="I49" s="371">
        <v>2272.8000000000002</v>
      </c>
      <c r="J49" s="256" t="s">
        <v>317</v>
      </c>
      <c r="K49" s="374" t="s">
        <v>562</v>
      </c>
      <c r="L49" s="378" t="s">
        <v>316</v>
      </c>
    </row>
    <row r="50" spans="1:12" ht="15.75" customHeight="1" x14ac:dyDescent="0.3">
      <c r="A50" s="260" t="s">
        <v>318</v>
      </c>
      <c r="B50" s="256" t="s">
        <v>51</v>
      </c>
      <c r="C50" s="270" t="s">
        <v>499</v>
      </c>
      <c r="D50" s="256" t="s">
        <v>53</v>
      </c>
      <c r="E50" s="255">
        <v>365</v>
      </c>
      <c r="F50" s="256" t="s">
        <v>54</v>
      </c>
      <c r="G50" s="256" t="s">
        <v>37</v>
      </c>
      <c r="H50" s="371">
        <v>328.5</v>
      </c>
      <c r="I50" s="371">
        <v>401.5</v>
      </c>
      <c r="J50" s="256" t="s">
        <v>320</v>
      </c>
      <c r="K50" s="374" t="s">
        <v>562</v>
      </c>
      <c r="L50" s="378" t="s">
        <v>319</v>
      </c>
    </row>
    <row r="51" spans="1:12" ht="15.75" customHeight="1" x14ac:dyDescent="0.3">
      <c r="A51" s="260" t="s">
        <v>321</v>
      </c>
      <c r="B51" s="256" t="s">
        <v>51</v>
      </c>
      <c r="C51" s="270" t="s">
        <v>500</v>
      </c>
      <c r="D51" s="256" t="s">
        <v>53</v>
      </c>
      <c r="E51" s="255">
        <v>179</v>
      </c>
      <c r="F51" s="256" t="s">
        <v>54</v>
      </c>
      <c r="G51" s="256" t="s">
        <v>37</v>
      </c>
      <c r="H51" s="371">
        <v>161.1</v>
      </c>
      <c r="I51" s="371">
        <v>196.9</v>
      </c>
      <c r="J51" s="256" t="s">
        <v>323</v>
      </c>
      <c r="K51" s="374" t="s">
        <v>562</v>
      </c>
      <c r="L51" s="378" t="s">
        <v>322</v>
      </c>
    </row>
    <row r="52" spans="1:12" ht="15.75" customHeight="1" x14ac:dyDescent="0.3">
      <c r="A52" s="260" t="s">
        <v>324</v>
      </c>
      <c r="B52" s="256" t="s">
        <v>51</v>
      </c>
      <c r="C52" s="270" t="s">
        <v>497</v>
      </c>
      <c r="D52" s="256" t="s">
        <v>53</v>
      </c>
      <c r="E52" s="265">
        <v>3563</v>
      </c>
      <c r="F52" s="256" t="s">
        <v>36</v>
      </c>
      <c r="G52" s="256" t="s">
        <v>37</v>
      </c>
      <c r="H52" s="371">
        <v>2850.4</v>
      </c>
      <c r="I52" s="371">
        <v>4275.6000000000004</v>
      </c>
      <c r="J52" s="256" t="s">
        <v>326</v>
      </c>
      <c r="K52" s="374" t="s">
        <v>562</v>
      </c>
      <c r="L52" s="378" t="s">
        <v>325</v>
      </c>
    </row>
    <row r="53" spans="1:12" ht="15.75" customHeight="1" x14ac:dyDescent="0.3">
      <c r="A53" s="260" t="s">
        <v>327</v>
      </c>
      <c r="B53" s="256" t="s">
        <v>51</v>
      </c>
      <c r="C53" s="270" t="s">
        <v>498</v>
      </c>
      <c r="D53" s="256" t="s">
        <v>53</v>
      </c>
      <c r="E53" s="255">
        <v>179</v>
      </c>
      <c r="F53" s="256" t="s">
        <v>54</v>
      </c>
      <c r="G53" s="256" t="s">
        <v>37</v>
      </c>
      <c r="H53" s="371">
        <v>161.1</v>
      </c>
      <c r="I53" s="371">
        <v>196.9</v>
      </c>
      <c r="J53" s="256" t="s">
        <v>329</v>
      </c>
      <c r="K53" s="374" t="s">
        <v>562</v>
      </c>
      <c r="L53" s="378" t="s">
        <v>328</v>
      </c>
    </row>
    <row r="54" spans="1:12" ht="15.75" customHeight="1" x14ac:dyDescent="0.3">
      <c r="A54" s="260" t="s">
        <v>330</v>
      </c>
      <c r="B54" s="256" t="s">
        <v>51</v>
      </c>
      <c r="C54" s="270" t="s">
        <v>501</v>
      </c>
      <c r="D54" s="256" t="s">
        <v>53</v>
      </c>
      <c r="E54" s="255">
        <v>30</v>
      </c>
      <c r="F54" s="256" t="s">
        <v>54</v>
      </c>
      <c r="G54" s="256" t="s">
        <v>37</v>
      </c>
      <c r="H54" s="371">
        <v>25</v>
      </c>
      <c r="I54" s="371">
        <v>35</v>
      </c>
      <c r="J54" s="256" t="s">
        <v>332</v>
      </c>
      <c r="K54" s="374" t="s">
        <v>562</v>
      </c>
      <c r="L54" s="378" t="s">
        <v>331</v>
      </c>
    </row>
    <row r="55" spans="1:12" ht="15.75" customHeight="1" x14ac:dyDescent="0.3">
      <c r="A55" s="260" t="s">
        <v>333</v>
      </c>
      <c r="B55" s="256" t="s">
        <v>51</v>
      </c>
      <c r="C55" s="270" t="s">
        <v>502</v>
      </c>
      <c r="D55" s="256" t="s">
        <v>53</v>
      </c>
      <c r="E55" s="255">
        <v>10022</v>
      </c>
      <c r="F55" s="256" t="s">
        <v>36</v>
      </c>
      <c r="G55" s="256" t="s">
        <v>37</v>
      </c>
      <c r="H55" s="371">
        <v>8017.6</v>
      </c>
      <c r="I55" s="371">
        <v>12026.4</v>
      </c>
      <c r="J55" s="256" t="s">
        <v>335</v>
      </c>
      <c r="K55" s="374" t="s">
        <v>562</v>
      </c>
      <c r="L55" s="378" t="s">
        <v>334</v>
      </c>
    </row>
    <row r="56" spans="1:12" ht="15.75" customHeight="1" x14ac:dyDescent="0.3">
      <c r="A56" s="260" t="s">
        <v>336</v>
      </c>
      <c r="B56" s="256" t="s">
        <v>51</v>
      </c>
      <c r="C56" s="256" t="s">
        <v>337</v>
      </c>
      <c r="D56" s="256" t="s">
        <v>53</v>
      </c>
      <c r="E56" s="255">
        <v>28815</v>
      </c>
      <c r="F56" s="256" t="s">
        <v>27</v>
      </c>
      <c r="G56" s="256" t="s">
        <v>37</v>
      </c>
      <c r="H56" s="371">
        <v>23052</v>
      </c>
      <c r="I56" s="371">
        <v>34578</v>
      </c>
      <c r="J56" s="256" t="s">
        <v>338</v>
      </c>
      <c r="K56" s="374" t="s">
        <v>562</v>
      </c>
      <c r="L56" s="378" t="s">
        <v>337</v>
      </c>
    </row>
    <row r="57" spans="1:12" customFormat="1" ht="15.75" customHeight="1" x14ac:dyDescent="0.3">
      <c r="A57" s="271" t="s">
        <v>339</v>
      </c>
      <c r="B57" s="253" t="s">
        <v>51</v>
      </c>
      <c r="C57" s="306" t="s">
        <v>503</v>
      </c>
      <c r="D57" s="253" t="s">
        <v>53</v>
      </c>
      <c r="E57" s="265">
        <v>12709</v>
      </c>
      <c r="F57" s="253" t="s">
        <v>27</v>
      </c>
      <c r="G57" s="253" t="s">
        <v>37</v>
      </c>
      <c r="H57" s="371">
        <v>10167.200000000001</v>
      </c>
      <c r="I57" s="371">
        <v>15250.8</v>
      </c>
      <c r="J57" s="253" t="s">
        <v>341</v>
      </c>
      <c r="K57" s="374" t="s">
        <v>562</v>
      </c>
      <c r="L57" s="378" t="s">
        <v>340</v>
      </c>
    </row>
    <row r="58" spans="1:12" ht="15.75" customHeight="1" x14ac:dyDescent="0.3">
      <c r="A58" s="260" t="s">
        <v>342</v>
      </c>
      <c r="B58" s="256" t="s">
        <v>51</v>
      </c>
      <c r="C58" s="270" t="s">
        <v>504</v>
      </c>
      <c r="D58" s="256" t="s">
        <v>53</v>
      </c>
      <c r="E58" s="265">
        <v>1243</v>
      </c>
      <c r="F58" s="256" t="s">
        <v>344</v>
      </c>
      <c r="G58" s="256" t="s">
        <v>37</v>
      </c>
      <c r="H58" s="371">
        <v>994.4</v>
      </c>
      <c r="I58" s="371">
        <v>1491.6</v>
      </c>
      <c r="J58" s="256" t="s">
        <v>345</v>
      </c>
      <c r="K58" s="374" t="s">
        <v>562</v>
      </c>
      <c r="L58" s="378" t="s">
        <v>343</v>
      </c>
    </row>
    <row r="59" spans="1:12" ht="15.75" customHeight="1" x14ac:dyDescent="0.3">
      <c r="A59" s="260" t="s">
        <v>346</v>
      </c>
      <c r="B59" s="256" t="s">
        <v>51</v>
      </c>
      <c r="C59" s="270" t="s">
        <v>505</v>
      </c>
      <c r="D59" s="256" t="s">
        <v>53</v>
      </c>
      <c r="E59" s="255">
        <v>5375</v>
      </c>
      <c r="F59" s="256" t="s">
        <v>27</v>
      </c>
      <c r="G59" s="256" t="s">
        <v>37</v>
      </c>
      <c r="H59" s="371">
        <v>4300</v>
      </c>
      <c r="I59" s="371">
        <v>6450</v>
      </c>
      <c r="J59" s="256" t="s">
        <v>348</v>
      </c>
      <c r="K59" s="374" t="s">
        <v>562</v>
      </c>
      <c r="L59" s="378" t="s">
        <v>347</v>
      </c>
    </row>
    <row r="60" spans="1:12" ht="15.75" customHeight="1" x14ac:dyDescent="0.3">
      <c r="A60" s="260" t="s">
        <v>349</v>
      </c>
      <c r="B60" s="256" t="s">
        <v>51</v>
      </c>
      <c r="C60" s="270" t="s">
        <v>506</v>
      </c>
      <c r="D60" s="256" t="s">
        <v>53</v>
      </c>
      <c r="E60" s="255">
        <v>30</v>
      </c>
      <c r="F60" s="256" t="s">
        <v>54</v>
      </c>
      <c r="G60" s="256" t="s">
        <v>37</v>
      </c>
      <c r="H60" s="371">
        <v>25</v>
      </c>
      <c r="I60" s="371">
        <v>35</v>
      </c>
      <c r="J60" s="256" t="s">
        <v>351</v>
      </c>
      <c r="K60" s="374" t="s">
        <v>562</v>
      </c>
      <c r="L60" s="378" t="s">
        <v>350</v>
      </c>
    </row>
    <row r="61" spans="1:12" ht="15.75" customHeight="1" x14ac:dyDescent="0.3">
      <c r="A61" s="260" t="s">
        <v>352</v>
      </c>
      <c r="B61" s="256" t="s">
        <v>51</v>
      </c>
      <c r="C61" s="270" t="s">
        <v>507</v>
      </c>
      <c r="D61" s="256" t="s">
        <v>53</v>
      </c>
      <c r="E61" s="255">
        <v>250</v>
      </c>
      <c r="F61" s="256" t="s">
        <v>54</v>
      </c>
      <c r="G61" s="256" t="s">
        <v>37</v>
      </c>
      <c r="H61" s="371">
        <v>225</v>
      </c>
      <c r="I61" s="371">
        <v>275</v>
      </c>
      <c r="J61" s="256" t="s">
        <v>354</v>
      </c>
      <c r="K61" s="374" t="s">
        <v>562</v>
      </c>
      <c r="L61" s="378" t="s">
        <v>353</v>
      </c>
    </row>
    <row r="62" spans="1:12" ht="15.75" customHeight="1" x14ac:dyDescent="0.3">
      <c r="A62" s="260" t="s">
        <v>355</v>
      </c>
      <c r="B62" s="256" t="s">
        <v>51</v>
      </c>
      <c r="C62" s="256" t="s">
        <v>356</v>
      </c>
      <c r="D62" s="256" t="s">
        <v>53</v>
      </c>
      <c r="E62" s="255">
        <v>2429</v>
      </c>
      <c r="F62" s="256" t="s">
        <v>36</v>
      </c>
      <c r="G62" s="256" t="s">
        <v>37</v>
      </c>
      <c r="H62" s="371">
        <v>1943.2</v>
      </c>
      <c r="I62" s="371">
        <v>2914.8</v>
      </c>
      <c r="J62" s="256" t="s">
        <v>357</v>
      </c>
      <c r="K62" s="374" t="s">
        <v>562</v>
      </c>
      <c r="L62" s="378" t="s">
        <v>356</v>
      </c>
    </row>
    <row r="63" spans="1:12" ht="15.75" customHeight="1" x14ac:dyDescent="0.3">
      <c r="A63" s="260" t="s">
        <v>358</v>
      </c>
      <c r="B63" s="256" t="s">
        <v>51</v>
      </c>
      <c r="C63" s="256" t="s">
        <v>359</v>
      </c>
      <c r="D63" s="256" t="s">
        <v>53</v>
      </c>
      <c r="E63" s="267">
        <v>610</v>
      </c>
      <c r="F63" s="256" t="s">
        <v>54</v>
      </c>
      <c r="G63" s="256" t="s">
        <v>37</v>
      </c>
      <c r="H63" s="371">
        <v>549</v>
      </c>
      <c r="I63" s="371">
        <v>671</v>
      </c>
      <c r="J63" s="256" t="s">
        <v>360</v>
      </c>
      <c r="K63" s="374" t="s">
        <v>562</v>
      </c>
      <c r="L63" s="378" t="s">
        <v>359</v>
      </c>
    </row>
    <row r="64" spans="1:12" ht="15.75" customHeight="1" x14ac:dyDescent="0.3">
      <c r="A64" s="260" t="s">
        <v>361</v>
      </c>
      <c r="B64" s="256" t="s">
        <v>51</v>
      </c>
      <c r="C64" s="256" t="s">
        <v>362</v>
      </c>
      <c r="D64" s="256" t="s">
        <v>53</v>
      </c>
      <c r="E64" s="267">
        <v>300</v>
      </c>
      <c r="F64" s="256" t="s">
        <v>54</v>
      </c>
      <c r="G64" s="256" t="s">
        <v>37</v>
      </c>
      <c r="H64" s="371">
        <v>270</v>
      </c>
      <c r="I64" s="371">
        <v>330</v>
      </c>
      <c r="J64" s="256" t="s">
        <v>363</v>
      </c>
      <c r="K64" s="374" t="s">
        <v>562</v>
      </c>
      <c r="L64" s="378" t="s">
        <v>362</v>
      </c>
    </row>
    <row r="65" spans="1:12" ht="15.75" customHeight="1" x14ac:dyDescent="0.3">
      <c r="A65" s="260" t="s">
        <v>364</v>
      </c>
      <c r="B65" s="256" t="s">
        <v>51</v>
      </c>
      <c r="C65" s="256" t="s">
        <v>365</v>
      </c>
      <c r="D65" s="256" t="s">
        <v>53</v>
      </c>
      <c r="E65" s="267">
        <v>10200</v>
      </c>
      <c r="F65" s="256" t="s">
        <v>36</v>
      </c>
      <c r="G65" s="256" t="s">
        <v>37</v>
      </c>
      <c r="H65" s="371">
        <v>8160</v>
      </c>
      <c r="I65" s="371">
        <v>12240</v>
      </c>
      <c r="J65" s="256" t="s">
        <v>366</v>
      </c>
      <c r="K65" s="374" t="s">
        <v>562</v>
      </c>
      <c r="L65" s="378" t="s">
        <v>365</v>
      </c>
    </row>
    <row r="66" spans="1:12" ht="16.8" customHeight="1" x14ac:dyDescent="0.3">
      <c r="A66" s="260" t="s">
        <v>367</v>
      </c>
      <c r="B66" s="256" t="s">
        <v>51</v>
      </c>
      <c r="C66" s="256" t="s">
        <v>368</v>
      </c>
      <c r="D66" s="256" t="s">
        <v>53</v>
      </c>
      <c r="E66" s="267">
        <v>462</v>
      </c>
      <c r="F66" s="256" t="s">
        <v>54</v>
      </c>
      <c r="G66" s="256" t="s">
        <v>37</v>
      </c>
      <c r="H66" s="371">
        <v>415.8</v>
      </c>
      <c r="I66" s="371">
        <v>508.2</v>
      </c>
      <c r="J66" s="256" t="s">
        <v>369</v>
      </c>
      <c r="K66" s="374" t="s">
        <v>562</v>
      </c>
      <c r="L66" s="378" t="s">
        <v>368</v>
      </c>
    </row>
    <row r="67" spans="1:12" ht="16.8" customHeight="1" x14ac:dyDescent="0.3">
      <c r="A67" s="260" t="s">
        <v>370</v>
      </c>
      <c r="B67" s="256" t="s">
        <v>51</v>
      </c>
      <c r="C67" s="256" t="s">
        <v>371</v>
      </c>
      <c r="D67" s="256" t="s">
        <v>53</v>
      </c>
      <c r="E67" s="268">
        <v>200</v>
      </c>
      <c r="F67" s="256" t="s">
        <v>54</v>
      </c>
      <c r="G67" s="256" t="s">
        <v>37</v>
      </c>
      <c r="H67" s="371">
        <v>180</v>
      </c>
      <c r="I67" s="371">
        <v>220</v>
      </c>
      <c r="J67" s="256" t="s">
        <v>372</v>
      </c>
      <c r="K67" s="374" t="s">
        <v>562</v>
      </c>
      <c r="L67" s="378" t="s">
        <v>371</v>
      </c>
    </row>
    <row r="68" spans="1:12" ht="16.8" customHeight="1" x14ac:dyDescent="0.3">
      <c r="A68" s="260" t="s">
        <v>373</v>
      </c>
      <c r="B68" s="256" t="s">
        <v>51</v>
      </c>
      <c r="C68" s="256" t="s">
        <v>374</v>
      </c>
      <c r="D68" s="256" t="s">
        <v>53</v>
      </c>
      <c r="E68" s="268">
        <v>3889</v>
      </c>
      <c r="F68" s="256" t="s">
        <v>36</v>
      </c>
      <c r="G68" s="256" t="s">
        <v>37</v>
      </c>
      <c r="H68" s="371">
        <v>3111.2</v>
      </c>
      <c r="I68" s="371">
        <v>4666.8</v>
      </c>
      <c r="J68" s="256" t="s">
        <v>375</v>
      </c>
      <c r="K68" s="374" t="s">
        <v>562</v>
      </c>
      <c r="L68" s="378" t="s">
        <v>374</v>
      </c>
    </row>
    <row r="69" spans="1:12" ht="16.8" customHeight="1" x14ac:dyDescent="0.3">
      <c r="A69" s="260" t="s">
        <v>376</v>
      </c>
      <c r="B69" s="256" t="s">
        <v>51</v>
      </c>
      <c r="C69" s="256" t="s">
        <v>377</v>
      </c>
      <c r="D69" s="256" t="s">
        <v>53</v>
      </c>
      <c r="E69" s="268">
        <v>212</v>
      </c>
      <c r="F69" s="256" t="s">
        <v>54</v>
      </c>
      <c r="G69" s="256" t="s">
        <v>37</v>
      </c>
      <c r="H69" s="371">
        <v>190.8</v>
      </c>
      <c r="I69" s="371">
        <v>233.2</v>
      </c>
      <c r="J69" s="256" t="s">
        <v>378</v>
      </c>
      <c r="K69" s="374" t="s">
        <v>562</v>
      </c>
      <c r="L69" s="378" t="s">
        <v>377</v>
      </c>
    </row>
    <row r="70" spans="1:12" ht="15.75" customHeight="1" x14ac:dyDescent="0.3">
      <c r="A70" s="260" t="s">
        <v>379</v>
      </c>
      <c r="B70" s="256" t="s">
        <v>51</v>
      </c>
      <c r="C70" s="256" t="s">
        <v>380</v>
      </c>
      <c r="D70" s="256" t="s">
        <v>53</v>
      </c>
      <c r="E70" s="267">
        <v>30</v>
      </c>
      <c r="F70" s="256" t="s">
        <v>54</v>
      </c>
      <c r="G70" s="256" t="s">
        <v>37</v>
      </c>
      <c r="H70" s="371">
        <v>25</v>
      </c>
      <c r="I70" s="371">
        <v>35</v>
      </c>
      <c r="J70" s="256" t="s">
        <v>381</v>
      </c>
      <c r="K70" s="374" t="s">
        <v>562</v>
      </c>
      <c r="L70" s="378" t="s">
        <v>380</v>
      </c>
    </row>
    <row r="71" spans="1:12" ht="15.75" customHeight="1" x14ac:dyDescent="0.3">
      <c r="A71" s="260" t="s">
        <v>382</v>
      </c>
      <c r="B71" s="256" t="s">
        <v>51</v>
      </c>
      <c r="C71" s="256" t="s">
        <v>383</v>
      </c>
      <c r="D71" s="256" t="s">
        <v>53</v>
      </c>
      <c r="E71" s="267">
        <v>6003</v>
      </c>
      <c r="F71" s="256" t="s">
        <v>36</v>
      </c>
      <c r="G71" s="256" t="s">
        <v>37</v>
      </c>
      <c r="H71" s="371">
        <v>4802.3999999999996</v>
      </c>
      <c r="I71" s="371">
        <v>7203.6</v>
      </c>
      <c r="J71" s="256" t="s">
        <v>384</v>
      </c>
      <c r="K71" s="374" t="s">
        <v>562</v>
      </c>
      <c r="L71" s="378" t="s">
        <v>383</v>
      </c>
    </row>
    <row r="72" spans="1:12" ht="15.75" customHeight="1" x14ac:dyDescent="0.3">
      <c r="A72" s="260" t="s">
        <v>385</v>
      </c>
      <c r="B72" s="256" t="s">
        <v>52</v>
      </c>
      <c r="C72" s="256" t="s">
        <v>137</v>
      </c>
      <c r="D72" s="256" t="s">
        <v>53</v>
      </c>
      <c r="E72" s="267">
        <v>50000</v>
      </c>
      <c r="F72" s="256" t="s">
        <v>90</v>
      </c>
      <c r="G72" s="256" t="s">
        <v>37</v>
      </c>
      <c r="H72" s="371">
        <v>48000</v>
      </c>
      <c r="I72" s="371">
        <v>52000</v>
      </c>
      <c r="J72" s="256" t="s">
        <v>386</v>
      </c>
      <c r="K72" s="374" t="s">
        <v>562</v>
      </c>
      <c r="L72" s="378" t="s">
        <v>137</v>
      </c>
    </row>
    <row r="73" spans="1:12" ht="15.75" customHeight="1" x14ac:dyDescent="0.3">
      <c r="A73" s="260" t="s">
        <v>387</v>
      </c>
      <c r="B73" s="256" t="s">
        <v>51</v>
      </c>
      <c r="C73" s="270" t="s">
        <v>508</v>
      </c>
      <c r="D73" s="256" t="s">
        <v>53</v>
      </c>
      <c r="E73" s="267">
        <v>4081</v>
      </c>
      <c r="F73" s="256" t="s">
        <v>27</v>
      </c>
      <c r="G73" s="256" t="s">
        <v>37</v>
      </c>
      <c r="H73" s="371">
        <v>3264.8</v>
      </c>
      <c r="I73" s="371">
        <v>4897.2</v>
      </c>
      <c r="J73" s="256" t="s">
        <v>389</v>
      </c>
      <c r="K73" s="374" t="s">
        <v>562</v>
      </c>
      <c r="L73" s="378" t="s">
        <v>388</v>
      </c>
    </row>
    <row r="74" spans="1:12" ht="15.75" customHeight="1" x14ac:dyDescent="0.3">
      <c r="A74" s="260" t="s">
        <v>390</v>
      </c>
      <c r="B74" s="256" t="s">
        <v>51</v>
      </c>
      <c r="C74" s="270" t="s">
        <v>509</v>
      </c>
      <c r="D74" s="256" t="s">
        <v>53</v>
      </c>
      <c r="E74" s="267">
        <v>257</v>
      </c>
      <c r="F74" s="256" t="s">
        <v>344</v>
      </c>
      <c r="G74" s="256" t="s">
        <v>37</v>
      </c>
      <c r="H74" s="371">
        <v>205.6</v>
      </c>
      <c r="I74" s="371">
        <v>308.39999999999998</v>
      </c>
      <c r="J74" s="256" t="s">
        <v>392</v>
      </c>
      <c r="K74" s="374" t="s">
        <v>562</v>
      </c>
      <c r="L74" s="378" t="s">
        <v>391</v>
      </c>
    </row>
    <row r="75" spans="1:12" ht="15.75" customHeight="1" x14ac:dyDescent="0.3">
      <c r="A75" s="260" t="s">
        <v>393</v>
      </c>
      <c r="B75" s="256" t="s">
        <v>51</v>
      </c>
      <c r="C75" s="256" t="s">
        <v>394</v>
      </c>
      <c r="D75" s="256" t="s">
        <v>53</v>
      </c>
      <c r="E75" s="267">
        <v>7.06</v>
      </c>
      <c r="F75" s="256" t="s">
        <v>207</v>
      </c>
      <c r="G75" s="256" t="s">
        <v>37</v>
      </c>
      <c r="H75" s="371">
        <v>5.65</v>
      </c>
      <c r="I75" s="371">
        <v>8.4700000000000006</v>
      </c>
      <c r="J75" s="256" t="s">
        <v>395</v>
      </c>
      <c r="K75" s="374" t="s">
        <v>562</v>
      </c>
      <c r="L75" s="378" t="s">
        <v>394</v>
      </c>
    </row>
    <row r="76" spans="1:12" ht="15.75" customHeight="1" x14ac:dyDescent="0.3">
      <c r="A76" s="260" t="s">
        <v>396</v>
      </c>
      <c r="B76" s="256" t="s">
        <v>51</v>
      </c>
      <c r="C76" s="270" t="s">
        <v>510</v>
      </c>
      <c r="D76" s="256" t="s">
        <v>53</v>
      </c>
      <c r="E76" s="267">
        <v>34</v>
      </c>
      <c r="F76" s="256" t="s">
        <v>27</v>
      </c>
      <c r="G76" s="256" t="s">
        <v>37</v>
      </c>
      <c r="H76" s="371">
        <v>27.2</v>
      </c>
      <c r="I76" s="371">
        <v>40.799999999999997</v>
      </c>
      <c r="J76" s="256" t="s">
        <v>398</v>
      </c>
      <c r="K76" s="374" t="s">
        <v>562</v>
      </c>
      <c r="L76" s="378" t="s">
        <v>397</v>
      </c>
    </row>
    <row r="77" spans="1:12" ht="15.75" customHeight="1" x14ac:dyDescent="0.3">
      <c r="A77" s="260" t="s">
        <v>399</v>
      </c>
      <c r="B77" s="256" t="s">
        <v>52</v>
      </c>
      <c r="C77" s="270" t="s">
        <v>511</v>
      </c>
      <c r="D77" s="256" t="s">
        <v>53</v>
      </c>
      <c r="E77" s="267">
        <v>1000</v>
      </c>
      <c r="F77" s="270" t="s">
        <v>442</v>
      </c>
      <c r="G77" s="256" t="s">
        <v>37</v>
      </c>
      <c r="H77" s="371">
        <v>700</v>
      </c>
      <c r="I77" s="371">
        <v>1300</v>
      </c>
      <c r="J77" s="256" t="s">
        <v>401</v>
      </c>
      <c r="K77" s="371" t="s">
        <v>563</v>
      </c>
      <c r="L77" s="379" t="s">
        <v>400</v>
      </c>
    </row>
    <row r="78" spans="1:12" ht="15.75" customHeight="1" x14ac:dyDescent="0.3">
      <c r="A78" s="260" t="s">
        <v>402</v>
      </c>
      <c r="B78" s="256" t="s">
        <v>52</v>
      </c>
      <c r="C78" s="270" t="s">
        <v>403</v>
      </c>
      <c r="D78" s="256" t="s">
        <v>53</v>
      </c>
      <c r="E78" s="267">
        <v>300</v>
      </c>
      <c r="F78" s="270" t="s">
        <v>443</v>
      </c>
      <c r="G78" s="256" t="s">
        <v>37</v>
      </c>
      <c r="H78" s="371">
        <v>210</v>
      </c>
      <c r="I78" s="371">
        <v>390</v>
      </c>
      <c r="J78" s="256" t="s">
        <v>404</v>
      </c>
      <c r="K78" s="371" t="s">
        <v>563</v>
      </c>
      <c r="L78" s="378" t="s">
        <v>403</v>
      </c>
    </row>
    <row r="79" spans="1:12" ht="15.75" customHeight="1" x14ac:dyDescent="0.3">
      <c r="A79" s="260" t="s">
        <v>405</v>
      </c>
      <c r="B79" s="256" t="s">
        <v>406</v>
      </c>
      <c r="C79" s="257" t="s">
        <v>411</v>
      </c>
      <c r="D79" s="256" t="s">
        <v>53</v>
      </c>
      <c r="E79" s="267">
        <v>40</v>
      </c>
      <c r="F79" s="256" t="s">
        <v>408</v>
      </c>
      <c r="G79" s="256" t="s">
        <v>37</v>
      </c>
      <c r="H79" s="371">
        <v>20</v>
      </c>
      <c r="I79" s="371">
        <v>50</v>
      </c>
      <c r="J79" s="256" t="s">
        <v>409</v>
      </c>
      <c r="K79" s="374" t="s">
        <v>562</v>
      </c>
      <c r="L79" s="380" t="s">
        <v>411</v>
      </c>
    </row>
    <row r="80" spans="1:12" ht="15.75" customHeight="1" x14ac:dyDescent="0.3">
      <c r="A80" s="260" t="s">
        <v>410</v>
      </c>
      <c r="B80" s="256" t="s">
        <v>406</v>
      </c>
      <c r="C80" s="257" t="s">
        <v>407</v>
      </c>
      <c r="D80" s="256" t="s">
        <v>53</v>
      </c>
      <c r="E80" s="267">
        <v>0.06</v>
      </c>
      <c r="F80" s="256" t="s">
        <v>37</v>
      </c>
      <c r="G80" s="256" t="s">
        <v>37</v>
      </c>
      <c r="H80" s="371">
        <v>0.04</v>
      </c>
      <c r="I80" s="371">
        <v>0.12</v>
      </c>
      <c r="J80" s="256" t="s">
        <v>412</v>
      </c>
      <c r="K80" s="374" t="s">
        <v>562</v>
      </c>
      <c r="L80" s="380" t="s">
        <v>407</v>
      </c>
    </row>
    <row r="81" spans="1:12" ht="15.75" customHeight="1" x14ac:dyDescent="0.3">
      <c r="A81" s="260" t="s">
        <v>413</v>
      </c>
      <c r="B81" s="256" t="s">
        <v>52</v>
      </c>
      <c r="C81" s="270" t="s">
        <v>441</v>
      </c>
      <c r="D81" s="256" t="s">
        <v>53</v>
      </c>
      <c r="E81" s="267">
        <v>596.20000000000005</v>
      </c>
      <c r="F81" s="256" t="s">
        <v>37</v>
      </c>
      <c r="G81" s="256" t="s">
        <v>37</v>
      </c>
      <c r="H81" s="371">
        <v>596.20000000000005</v>
      </c>
      <c r="I81" s="371">
        <v>850</v>
      </c>
      <c r="J81" s="256" t="s">
        <v>414</v>
      </c>
      <c r="K81" s="374" t="s">
        <v>562</v>
      </c>
      <c r="L81" s="379" t="s">
        <v>441</v>
      </c>
    </row>
    <row r="82" spans="1:12" ht="15.75" customHeight="1" x14ac:dyDescent="0.3">
      <c r="A82" s="260" t="s">
        <v>415</v>
      </c>
      <c r="B82" s="256" t="s">
        <v>51</v>
      </c>
      <c r="C82" s="270" t="s">
        <v>512</v>
      </c>
      <c r="D82" s="256" t="s">
        <v>53</v>
      </c>
      <c r="E82" s="267">
        <f>CH4massflow*LHV_CH4/3600</f>
        <v>56680.555555555555</v>
      </c>
      <c r="F82" s="256" t="s">
        <v>36</v>
      </c>
      <c r="G82" s="256" t="s">
        <v>444</v>
      </c>
      <c r="H82" s="371">
        <v>45344.45</v>
      </c>
      <c r="I82" s="371">
        <v>68016.67</v>
      </c>
      <c r="J82" s="256" t="s">
        <v>417</v>
      </c>
      <c r="K82" s="374" t="s">
        <v>562</v>
      </c>
      <c r="L82" s="378" t="s">
        <v>416</v>
      </c>
    </row>
    <row r="83" spans="1:12" ht="15.75" customHeight="1" x14ac:dyDescent="0.3">
      <c r="A83" s="260" t="s">
        <v>418</v>
      </c>
      <c r="B83" s="256" t="s">
        <v>51</v>
      </c>
      <c r="C83" s="256" t="s">
        <v>419</v>
      </c>
      <c r="D83" s="256" t="s">
        <v>53</v>
      </c>
      <c r="E83" s="267">
        <f>(water_feed-water_cond)/1000</f>
        <v>4.2220000000000004</v>
      </c>
      <c r="F83" s="256" t="s">
        <v>207</v>
      </c>
      <c r="G83" s="256" t="s">
        <v>445</v>
      </c>
      <c r="H83" s="371">
        <v>3.38</v>
      </c>
      <c r="I83" s="371">
        <v>5.0599999999999996</v>
      </c>
      <c r="J83" s="256" t="s">
        <v>420</v>
      </c>
      <c r="K83" s="374" t="s">
        <v>562</v>
      </c>
      <c r="L83" s="378" t="s">
        <v>419</v>
      </c>
    </row>
    <row r="84" spans="1:12" ht="15.75" customHeight="1" x14ac:dyDescent="0.3">
      <c r="A84" s="260" t="s">
        <v>421</v>
      </c>
      <c r="B84" s="256" t="s">
        <v>51</v>
      </c>
      <c r="C84" s="256" t="s">
        <v>422</v>
      </c>
      <c r="D84" s="256" t="s">
        <v>53</v>
      </c>
      <c r="E84" s="267">
        <f>e_o2_1+e_o2_2+e_o2_3+e_o2_4+e_pump_1+e_pump_2</f>
        <v>219</v>
      </c>
      <c r="F84" s="256" t="s">
        <v>36</v>
      </c>
      <c r="G84" s="256" t="s">
        <v>446</v>
      </c>
      <c r="H84" s="371">
        <v>175.2</v>
      </c>
      <c r="I84" s="371">
        <v>262.8</v>
      </c>
      <c r="J84" s="256" t="s">
        <v>423</v>
      </c>
      <c r="K84" s="374" t="s">
        <v>562</v>
      </c>
      <c r="L84" s="378" t="s">
        <v>422</v>
      </c>
    </row>
    <row r="85" spans="1:12" ht="15.75" customHeight="1" x14ac:dyDescent="0.3">
      <c r="A85" s="260" t="s">
        <v>424</v>
      </c>
      <c r="B85" s="256" t="s">
        <v>406</v>
      </c>
      <c r="C85" s="256" t="s">
        <v>425</v>
      </c>
      <c r="D85" s="256" t="s">
        <v>53</v>
      </c>
      <c r="E85" s="267">
        <f>(i*(i+1)^n)/((i+1)^n-1)</f>
        <v>6.6461535920675496E-2</v>
      </c>
      <c r="F85" s="256" t="s">
        <v>37</v>
      </c>
      <c r="G85" s="256" t="s">
        <v>447</v>
      </c>
      <c r="H85" s="371">
        <v>0.05</v>
      </c>
      <c r="I85" s="371">
        <v>0.11</v>
      </c>
      <c r="J85" s="256" t="s">
        <v>426</v>
      </c>
      <c r="K85" s="374" t="s">
        <v>562</v>
      </c>
      <c r="L85" s="378" t="s">
        <v>425</v>
      </c>
    </row>
    <row r="86" spans="1:12" ht="15.75" customHeight="1" x14ac:dyDescent="0.3">
      <c r="A86" s="260" t="s">
        <v>427</v>
      </c>
      <c r="B86" s="256" t="s">
        <v>51</v>
      </c>
      <c r="C86" s="256" t="s">
        <v>428</v>
      </c>
      <c r="D86" s="256" t="s">
        <v>53</v>
      </c>
      <c r="E86" s="267">
        <f>Spec_reformwgspsa*FeedstockATR*(CEPCI_2020/CEPCI_2020)*Annuity</f>
        <v>1915089.1575542644</v>
      </c>
      <c r="F86" s="256" t="s">
        <v>429</v>
      </c>
      <c r="G86" s="256" t="s">
        <v>448</v>
      </c>
      <c r="H86" s="371">
        <v>1340562.4099999999</v>
      </c>
      <c r="I86" s="371">
        <v>2489615.91</v>
      </c>
      <c r="J86" s="256" t="s">
        <v>430</v>
      </c>
      <c r="K86" s="374" t="s">
        <v>562</v>
      </c>
      <c r="L86" s="378" t="s">
        <v>428</v>
      </c>
    </row>
    <row r="87" spans="1:12" ht="15.75" customHeight="1" thickBot="1" x14ac:dyDescent="0.35">
      <c r="A87" s="261" t="s">
        <v>431</v>
      </c>
      <c r="B87" s="262" t="s">
        <v>51</v>
      </c>
      <c r="C87" s="307" t="s">
        <v>432</v>
      </c>
      <c r="D87" s="262" t="s">
        <v>53</v>
      </c>
      <c r="E87" s="269">
        <f>Spec_MethntrCost*CH4energyflow*(CEPCI_2020/CEPCI_2020)*Annuity</f>
        <v>1130123.0337178197</v>
      </c>
      <c r="F87" s="262" t="s">
        <v>429</v>
      </c>
      <c r="G87" s="262" t="s">
        <v>449</v>
      </c>
      <c r="H87" s="372">
        <v>791086.12</v>
      </c>
      <c r="I87" s="372">
        <v>1469159.94</v>
      </c>
      <c r="J87" s="262" t="s">
        <v>433</v>
      </c>
      <c r="K87" s="375" t="s">
        <v>562</v>
      </c>
      <c r="L87" s="381" t="s">
        <v>432</v>
      </c>
    </row>
    <row r="88" spans="1:12" ht="15.75" customHeight="1" x14ac:dyDescent="0.3">
      <c r="A88" s="251"/>
      <c r="B88" s="251"/>
      <c r="C88" s="251"/>
      <c r="D88" s="251"/>
      <c r="E88" s="251"/>
      <c r="F88" s="251"/>
      <c r="G88" s="251"/>
      <c r="H88" s="251"/>
      <c r="I88" s="251"/>
      <c r="J88" s="251"/>
      <c r="K88" s="251"/>
      <c r="L88" s="251"/>
    </row>
    <row r="89" spans="1:12" ht="15.75" customHeight="1" x14ac:dyDescent="0.3"/>
    <row r="90" spans="1:12" ht="15.75" customHeight="1" x14ac:dyDescent="0.3"/>
    <row r="91" spans="1:12" ht="15.75" customHeight="1" x14ac:dyDescent="0.3"/>
    <row r="92" spans="1:12" ht="15.75" customHeight="1" x14ac:dyDescent="0.3"/>
    <row r="93" spans="1:12" ht="15.75" customHeight="1" x14ac:dyDescent="0.3"/>
    <row r="94" spans="1:12" ht="15.75" customHeight="1" x14ac:dyDescent="0.3"/>
    <row r="95" spans="1:12" ht="15.75" customHeight="1" x14ac:dyDescent="0.3"/>
    <row r="96" spans="1:12"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4.4" x14ac:dyDescent="0.3"/>
    <row r="113" ht="14.4" x14ac:dyDescent="0.3"/>
    <row r="114" ht="14.4" x14ac:dyDescent="0.3"/>
    <row r="115" ht="15.75" customHeight="1" x14ac:dyDescent="0.3"/>
    <row r="116" ht="15.75" customHeight="1" x14ac:dyDescent="0.3"/>
    <row r="117" ht="15.75" customHeight="1" x14ac:dyDescent="0.3"/>
    <row r="118" ht="15.75" customHeight="1" x14ac:dyDescent="0.3"/>
  </sheetData>
  <conditionalFormatting sqref="E16:E87">
    <cfRule type="expression" dxfId="1" priority="1">
      <formula>OR(E16&lt;H16,E16&gt;I16)</formula>
    </cfRule>
  </conditionalFormatting>
  <conditionalFormatting sqref="E17:E18">
    <cfRule type="expression" dxfId="0" priority="3">
      <formula>OR(E17&lt;H17, E17&gt;I17)</formula>
    </cfRule>
  </conditionalFormatting>
  <dataValidations count="1">
    <dataValidation type="list" errorStyle="information" allowBlank="1" showInputMessage="1" showErrorMessage="1" sqref="F16:F87" xr:uid="{EE4878EA-9AF0-45B4-8CFF-7188C4D63E15}">
      <formula1>"-,kg,s,m,K,°C,W,bar,kg/h,t/h,kW,kW/m2K,W/m2K,kJ/kgK,kJ/kg,m3/h,%,eur,eur/y,kWel/kWth,year"</formula1>
    </dataValidation>
  </dataValidation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76"/>
  <sheetViews>
    <sheetView showGridLines="0" zoomScale="50" zoomScaleNormal="70" workbookViewId="0">
      <selection activeCell="C11" sqref="C11"/>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14" ht="14.25" customHeight="1" thickBot="1" x14ac:dyDescent="0.35">
      <c r="A1" s="130" t="s">
        <v>76</v>
      </c>
      <c r="B1" s="99"/>
      <c r="C1" s="99"/>
      <c r="D1" s="31"/>
      <c r="E1" s="32"/>
      <c r="F1" s="32"/>
      <c r="G1" s="32"/>
      <c r="H1" s="32"/>
      <c r="I1" s="6"/>
      <c r="J1" s="6"/>
      <c r="K1" s="7"/>
      <c r="L1" s="7"/>
      <c r="M1" s="7"/>
      <c r="N1" s="7"/>
    </row>
    <row r="2" spans="1:14" ht="105" customHeight="1" thickBot="1" x14ac:dyDescent="0.35">
      <c r="A2" s="318" t="s">
        <v>517</v>
      </c>
      <c r="B2" s="99"/>
      <c r="C2" s="99"/>
      <c r="D2" s="31"/>
      <c r="E2" s="32"/>
      <c r="F2" s="32"/>
      <c r="G2" s="32"/>
      <c r="H2" s="32"/>
      <c r="I2" s="6"/>
      <c r="J2" s="6"/>
      <c r="K2" s="7"/>
      <c r="L2" s="7"/>
      <c r="M2" s="7"/>
      <c r="N2" s="7"/>
    </row>
    <row r="3" spans="1:14" ht="14.25" customHeight="1" thickBot="1" x14ac:dyDescent="0.35">
      <c r="D3" s="31"/>
      <c r="E3" s="32"/>
      <c r="F3" s="32"/>
      <c r="G3" s="32"/>
      <c r="H3" s="32"/>
      <c r="I3" s="6"/>
      <c r="J3" s="6"/>
      <c r="K3" s="7"/>
      <c r="L3" s="7"/>
      <c r="M3" s="7"/>
      <c r="N3" s="7"/>
    </row>
    <row r="4" spans="1:14" thickBot="1" x14ac:dyDescent="0.35">
      <c r="A4" s="100"/>
      <c r="B4" s="33"/>
      <c r="C4" s="33"/>
      <c r="D4" s="6"/>
      <c r="E4" s="34"/>
      <c r="F4" s="34"/>
      <c r="G4" s="34"/>
      <c r="H4" s="35"/>
      <c r="I4" s="36"/>
      <c r="J4" s="36"/>
      <c r="K4" s="36"/>
      <c r="L4" s="36"/>
      <c r="M4" s="36"/>
      <c r="N4" s="36"/>
    </row>
    <row r="5" spans="1:14" thickBot="1" x14ac:dyDescent="0.35">
      <c r="A5" s="103" t="s">
        <v>78</v>
      </c>
      <c r="B5" s="104" t="s">
        <v>80</v>
      </c>
      <c r="C5" s="105" t="s">
        <v>79</v>
      </c>
      <c r="D5" s="62" t="s">
        <v>191</v>
      </c>
      <c r="E5" s="41"/>
      <c r="F5" s="41"/>
      <c r="G5" s="41"/>
      <c r="H5" s="40"/>
      <c r="I5" s="7"/>
      <c r="J5" s="7"/>
      <c r="K5" s="7"/>
      <c r="L5" s="7"/>
      <c r="M5" s="7"/>
      <c r="N5" s="7"/>
    </row>
    <row r="6" spans="1:14" thickBot="1" x14ac:dyDescent="0.35">
      <c r="A6" s="176" t="s">
        <v>465</v>
      </c>
      <c r="B6" s="275">
        <v>0</v>
      </c>
      <c r="C6" s="229">
        <v>1000</v>
      </c>
      <c r="D6" s="42"/>
      <c r="E6" s="43"/>
      <c r="F6" s="44"/>
      <c r="G6" s="44"/>
      <c r="H6" s="45"/>
      <c r="I6" s="32"/>
      <c r="J6" s="32"/>
      <c r="K6" s="32"/>
      <c r="L6" s="32"/>
      <c r="M6" s="32"/>
      <c r="N6" s="32"/>
    </row>
    <row r="7" spans="1:14" thickBot="1" x14ac:dyDescent="0.35">
      <c r="A7" s="46"/>
      <c r="B7" s="47"/>
      <c r="C7" s="47"/>
      <c r="D7" s="48"/>
      <c r="E7" s="5"/>
      <c r="F7" s="34"/>
      <c r="G7" s="34"/>
      <c r="H7" s="35"/>
      <c r="I7" s="34"/>
      <c r="J7" s="34"/>
      <c r="K7" s="34"/>
      <c r="L7" s="34"/>
      <c r="M7" s="34"/>
      <c r="N7" s="34"/>
    </row>
    <row r="8" spans="1:14" ht="17.25" customHeight="1" thickBot="1" x14ac:dyDescent="0.35">
      <c r="A8" s="127" t="s">
        <v>77</v>
      </c>
      <c r="B8" s="99"/>
      <c r="C8" s="99"/>
      <c r="D8" s="35"/>
      <c r="E8" s="5"/>
      <c r="F8" s="34"/>
      <c r="G8" s="34"/>
      <c r="H8" s="35"/>
      <c r="I8" s="34"/>
      <c r="J8" s="34"/>
      <c r="K8" s="34"/>
      <c r="L8" s="34"/>
      <c r="M8" s="34"/>
      <c r="N8" s="34"/>
    </row>
    <row r="9" spans="1:14" ht="89.4" customHeight="1" thickBot="1" x14ac:dyDescent="0.35">
      <c r="A9" s="318" t="s">
        <v>518</v>
      </c>
      <c r="B9" s="99"/>
      <c r="C9" s="99"/>
      <c r="D9" s="5"/>
      <c r="E9" s="5"/>
      <c r="F9" s="34"/>
      <c r="G9" s="34"/>
      <c r="H9" s="35"/>
      <c r="I9" s="34"/>
      <c r="J9" s="34"/>
      <c r="K9" s="34"/>
      <c r="L9" s="34"/>
      <c r="M9" s="34"/>
      <c r="N9" s="34"/>
    </row>
    <row r="10" spans="1:14" thickBot="1" x14ac:dyDescent="0.35">
      <c r="A10" s="49"/>
      <c r="B10" s="34"/>
      <c r="C10" s="34"/>
      <c r="D10" s="315"/>
      <c r="E10" s="5"/>
      <c r="F10" s="34"/>
      <c r="G10" s="34"/>
      <c r="H10" s="35"/>
      <c r="I10" s="34"/>
      <c r="J10" s="34"/>
      <c r="K10" s="34"/>
      <c r="L10" s="34"/>
      <c r="M10" s="34"/>
      <c r="N10" s="34"/>
    </row>
    <row r="11" spans="1:14" thickBot="1" x14ac:dyDescent="0.35">
      <c r="A11" s="50" t="s">
        <v>89</v>
      </c>
      <c r="B11" s="34"/>
      <c r="C11" s="34"/>
      <c r="D11" s="5"/>
      <c r="E11" s="5"/>
      <c r="F11" s="34"/>
      <c r="G11" s="34"/>
      <c r="H11" s="35"/>
      <c r="I11" s="34"/>
      <c r="J11" s="34"/>
      <c r="K11" s="34"/>
      <c r="L11" s="34"/>
      <c r="M11" s="34"/>
      <c r="N11" s="34"/>
    </row>
    <row r="12" spans="1:14" thickBot="1" x14ac:dyDescent="0.35">
      <c r="A12" s="51" t="s">
        <v>88</v>
      </c>
      <c r="B12" s="52"/>
      <c r="D12" s="52"/>
      <c r="E12" s="52"/>
      <c r="F12" s="52"/>
      <c r="G12" s="52"/>
      <c r="H12" s="52"/>
      <c r="I12" s="53"/>
      <c r="J12" s="52"/>
      <c r="K12" s="52"/>
      <c r="L12" s="52"/>
      <c r="M12" s="39"/>
      <c r="N12" s="39"/>
    </row>
    <row r="13" spans="1:14" ht="19.5" customHeight="1" thickBot="1" x14ac:dyDescent="0.35">
      <c r="A13" s="102" t="s">
        <v>2</v>
      </c>
      <c r="B13" s="106"/>
      <c r="C13" s="106"/>
      <c r="D13" s="106"/>
      <c r="E13" s="106"/>
      <c r="F13" s="106"/>
      <c r="G13" s="106"/>
      <c r="H13" s="106"/>
      <c r="I13" s="106"/>
      <c r="J13" s="106"/>
      <c r="K13" s="106"/>
      <c r="L13" s="109"/>
      <c r="M13" s="109"/>
      <c r="N13" s="123"/>
    </row>
    <row r="14" spans="1:14" thickBot="1" x14ac:dyDescent="0.35">
      <c r="A14" s="134" t="s">
        <v>16</v>
      </c>
      <c r="B14" s="135" t="s">
        <v>17</v>
      </c>
      <c r="C14" s="135" t="s">
        <v>56</v>
      </c>
      <c r="D14" s="135" t="s">
        <v>188</v>
      </c>
      <c r="E14" s="135" t="s">
        <v>189</v>
      </c>
      <c r="F14" s="135" t="s">
        <v>186</v>
      </c>
      <c r="G14" s="136" t="s">
        <v>20</v>
      </c>
      <c r="H14" s="135" t="s">
        <v>187</v>
      </c>
      <c r="I14" s="135" t="s">
        <v>22</v>
      </c>
      <c r="J14" s="135" t="s">
        <v>23</v>
      </c>
      <c r="K14" s="135" t="s">
        <v>24</v>
      </c>
      <c r="L14" s="177" t="s">
        <v>25</v>
      </c>
      <c r="M14" s="177" t="s">
        <v>160</v>
      </c>
      <c r="N14" s="164" t="s">
        <v>14</v>
      </c>
    </row>
    <row r="15" spans="1:14" ht="14.4" x14ac:dyDescent="0.3">
      <c r="A15" s="294" t="s">
        <v>211</v>
      </c>
      <c r="B15" s="295" t="s">
        <v>26</v>
      </c>
      <c r="C15" s="295" t="s">
        <v>58</v>
      </c>
      <c r="D15" s="296">
        <f>MeOH_feed</f>
        <v>12103</v>
      </c>
      <c r="E15" s="295" t="s">
        <v>27</v>
      </c>
      <c r="F15" s="295">
        <v>30</v>
      </c>
      <c r="G15" s="297" t="s">
        <v>54</v>
      </c>
      <c r="H15" s="295">
        <v>1</v>
      </c>
      <c r="I15" s="297" t="s">
        <v>29</v>
      </c>
      <c r="J15" s="295">
        <v>-1</v>
      </c>
      <c r="K15" s="295" t="s">
        <v>30</v>
      </c>
      <c r="L15" s="295" t="s">
        <v>202</v>
      </c>
      <c r="M15" s="295" t="s">
        <v>162</v>
      </c>
      <c r="N15" s="360" t="s">
        <v>212</v>
      </c>
    </row>
    <row r="16" spans="1:14" ht="14.4" x14ac:dyDescent="0.3">
      <c r="A16" s="298" t="s">
        <v>213</v>
      </c>
      <c r="B16" s="182" t="s">
        <v>26</v>
      </c>
      <c r="C16" s="182" t="s">
        <v>58</v>
      </c>
      <c r="D16" s="350">
        <f>water_feed-water_cond</f>
        <v>4222</v>
      </c>
      <c r="E16" s="182" t="s">
        <v>27</v>
      </c>
      <c r="F16" s="182">
        <v>30</v>
      </c>
      <c r="G16" s="184" t="s">
        <v>54</v>
      </c>
      <c r="H16" s="182">
        <v>1</v>
      </c>
      <c r="I16" s="184" t="s">
        <v>29</v>
      </c>
      <c r="J16" s="184">
        <v>-1</v>
      </c>
      <c r="K16" s="276" t="s">
        <v>30</v>
      </c>
      <c r="L16" s="184" t="s">
        <v>32</v>
      </c>
      <c r="M16" s="185" t="s">
        <v>162</v>
      </c>
      <c r="N16" s="361" t="s">
        <v>209</v>
      </c>
    </row>
    <row r="17" spans="1:21" ht="14.4" x14ac:dyDescent="0.3">
      <c r="A17" s="298" t="s">
        <v>214</v>
      </c>
      <c r="B17" s="182" t="s">
        <v>26</v>
      </c>
      <c r="C17" s="182" t="s">
        <v>58</v>
      </c>
      <c r="D17" s="183">
        <f>O2_feed</f>
        <v>1760</v>
      </c>
      <c r="E17" s="182" t="s">
        <v>27</v>
      </c>
      <c r="F17" s="182">
        <v>30</v>
      </c>
      <c r="G17" s="184" t="s">
        <v>54</v>
      </c>
      <c r="H17" s="182">
        <v>1</v>
      </c>
      <c r="I17" s="184" t="s">
        <v>29</v>
      </c>
      <c r="J17" s="184">
        <v>-1</v>
      </c>
      <c r="K17" s="276" t="s">
        <v>34</v>
      </c>
      <c r="L17" s="184" t="s">
        <v>204</v>
      </c>
      <c r="M17" s="185" t="s">
        <v>162</v>
      </c>
      <c r="N17" s="361" t="s">
        <v>215</v>
      </c>
      <c r="O17" s="1"/>
      <c r="P17" s="1"/>
      <c r="Q17" s="1"/>
      <c r="R17" s="1"/>
      <c r="S17" s="1"/>
      <c r="T17" s="1"/>
      <c r="U17" s="1"/>
    </row>
    <row r="18" spans="1:21" ht="14.4" x14ac:dyDescent="0.3">
      <c r="A18" s="298" t="s">
        <v>218</v>
      </c>
      <c r="B18" s="182" t="s">
        <v>26</v>
      </c>
      <c r="C18" s="182" t="s">
        <v>59</v>
      </c>
      <c r="D18" s="183">
        <f>syngastoSNGtotal</f>
        <v>12709</v>
      </c>
      <c r="E18" s="182" t="s">
        <v>27</v>
      </c>
      <c r="F18" s="182">
        <v>35</v>
      </c>
      <c r="G18" s="184" t="s">
        <v>28</v>
      </c>
      <c r="H18" s="182">
        <v>35</v>
      </c>
      <c r="I18" s="184" t="s">
        <v>29</v>
      </c>
      <c r="J18" s="182">
        <v>1</v>
      </c>
      <c r="K18" s="276" t="s">
        <v>34</v>
      </c>
      <c r="L18" s="184" t="s">
        <v>220</v>
      </c>
      <c r="M18" s="276" t="s">
        <v>161</v>
      </c>
      <c r="N18" s="361" t="s">
        <v>221</v>
      </c>
      <c r="O18" s="1"/>
      <c r="P18" s="1"/>
      <c r="Q18" s="1"/>
      <c r="R18" s="1"/>
      <c r="S18" s="1"/>
      <c r="T18" s="1"/>
      <c r="U18" s="1"/>
    </row>
    <row r="19" spans="1:21" ht="14.4" x14ac:dyDescent="0.3">
      <c r="A19" s="298" t="s">
        <v>39</v>
      </c>
      <c r="B19" s="182" t="s">
        <v>38</v>
      </c>
      <c r="C19" s="182" t="s">
        <v>59</v>
      </c>
      <c r="D19" s="183">
        <f>CO2sep</f>
        <v>5375</v>
      </c>
      <c r="E19" s="182" t="s">
        <v>27</v>
      </c>
      <c r="F19" s="182">
        <v>30</v>
      </c>
      <c r="G19" s="184" t="s">
        <v>54</v>
      </c>
      <c r="H19" s="182">
        <v>1</v>
      </c>
      <c r="I19" s="184" t="s">
        <v>29</v>
      </c>
      <c r="J19" s="182">
        <v>-1</v>
      </c>
      <c r="K19" s="276" t="s">
        <v>34</v>
      </c>
      <c r="L19" s="182" t="s">
        <v>40</v>
      </c>
      <c r="M19" s="185" t="s">
        <v>162</v>
      </c>
      <c r="N19" s="362" t="s">
        <v>216</v>
      </c>
      <c r="O19" s="1"/>
      <c r="P19" s="1"/>
      <c r="Q19" s="1"/>
      <c r="R19" s="1"/>
      <c r="S19" s="1"/>
      <c r="T19" s="1"/>
      <c r="U19" s="1"/>
    </row>
    <row r="20" spans="1:21" thickBot="1" x14ac:dyDescent="0.35">
      <c r="A20" s="304" t="s">
        <v>210</v>
      </c>
      <c r="B20" s="299" t="s">
        <v>35</v>
      </c>
      <c r="C20" s="299" t="s">
        <v>58</v>
      </c>
      <c r="D20" s="300">
        <f>e_demand</f>
        <v>219</v>
      </c>
      <c r="E20" s="299" t="s">
        <v>36</v>
      </c>
      <c r="F20" s="301" t="s">
        <v>37</v>
      </c>
      <c r="G20" s="301" t="s">
        <v>37</v>
      </c>
      <c r="H20" s="301" t="s">
        <v>37</v>
      </c>
      <c r="I20" s="301" t="s">
        <v>37</v>
      </c>
      <c r="J20" s="301" t="s">
        <v>37</v>
      </c>
      <c r="K20" s="301" t="s">
        <v>37</v>
      </c>
      <c r="L20" s="299" t="s">
        <v>37</v>
      </c>
      <c r="M20" s="302" t="s">
        <v>162</v>
      </c>
      <c r="N20" s="363" t="s">
        <v>208</v>
      </c>
      <c r="O20" s="1"/>
      <c r="P20" s="1"/>
      <c r="Q20" s="1"/>
      <c r="R20" s="1"/>
      <c r="S20" s="1"/>
      <c r="T20" s="1"/>
      <c r="U20" s="1"/>
    </row>
    <row r="21" spans="1:21" thickBot="1" x14ac:dyDescent="0.35">
      <c r="A21" s="55"/>
      <c r="B21" s="47"/>
      <c r="C21" s="47"/>
      <c r="D21" s="47"/>
      <c r="E21" s="56"/>
      <c r="F21" s="57"/>
      <c r="G21" s="57"/>
      <c r="H21" s="57"/>
      <c r="I21" s="57"/>
      <c r="J21" s="56"/>
      <c r="K21" s="58"/>
      <c r="L21" s="47"/>
      <c r="M21" s="59"/>
      <c r="N21" s="47"/>
      <c r="O21" s="59"/>
      <c r="P21" s="59"/>
      <c r="Q21" s="59"/>
      <c r="R21" s="59"/>
      <c r="S21" s="59"/>
      <c r="T21" s="59"/>
      <c r="U21" s="59"/>
    </row>
    <row r="22" spans="1:21" ht="14.25" customHeight="1" thickBot="1" x14ac:dyDescent="0.35">
      <c r="A22" s="128" t="s">
        <v>86</v>
      </c>
      <c r="C22" s="99"/>
      <c r="D22" s="31"/>
      <c r="E22" s="32"/>
      <c r="F22" s="32"/>
      <c r="G22" s="32"/>
      <c r="H22" s="32"/>
      <c r="I22" s="6"/>
      <c r="J22" s="6"/>
      <c r="K22" s="7"/>
      <c r="L22" s="7"/>
      <c r="M22" s="7"/>
      <c r="N22" s="7"/>
      <c r="O22" s="32"/>
      <c r="P22" s="32"/>
      <c r="Q22" s="32"/>
      <c r="R22" s="32"/>
      <c r="S22" s="32"/>
      <c r="T22" s="32"/>
      <c r="U22" s="32"/>
    </row>
    <row r="23" spans="1:21" ht="88.8" customHeight="1" thickBot="1" x14ac:dyDescent="0.35">
      <c r="A23" s="318" t="s">
        <v>519</v>
      </c>
      <c r="C23" s="99"/>
      <c r="D23" s="31"/>
      <c r="E23" s="32"/>
      <c r="F23" s="32"/>
      <c r="G23" s="32"/>
      <c r="H23" s="32"/>
      <c r="I23" s="6"/>
      <c r="J23" s="6"/>
      <c r="K23" s="7"/>
      <c r="L23" s="7"/>
      <c r="M23" s="7"/>
      <c r="N23" s="7"/>
      <c r="O23" s="32"/>
      <c r="P23" s="32"/>
      <c r="Q23" s="32"/>
      <c r="R23" s="32"/>
      <c r="S23" s="32"/>
      <c r="T23" s="32"/>
      <c r="U23" s="32"/>
    </row>
    <row r="24" spans="1:21" thickBot="1" x14ac:dyDescent="0.35">
      <c r="A24" s="60"/>
      <c r="B24" s="34"/>
      <c r="C24" s="34"/>
      <c r="D24" s="34"/>
      <c r="E24" s="5"/>
      <c r="F24" s="54"/>
      <c r="G24" s="54"/>
      <c r="H24" s="54"/>
      <c r="I24" s="54"/>
      <c r="J24" s="5"/>
      <c r="K24" s="35"/>
      <c r="L24" s="34"/>
      <c r="M24" s="34"/>
      <c r="N24" s="34"/>
      <c r="O24" s="34"/>
      <c r="P24" s="34"/>
      <c r="Q24" s="34"/>
      <c r="R24" s="34"/>
      <c r="S24" s="34"/>
      <c r="T24" s="34"/>
      <c r="U24" s="34"/>
    </row>
    <row r="25" spans="1:21" thickBot="1" x14ac:dyDescent="0.35">
      <c r="A25" s="107" t="s">
        <v>60</v>
      </c>
      <c r="B25" s="108"/>
      <c r="C25" s="108"/>
      <c r="D25" s="108"/>
      <c r="E25" s="108"/>
      <c r="F25" s="108"/>
      <c r="G25" s="108"/>
      <c r="H25" s="108"/>
      <c r="I25" s="108"/>
      <c r="J25" s="108"/>
      <c r="K25" s="108"/>
      <c r="L25" s="108"/>
      <c r="M25" s="108"/>
      <c r="N25" s="108"/>
      <c r="O25" s="108"/>
      <c r="P25" s="108"/>
      <c r="Q25" s="108"/>
      <c r="R25" s="108"/>
      <c r="S25" s="108"/>
      <c r="T25" s="108"/>
      <c r="U25" s="123"/>
    </row>
    <row r="26" spans="1:21" thickBot="1" x14ac:dyDescent="0.35">
      <c r="A26" s="178" t="s">
        <v>82</v>
      </c>
      <c r="B26" s="179" t="s">
        <v>17</v>
      </c>
      <c r="C26" s="179" t="s">
        <v>147</v>
      </c>
      <c r="D26" s="180" t="s">
        <v>143</v>
      </c>
      <c r="E26" s="179" t="s">
        <v>148</v>
      </c>
      <c r="F26" s="179" t="s">
        <v>144</v>
      </c>
      <c r="G26" s="179" t="s">
        <v>149</v>
      </c>
      <c r="H26" s="179" t="s">
        <v>150</v>
      </c>
      <c r="I26" s="179" t="s">
        <v>151</v>
      </c>
      <c r="J26" s="179" t="s">
        <v>145</v>
      </c>
      <c r="K26" s="179" t="s">
        <v>152</v>
      </c>
      <c r="L26" s="179" t="s">
        <v>146</v>
      </c>
      <c r="M26" s="179" t="s">
        <v>153</v>
      </c>
      <c r="N26" s="179" t="s">
        <v>154</v>
      </c>
      <c r="O26" s="179" t="s">
        <v>156</v>
      </c>
      <c r="P26" s="179" t="s">
        <v>157</v>
      </c>
      <c r="Q26" s="179" t="s">
        <v>158</v>
      </c>
      <c r="R26" s="179" t="s">
        <v>159</v>
      </c>
      <c r="S26" s="181" t="s">
        <v>81</v>
      </c>
      <c r="T26" s="181" t="s">
        <v>160</v>
      </c>
      <c r="U26" s="164" t="s">
        <v>14</v>
      </c>
    </row>
    <row r="27" spans="1:21" ht="14.4" x14ac:dyDescent="0.3">
      <c r="A27" s="187" t="s">
        <v>451</v>
      </c>
      <c r="B27" s="188" t="s">
        <v>62</v>
      </c>
      <c r="C27" s="189">
        <f>o2_h1_ti</f>
        <v>156</v>
      </c>
      <c r="D27" s="190" t="s">
        <v>54</v>
      </c>
      <c r="E27" s="189">
        <f>o2_h1_to</f>
        <v>35</v>
      </c>
      <c r="F27" s="190" t="s">
        <v>54</v>
      </c>
      <c r="G27" s="191">
        <f>o2_h1_ho</f>
        <v>55</v>
      </c>
      <c r="H27" s="190" t="s">
        <v>36</v>
      </c>
      <c r="I27" s="191">
        <v>0</v>
      </c>
      <c r="J27" s="190" t="s">
        <v>36</v>
      </c>
      <c r="K27" s="354">
        <f>(G27-I27)/M27/(C27-E27)*3600</f>
        <v>0.92975206611570249</v>
      </c>
      <c r="L27" s="192" t="s">
        <v>95</v>
      </c>
      <c r="M27" s="354">
        <f>O2_feed</f>
        <v>1760</v>
      </c>
      <c r="N27" s="190" t="s">
        <v>27</v>
      </c>
      <c r="O27" s="188">
        <f t="shared" ref="O27:O35" si="0">dtmin_gas</f>
        <v>8</v>
      </c>
      <c r="P27" s="190" t="s">
        <v>155</v>
      </c>
      <c r="Q27" s="191">
        <v>1</v>
      </c>
      <c r="R27" s="192" t="s">
        <v>55</v>
      </c>
      <c r="S27" s="191" t="s">
        <v>63</v>
      </c>
      <c r="T27" s="191" t="s">
        <v>162</v>
      </c>
      <c r="U27" s="351" t="s">
        <v>466</v>
      </c>
    </row>
    <row r="28" spans="1:21" ht="15.75" customHeight="1" x14ac:dyDescent="0.3">
      <c r="A28" s="193" t="s">
        <v>452</v>
      </c>
      <c r="B28" s="194" t="s">
        <v>62</v>
      </c>
      <c r="C28" s="195">
        <f>o2_h2_ti</f>
        <v>163</v>
      </c>
      <c r="D28" s="196" t="s">
        <v>54</v>
      </c>
      <c r="E28" s="195">
        <f>o2_h2_to</f>
        <v>35</v>
      </c>
      <c r="F28" s="196" t="s">
        <v>54</v>
      </c>
      <c r="G28" s="197">
        <f>o2_h2_ho</f>
        <v>59</v>
      </c>
      <c r="H28" s="196" t="s">
        <v>36</v>
      </c>
      <c r="I28" s="197">
        <v>0</v>
      </c>
      <c r="J28" s="196" t="s">
        <v>36</v>
      </c>
      <c r="K28" s="355">
        <f t="shared" ref="K28:K34" si="1">(G28-I28)/M28/(C28-E28)*3600</f>
        <v>0.94282670454545459</v>
      </c>
      <c r="L28" s="198" t="s">
        <v>95</v>
      </c>
      <c r="M28" s="355">
        <f>O2_feed</f>
        <v>1760</v>
      </c>
      <c r="N28" s="196" t="s">
        <v>27</v>
      </c>
      <c r="O28" s="194">
        <f t="shared" si="0"/>
        <v>8</v>
      </c>
      <c r="P28" s="196" t="s">
        <v>155</v>
      </c>
      <c r="Q28" s="197">
        <v>1</v>
      </c>
      <c r="R28" s="198" t="s">
        <v>55</v>
      </c>
      <c r="S28" s="197" t="s">
        <v>63</v>
      </c>
      <c r="T28" s="197" t="s">
        <v>162</v>
      </c>
      <c r="U28" s="352" t="s">
        <v>467</v>
      </c>
    </row>
    <row r="29" spans="1:21" ht="15.75" customHeight="1" x14ac:dyDescent="0.3">
      <c r="A29" s="193" t="s">
        <v>453</v>
      </c>
      <c r="B29" s="194" t="s">
        <v>62</v>
      </c>
      <c r="C29" s="195">
        <f>o2_h3_ti</f>
        <v>163</v>
      </c>
      <c r="D29" s="196" t="s">
        <v>54</v>
      </c>
      <c r="E29" s="195">
        <f>o2_h3_to</f>
        <v>35</v>
      </c>
      <c r="F29" s="196" t="s">
        <v>54</v>
      </c>
      <c r="G29" s="197">
        <f>o2_h3_ho</f>
        <v>61</v>
      </c>
      <c r="H29" s="196" t="s">
        <v>36</v>
      </c>
      <c r="I29" s="197">
        <v>0</v>
      </c>
      <c r="J29" s="196" t="s">
        <v>36</v>
      </c>
      <c r="K29" s="355">
        <f t="shared" si="1"/>
        <v>0.97478693181818188</v>
      </c>
      <c r="L29" s="198" t="s">
        <v>95</v>
      </c>
      <c r="M29" s="355">
        <f>O2_feed</f>
        <v>1760</v>
      </c>
      <c r="N29" s="196" t="s">
        <v>27</v>
      </c>
      <c r="O29" s="194">
        <f t="shared" si="0"/>
        <v>8</v>
      </c>
      <c r="P29" s="196" t="s">
        <v>155</v>
      </c>
      <c r="Q29" s="197">
        <v>1</v>
      </c>
      <c r="R29" s="198" t="s">
        <v>55</v>
      </c>
      <c r="S29" s="197" t="s">
        <v>63</v>
      </c>
      <c r="T29" s="197" t="s">
        <v>162</v>
      </c>
      <c r="U29" s="352" t="s">
        <v>468</v>
      </c>
    </row>
    <row r="30" spans="1:21" ht="15.75" customHeight="1" x14ac:dyDescent="0.3">
      <c r="A30" s="193" t="s">
        <v>454</v>
      </c>
      <c r="B30" s="194" t="s">
        <v>61</v>
      </c>
      <c r="C30" s="195">
        <f>o2_h4_ti</f>
        <v>50</v>
      </c>
      <c r="D30" s="196" t="s">
        <v>54</v>
      </c>
      <c r="E30" s="195">
        <f>o2_h4_to</f>
        <v>350</v>
      </c>
      <c r="F30" s="196" t="s">
        <v>54</v>
      </c>
      <c r="G30" s="197">
        <v>0</v>
      </c>
      <c r="H30" s="196" t="s">
        <v>36</v>
      </c>
      <c r="I30" s="186">
        <f>o2_h4_ho</f>
        <v>145</v>
      </c>
      <c r="J30" s="196" t="s">
        <v>36</v>
      </c>
      <c r="K30" s="355">
        <f t="shared" si="1"/>
        <v>0.98863636363636354</v>
      </c>
      <c r="L30" s="198" t="s">
        <v>95</v>
      </c>
      <c r="M30" s="355">
        <f>O2_feed</f>
        <v>1760</v>
      </c>
      <c r="N30" s="196" t="s">
        <v>27</v>
      </c>
      <c r="O30" s="194">
        <f t="shared" si="0"/>
        <v>8</v>
      </c>
      <c r="P30" s="196" t="s">
        <v>155</v>
      </c>
      <c r="Q30" s="197">
        <v>1</v>
      </c>
      <c r="R30" s="198" t="s">
        <v>55</v>
      </c>
      <c r="S30" s="197" t="s">
        <v>63</v>
      </c>
      <c r="T30" s="197" t="s">
        <v>162</v>
      </c>
      <c r="U30" s="352" t="s">
        <v>469</v>
      </c>
    </row>
    <row r="31" spans="1:21" ht="15.75" customHeight="1" x14ac:dyDescent="0.3">
      <c r="A31" s="193" t="s">
        <v>455</v>
      </c>
      <c r="B31" s="194" t="s">
        <v>61</v>
      </c>
      <c r="C31" s="195">
        <f>mix_c1_ti</f>
        <v>22</v>
      </c>
      <c r="D31" s="196" t="s">
        <v>54</v>
      </c>
      <c r="E31" s="195">
        <f>mix_c1_to</f>
        <v>131</v>
      </c>
      <c r="F31" s="196" t="s">
        <v>54</v>
      </c>
      <c r="G31" s="197">
        <v>0</v>
      </c>
      <c r="H31" s="196" t="s">
        <v>36</v>
      </c>
      <c r="I31" s="186">
        <f>mix_c1_ho</f>
        <v>3495</v>
      </c>
      <c r="J31" s="196" t="s">
        <v>36</v>
      </c>
      <c r="K31" s="355">
        <f t="shared" si="1"/>
        <v>4.2663805684709661</v>
      </c>
      <c r="L31" s="198" t="s">
        <v>95</v>
      </c>
      <c r="M31" s="355">
        <f>MeOH_feed+water_feed</f>
        <v>27056</v>
      </c>
      <c r="N31" s="196" t="s">
        <v>27</v>
      </c>
      <c r="O31" s="194">
        <f t="shared" si="0"/>
        <v>8</v>
      </c>
      <c r="P31" s="196" t="s">
        <v>155</v>
      </c>
      <c r="Q31" s="197">
        <v>1</v>
      </c>
      <c r="R31" s="198" t="s">
        <v>55</v>
      </c>
      <c r="S31" s="197" t="s">
        <v>63</v>
      </c>
      <c r="T31" s="197" t="s">
        <v>162</v>
      </c>
      <c r="U31" s="352" t="s">
        <v>470</v>
      </c>
    </row>
    <row r="32" spans="1:21" ht="15.75" customHeight="1" x14ac:dyDescent="0.3">
      <c r="A32" s="193" t="s">
        <v>456</v>
      </c>
      <c r="B32" s="194" t="s">
        <v>61</v>
      </c>
      <c r="C32" s="195">
        <f>mix_c2_ti</f>
        <v>131</v>
      </c>
      <c r="D32" s="196" t="s">
        <v>54</v>
      </c>
      <c r="E32" s="195">
        <f>mix_c2_to</f>
        <v>241</v>
      </c>
      <c r="F32" s="196" t="s">
        <v>54</v>
      </c>
      <c r="G32" s="197">
        <v>0</v>
      </c>
      <c r="H32" s="196" t="s">
        <v>36</v>
      </c>
      <c r="I32" s="197">
        <f>mix_c2_ho</f>
        <v>13437</v>
      </c>
      <c r="J32" s="196" t="s">
        <v>36</v>
      </c>
      <c r="K32" s="357">
        <f>-(G32-I32)/M32*3600</f>
        <v>1787.8917800118274</v>
      </c>
      <c r="L32" s="198" t="s">
        <v>90</v>
      </c>
      <c r="M32" s="355">
        <f>MeOH_feed+water_feed</f>
        <v>27056</v>
      </c>
      <c r="N32" s="196" t="s">
        <v>27</v>
      </c>
      <c r="O32" s="194">
        <f t="shared" si="0"/>
        <v>8</v>
      </c>
      <c r="P32" s="196" t="s">
        <v>155</v>
      </c>
      <c r="Q32" s="197">
        <v>1</v>
      </c>
      <c r="R32" s="198" t="s">
        <v>55</v>
      </c>
      <c r="S32" s="197" t="s">
        <v>63</v>
      </c>
      <c r="T32" s="197" t="s">
        <v>162</v>
      </c>
      <c r="U32" s="352" t="s">
        <v>471</v>
      </c>
    </row>
    <row r="33" spans="1:21" ht="15.75" customHeight="1" x14ac:dyDescent="0.3">
      <c r="A33" s="193" t="s">
        <v>457</v>
      </c>
      <c r="B33" s="194" t="s">
        <v>61</v>
      </c>
      <c r="C33" s="195">
        <f>mix_c3_ti</f>
        <v>241</v>
      </c>
      <c r="D33" s="196" t="s">
        <v>54</v>
      </c>
      <c r="E33" s="195">
        <f>mix_c3_to</f>
        <v>350</v>
      </c>
      <c r="F33" s="196" t="s">
        <v>54</v>
      </c>
      <c r="G33" s="197">
        <v>0</v>
      </c>
      <c r="H33" s="196" t="s">
        <v>36</v>
      </c>
      <c r="I33" s="197">
        <f>mix_c3_ho</f>
        <v>1894</v>
      </c>
      <c r="J33" s="196" t="s">
        <v>36</v>
      </c>
      <c r="K33" s="355">
        <f t="shared" si="1"/>
        <v>2.3120242622844094</v>
      </c>
      <c r="L33" s="198" t="s">
        <v>95</v>
      </c>
      <c r="M33" s="355">
        <f>MeOH_feed+water_feed</f>
        <v>27056</v>
      </c>
      <c r="N33" s="196" t="s">
        <v>27</v>
      </c>
      <c r="O33" s="194">
        <f t="shared" si="0"/>
        <v>8</v>
      </c>
      <c r="P33" s="196" t="s">
        <v>155</v>
      </c>
      <c r="Q33" s="197">
        <v>1</v>
      </c>
      <c r="R33" s="198" t="s">
        <v>55</v>
      </c>
      <c r="S33" s="197" t="s">
        <v>63</v>
      </c>
      <c r="T33" s="197" t="s">
        <v>162</v>
      </c>
      <c r="U33" s="352" t="s">
        <v>472</v>
      </c>
    </row>
    <row r="34" spans="1:21" ht="15.75" customHeight="1" x14ac:dyDescent="0.3">
      <c r="A34" s="193" t="s">
        <v>458</v>
      </c>
      <c r="B34" s="194" t="s">
        <v>62</v>
      </c>
      <c r="C34" s="195">
        <f>gas_h11_ti</f>
        <v>365</v>
      </c>
      <c r="D34" s="199" t="s">
        <v>54</v>
      </c>
      <c r="E34" s="195">
        <f>gas_h11_to</f>
        <v>179</v>
      </c>
      <c r="F34" s="199" t="s">
        <v>54</v>
      </c>
      <c r="G34" s="200">
        <f>gas_h11_ho</f>
        <v>3563</v>
      </c>
      <c r="H34" s="199" t="s">
        <v>36</v>
      </c>
      <c r="I34" s="197">
        <v>0</v>
      </c>
      <c r="J34" s="199" t="s">
        <v>36</v>
      </c>
      <c r="K34" s="355">
        <f t="shared" si="1"/>
        <v>5.4261775373814336</v>
      </c>
      <c r="L34" s="198" t="s">
        <v>95</v>
      </c>
      <c r="M34" s="355">
        <f>syngastoSNGtotal</f>
        <v>12709</v>
      </c>
      <c r="N34" s="196" t="s">
        <v>27</v>
      </c>
      <c r="O34" s="194">
        <f t="shared" si="0"/>
        <v>8</v>
      </c>
      <c r="P34" s="196" t="s">
        <v>155</v>
      </c>
      <c r="Q34" s="197">
        <v>1</v>
      </c>
      <c r="R34" s="198" t="s">
        <v>55</v>
      </c>
      <c r="S34" s="197" t="s">
        <v>63</v>
      </c>
      <c r="T34" s="197" t="s">
        <v>162</v>
      </c>
      <c r="U34" s="352" t="s">
        <v>473</v>
      </c>
    </row>
    <row r="35" spans="1:21" ht="15.75" customHeight="1" thickBot="1" x14ac:dyDescent="0.35">
      <c r="A35" s="201" t="s">
        <v>459</v>
      </c>
      <c r="B35" s="202" t="s">
        <v>62</v>
      </c>
      <c r="C35" s="203">
        <f>gas_h12_ti</f>
        <v>179</v>
      </c>
      <c r="D35" s="204" t="s">
        <v>54</v>
      </c>
      <c r="E35" s="203">
        <f>gas_h12_to</f>
        <v>30</v>
      </c>
      <c r="F35" s="204" t="s">
        <v>54</v>
      </c>
      <c r="G35" s="205">
        <f>gas_h12_ho</f>
        <v>10022</v>
      </c>
      <c r="H35" s="204" t="s">
        <v>36</v>
      </c>
      <c r="I35" s="205">
        <v>0</v>
      </c>
      <c r="J35" s="204" t="s">
        <v>36</v>
      </c>
      <c r="K35" s="358">
        <f>(G35-I35)/M35*3600</f>
        <v>2838.8700920607444</v>
      </c>
      <c r="L35" s="206" t="s">
        <v>90</v>
      </c>
      <c r="M35" s="356">
        <f>syngastoSNGtotal</f>
        <v>12709</v>
      </c>
      <c r="N35" s="204" t="s">
        <v>27</v>
      </c>
      <c r="O35" s="202">
        <f t="shared" si="0"/>
        <v>8</v>
      </c>
      <c r="P35" s="204" t="s">
        <v>155</v>
      </c>
      <c r="Q35" s="205">
        <v>1</v>
      </c>
      <c r="R35" s="206" t="s">
        <v>55</v>
      </c>
      <c r="S35" s="205" t="s">
        <v>63</v>
      </c>
      <c r="T35" s="205" t="s">
        <v>162</v>
      </c>
      <c r="U35" s="353" t="s">
        <v>474</v>
      </c>
    </row>
    <row r="36" spans="1:21" ht="14.25" customHeight="1" thickBot="1" x14ac:dyDescent="0.35">
      <c r="A36" s="39"/>
      <c r="B36" s="39"/>
      <c r="C36" s="39"/>
      <c r="D36" s="39"/>
      <c r="E36" s="39"/>
      <c r="F36" s="39"/>
      <c r="G36" s="39"/>
      <c r="H36" s="39"/>
      <c r="I36" s="39"/>
      <c r="J36" s="39"/>
      <c r="L36" s="99"/>
      <c r="M36" s="99"/>
      <c r="N36" s="99"/>
      <c r="O36" s="32"/>
      <c r="P36" s="93"/>
      <c r="Q36" s="32"/>
      <c r="R36" s="93"/>
      <c r="S36" s="32"/>
      <c r="T36" s="32"/>
      <c r="U36" s="93"/>
    </row>
    <row r="37" spans="1:21" ht="14.25" customHeight="1" thickBot="1" x14ac:dyDescent="0.35">
      <c r="A37" s="130" t="s">
        <v>74</v>
      </c>
      <c r="B37" s="99"/>
      <c r="C37" s="99"/>
      <c r="D37" s="31"/>
      <c r="E37" s="32"/>
      <c r="F37" s="32"/>
      <c r="G37" s="32"/>
      <c r="H37" s="32"/>
      <c r="I37" s="101"/>
      <c r="J37" s="6"/>
      <c r="K37" s="41"/>
      <c r="L37" s="99"/>
      <c r="M37" s="99"/>
      <c r="N37" s="99"/>
      <c r="O37" s="32"/>
      <c r="P37" s="32"/>
      <c r="Q37" s="32"/>
      <c r="R37" s="32"/>
      <c r="S37" s="32"/>
      <c r="T37" s="32"/>
      <c r="U37" s="32"/>
    </row>
    <row r="38" spans="1:21" ht="57.45" customHeight="1" thickBot="1" x14ac:dyDescent="0.35">
      <c r="A38" s="359" t="s">
        <v>520</v>
      </c>
      <c r="B38" s="99"/>
      <c r="C38" s="99"/>
      <c r="D38" s="31"/>
      <c r="E38" s="32"/>
      <c r="F38" s="32"/>
      <c r="G38" s="32"/>
      <c r="H38" s="32"/>
      <c r="I38" s="6"/>
      <c r="J38" s="6"/>
      <c r="K38" s="7"/>
      <c r="L38" s="99"/>
      <c r="M38" s="99"/>
      <c r="N38" s="99"/>
      <c r="O38" s="32"/>
      <c r="P38" s="32"/>
      <c r="Q38" s="32"/>
      <c r="R38" s="32"/>
      <c r="S38" s="32"/>
      <c r="T38" s="32"/>
      <c r="U38" s="32"/>
    </row>
    <row r="39" spans="1:21" ht="15.75" customHeight="1" thickBot="1" x14ac:dyDescent="0.35">
      <c r="A39" s="63"/>
      <c r="B39" s="52"/>
      <c r="C39" s="52"/>
      <c r="D39" s="52"/>
      <c r="E39" s="64"/>
      <c r="F39" s="39"/>
      <c r="G39" s="39"/>
      <c r="H39" s="39"/>
      <c r="I39" s="39"/>
      <c r="J39" s="41"/>
      <c r="K39" s="41"/>
      <c r="L39" s="41"/>
      <c r="M39" s="61"/>
      <c r="O39" s="41"/>
      <c r="P39" s="41"/>
      <c r="Q39" s="41"/>
      <c r="R39" s="41"/>
      <c r="S39" s="41"/>
      <c r="T39" s="41"/>
      <c r="U39" s="41"/>
    </row>
    <row r="40" spans="1:21" ht="15.75" customHeight="1" thickBot="1" x14ac:dyDescent="0.35">
      <c r="A40" s="159" t="s">
        <v>64</v>
      </c>
      <c r="B40" s="160"/>
      <c r="C40" s="160"/>
      <c r="D40" s="160"/>
      <c r="E40" s="160"/>
      <c r="F40" s="160"/>
      <c r="G40" s="161"/>
      <c r="H40" s="65" t="s">
        <v>163</v>
      </c>
      <c r="I40" s="41"/>
      <c r="J40" s="41"/>
      <c r="K40" s="41"/>
      <c r="L40" s="41"/>
      <c r="M40" s="41"/>
      <c r="N40" s="39"/>
      <c r="O40" s="41"/>
      <c r="P40" s="41"/>
      <c r="Q40" s="41"/>
      <c r="R40" s="41"/>
      <c r="S40" s="41"/>
      <c r="T40" s="41"/>
      <c r="U40" s="41"/>
    </row>
    <row r="41" spans="1:21" ht="15.75" customHeight="1" thickBot="1" x14ac:dyDescent="0.35">
      <c r="A41" s="134" t="s">
        <v>82</v>
      </c>
      <c r="B41" s="135" t="s">
        <v>17</v>
      </c>
      <c r="C41" s="135" t="s">
        <v>138</v>
      </c>
      <c r="D41" s="135" t="s">
        <v>139</v>
      </c>
      <c r="E41" s="135" t="s">
        <v>83</v>
      </c>
      <c r="F41" s="135" t="s">
        <v>57</v>
      </c>
      <c r="G41" s="137" t="s">
        <v>190</v>
      </c>
      <c r="H41" s="67"/>
      <c r="I41" s="66"/>
      <c r="J41" s="68"/>
      <c r="K41" s="44"/>
      <c r="L41" s="44"/>
      <c r="M41" s="44"/>
      <c r="N41" s="41"/>
      <c r="O41" s="41"/>
      <c r="P41" s="41"/>
      <c r="Q41" s="41"/>
      <c r="R41" s="41"/>
      <c r="S41" s="41"/>
      <c r="T41" s="41"/>
      <c r="U41" s="41"/>
    </row>
    <row r="42" spans="1:21" ht="15.75" customHeight="1" thickBot="1" x14ac:dyDescent="0.35">
      <c r="A42" s="340" t="s">
        <v>521</v>
      </c>
      <c r="B42" s="329" t="s">
        <v>522</v>
      </c>
      <c r="C42" s="329" t="s">
        <v>523</v>
      </c>
      <c r="D42" s="330" t="s">
        <v>140</v>
      </c>
      <c r="E42" s="329" t="s">
        <v>66</v>
      </c>
      <c r="F42" s="329">
        <v>180</v>
      </c>
      <c r="G42" s="331" t="s">
        <v>36</v>
      </c>
      <c r="H42" s="317"/>
      <c r="I42" s="341"/>
      <c r="J42" s="342"/>
      <c r="K42" s="342"/>
      <c r="L42" s="342"/>
      <c r="M42" s="342"/>
      <c r="N42" s="316"/>
      <c r="O42" s="343"/>
      <c r="P42" s="343"/>
      <c r="Q42" s="343"/>
      <c r="R42" s="343"/>
      <c r="S42" s="343"/>
      <c r="T42" s="343"/>
      <c r="U42" s="343"/>
    </row>
    <row r="43" spans="1:21" ht="15.75" customHeight="1" thickBot="1" x14ac:dyDescent="0.35">
      <c r="A43" s="332"/>
      <c r="B43" s="333"/>
      <c r="C43" s="333"/>
      <c r="D43" s="334"/>
      <c r="E43" s="333" t="s">
        <v>524</v>
      </c>
      <c r="F43" s="333">
        <v>4</v>
      </c>
      <c r="G43" s="335" t="s">
        <v>37</v>
      </c>
      <c r="H43" s="317"/>
      <c r="I43" s="341"/>
      <c r="J43" s="342"/>
      <c r="K43" s="5"/>
      <c r="L43" s="5"/>
      <c r="M43" s="342"/>
      <c r="N43" s="316"/>
      <c r="O43" s="343"/>
      <c r="P43" s="343"/>
      <c r="Q43" s="343"/>
      <c r="R43" s="343"/>
      <c r="S43" s="343"/>
      <c r="T43" s="343"/>
      <c r="U43" s="343"/>
    </row>
    <row r="44" spans="1:21" ht="15.75" customHeight="1" thickBot="1" x14ac:dyDescent="0.35">
      <c r="A44" s="332"/>
      <c r="B44" s="333"/>
      <c r="C44" s="333"/>
      <c r="D44" s="333"/>
      <c r="E44" s="333" t="s">
        <v>525</v>
      </c>
      <c r="F44" s="333">
        <v>35</v>
      </c>
      <c r="G44" s="335" t="s">
        <v>37</v>
      </c>
      <c r="H44" s="317"/>
      <c r="I44" s="341"/>
      <c r="J44" s="342"/>
      <c r="K44" s="5"/>
      <c r="L44" s="5"/>
      <c r="M44" s="342"/>
      <c r="N44" s="316"/>
      <c r="O44" s="343"/>
      <c r="P44" s="343"/>
      <c r="Q44" s="343"/>
      <c r="R44" s="343"/>
      <c r="S44" s="343"/>
      <c r="T44" s="343"/>
      <c r="U44" s="343"/>
    </row>
    <row r="45" spans="1:21" ht="15.75" customHeight="1" thickBot="1" x14ac:dyDescent="0.35">
      <c r="A45" s="332"/>
      <c r="B45" s="333"/>
      <c r="C45" s="333"/>
      <c r="D45" s="333"/>
      <c r="E45" s="345" t="s">
        <v>141</v>
      </c>
      <c r="F45" s="333" t="s">
        <v>142</v>
      </c>
      <c r="G45" s="335" t="s">
        <v>37</v>
      </c>
      <c r="H45" s="317"/>
      <c r="I45" s="341"/>
      <c r="J45" s="342"/>
      <c r="K45" s="5"/>
      <c r="L45" s="5"/>
      <c r="M45" s="342"/>
      <c r="N45" s="316"/>
      <c r="O45" s="343"/>
      <c r="P45" s="343"/>
      <c r="Q45" s="343"/>
      <c r="R45" s="343"/>
      <c r="S45" s="343"/>
      <c r="T45" s="343"/>
      <c r="U45" s="343"/>
    </row>
    <row r="46" spans="1:21" ht="15.75" customHeight="1" thickBot="1" x14ac:dyDescent="0.35">
      <c r="A46" s="332"/>
      <c r="B46" s="333"/>
      <c r="C46" s="333"/>
      <c r="D46" s="334"/>
      <c r="E46" s="333" t="s">
        <v>67</v>
      </c>
      <c r="F46" s="333">
        <v>20</v>
      </c>
      <c r="G46" s="335" t="s">
        <v>68</v>
      </c>
      <c r="H46" s="317"/>
      <c r="I46" s="341"/>
      <c r="J46" s="342"/>
      <c r="K46" s="5"/>
      <c r="L46" s="5"/>
      <c r="M46" s="342"/>
      <c r="N46" s="316"/>
      <c r="O46" s="343"/>
      <c r="P46" s="343"/>
      <c r="Q46" s="343"/>
      <c r="R46" s="343"/>
      <c r="S46" s="343"/>
      <c r="T46" s="343"/>
      <c r="U46" s="343"/>
    </row>
    <row r="47" spans="1:21" ht="15.75" customHeight="1" thickBot="1" x14ac:dyDescent="0.35">
      <c r="A47" s="332"/>
      <c r="B47" s="333"/>
      <c r="C47" s="333"/>
      <c r="D47" s="333"/>
      <c r="E47" s="345" t="s">
        <v>69</v>
      </c>
      <c r="F47" s="333">
        <v>2025</v>
      </c>
      <c r="G47" s="335" t="s">
        <v>70</v>
      </c>
      <c r="H47" s="317"/>
      <c r="I47" s="341"/>
      <c r="J47" s="342"/>
      <c r="K47" s="5"/>
      <c r="L47" s="5"/>
      <c r="M47" s="342"/>
      <c r="N47" s="316"/>
      <c r="O47" s="343"/>
      <c r="P47" s="343"/>
      <c r="Q47" s="343"/>
      <c r="R47" s="343"/>
      <c r="S47" s="343"/>
      <c r="T47" s="343"/>
      <c r="U47" s="343"/>
    </row>
    <row r="48" spans="1:21" ht="15.75" customHeight="1" x14ac:dyDescent="0.3">
      <c r="A48" s="332" t="s">
        <v>526</v>
      </c>
      <c r="B48" s="333" t="s">
        <v>65</v>
      </c>
      <c r="C48" s="333" t="s">
        <v>527</v>
      </c>
      <c r="D48" s="333" t="s">
        <v>140</v>
      </c>
      <c r="E48" s="345" t="s">
        <v>66</v>
      </c>
      <c r="F48" s="333">
        <v>39</v>
      </c>
      <c r="G48" s="335" t="s">
        <v>36</v>
      </c>
      <c r="H48" s="317"/>
      <c r="I48" s="317"/>
      <c r="J48" s="317"/>
      <c r="K48" s="344"/>
      <c r="L48" s="344"/>
      <c r="M48" s="317"/>
      <c r="N48" s="317"/>
      <c r="O48" s="317"/>
      <c r="P48" s="317"/>
      <c r="Q48" s="317"/>
      <c r="R48" s="317"/>
      <c r="S48" s="317"/>
      <c r="T48" s="317"/>
      <c r="U48" s="317"/>
    </row>
    <row r="49" spans="1:21" ht="15.75" customHeight="1" x14ac:dyDescent="0.3">
      <c r="A49" s="332"/>
      <c r="B49" s="333"/>
      <c r="C49" s="333"/>
      <c r="D49" s="333"/>
      <c r="E49" s="345" t="s">
        <v>528</v>
      </c>
      <c r="F49" s="333">
        <v>2</v>
      </c>
      <c r="G49" s="335" t="s">
        <v>37</v>
      </c>
      <c r="H49" s="317"/>
      <c r="I49" s="317"/>
      <c r="J49" s="317"/>
      <c r="K49" s="344"/>
      <c r="L49" s="344"/>
      <c r="M49" s="317"/>
      <c r="N49" s="317"/>
      <c r="O49" s="317"/>
      <c r="P49" s="317"/>
      <c r="Q49" s="317"/>
      <c r="R49" s="317"/>
      <c r="S49" s="317"/>
      <c r="T49" s="317"/>
      <c r="U49" s="317"/>
    </row>
    <row r="50" spans="1:21" ht="15.75" customHeight="1" x14ac:dyDescent="0.3">
      <c r="A50" s="332"/>
      <c r="B50" s="333"/>
      <c r="C50" s="333"/>
      <c r="D50" s="333"/>
      <c r="E50" s="345" t="s">
        <v>141</v>
      </c>
      <c r="F50" s="333" t="s">
        <v>529</v>
      </c>
      <c r="G50" s="335" t="s">
        <v>37</v>
      </c>
      <c r="H50" s="317"/>
      <c r="I50" s="317"/>
      <c r="J50" s="317"/>
      <c r="K50" s="344"/>
      <c r="L50" s="344"/>
      <c r="M50" s="317"/>
      <c r="N50" s="317"/>
      <c r="O50" s="317"/>
      <c r="P50" s="317"/>
      <c r="Q50" s="317"/>
      <c r="R50" s="317"/>
      <c r="S50" s="317"/>
      <c r="T50" s="317"/>
      <c r="U50" s="317"/>
    </row>
    <row r="51" spans="1:21" ht="15.75" customHeight="1" x14ac:dyDescent="0.3">
      <c r="A51" s="332"/>
      <c r="B51" s="333"/>
      <c r="C51" s="333"/>
      <c r="D51" s="333"/>
      <c r="E51" s="345" t="s">
        <v>67</v>
      </c>
      <c r="F51" s="333">
        <v>20</v>
      </c>
      <c r="G51" s="335" t="s">
        <v>68</v>
      </c>
      <c r="H51" s="317"/>
      <c r="I51" s="317"/>
      <c r="J51" s="317"/>
      <c r="K51" s="344"/>
      <c r="L51" s="344"/>
      <c r="M51" s="317"/>
      <c r="N51" s="317"/>
      <c r="O51" s="317"/>
      <c r="P51" s="317"/>
      <c r="Q51" s="317"/>
      <c r="R51" s="317"/>
      <c r="S51" s="317"/>
      <c r="T51" s="317"/>
      <c r="U51" s="317"/>
    </row>
    <row r="52" spans="1:21" ht="15.75" customHeight="1" x14ac:dyDescent="0.3">
      <c r="A52" s="332"/>
      <c r="B52" s="333"/>
      <c r="C52" s="333"/>
      <c r="D52" s="333"/>
      <c r="E52" s="345" t="s">
        <v>69</v>
      </c>
      <c r="F52" s="333">
        <v>2025</v>
      </c>
      <c r="G52" s="335" t="s">
        <v>70</v>
      </c>
      <c r="H52" s="317"/>
      <c r="I52" s="317"/>
      <c r="J52" s="317"/>
      <c r="K52" s="344"/>
      <c r="L52" s="344"/>
      <c r="M52" s="317"/>
      <c r="N52" s="317"/>
      <c r="O52" s="317"/>
      <c r="P52" s="317"/>
      <c r="Q52" s="317"/>
      <c r="R52" s="317"/>
      <c r="S52" s="317"/>
      <c r="T52" s="317"/>
      <c r="U52" s="317"/>
    </row>
    <row r="53" spans="1:21" ht="15.75" customHeight="1" x14ac:dyDescent="0.3">
      <c r="A53" s="332" t="s">
        <v>530</v>
      </c>
      <c r="B53" s="333" t="s">
        <v>531</v>
      </c>
      <c r="C53" s="333" t="s">
        <v>532</v>
      </c>
      <c r="D53" s="333" t="s">
        <v>140</v>
      </c>
      <c r="E53" s="345" t="s">
        <v>533</v>
      </c>
      <c r="F53" s="333">
        <v>32621</v>
      </c>
      <c r="G53" s="335" t="s">
        <v>36</v>
      </c>
      <c r="H53" s="317"/>
      <c r="I53" s="317"/>
      <c r="J53" s="317"/>
      <c r="K53" s="344"/>
      <c r="L53" s="344"/>
      <c r="M53" s="317"/>
      <c r="N53" s="317"/>
      <c r="O53" s="317"/>
      <c r="P53" s="317"/>
      <c r="Q53" s="317"/>
      <c r="R53" s="317"/>
      <c r="S53" s="317"/>
      <c r="T53" s="317"/>
      <c r="U53" s="317"/>
    </row>
    <row r="54" spans="1:21" ht="15.75" customHeight="1" x14ac:dyDescent="0.3">
      <c r="A54" s="332"/>
      <c r="B54" s="333"/>
      <c r="C54" s="333"/>
      <c r="D54" s="333"/>
      <c r="E54" s="345" t="s">
        <v>534</v>
      </c>
      <c r="F54" s="333">
        <v>9</v>
      </c>
      <c r="G54" s="335" t="s">
        <v>37</v>
      </c>
      <c r="H54" s="317"/>
      <c r="I54" s="317"/>
      <c r="J54" s="317"/>
      <c r="K54" s="344"/>
      <c r="L54" s="344"/>
      <c r="M54" s="317"/>
      <c r="N54" s="317"/>
      <c r="O54" s="317"/>
      <c r="P54" s="317"/>
      <c r="Q54" s="317"/>
      <c r="R54" s="317"/>
      <c r="S54" s="317"/>
      <c r="T54" s="317"/>
      <c r="U54" s="317"/>
    </row>
    <row r="55" spans="1:21" ht="15.75" customHeight="1" x14ac:dyDescent="0.3">
      <c r="A55" s="332"/>
      <c r="B55" s="333"/>
      <c r="C55" s="333"/>
      <c r="D55" s="333"/>
      <c r="E55" s="345" t="s">
        <v>141</v>
      </c>
      <c r="F55" s="333" t="s">
        <v>529</v>
      </c>
      <c r="G55" s="335" t="s">
        <v>37</v>
      </c>
      <c r="H55" s="317"/>
      <c r="I55" s="317"/>
      <c r="J55" s="317"/>
      <c r="K55" s="344"/>
      <c r="L55" s="344"/>
      <c r="M55" s="317"/>
      <c r="N55" s="317"/>
      <c r="O55" s="317"/>
      <c r="P55" s="317"/>
      <c r="Q55" s="317"/>
      <c r="R55" s="317"/>
      <c r="S55" s="317"/>
      <c r="T55" s="317"/>
      <c r="U55" s="317"/>
    </row>
    <row r="56" spans="1:21" ht="15.75" customHeight="1" x14ac:dyDescent="0.3">
      <c r="A56" s="332"/>
      <c r="B56" s="333"/>
      <c r="C56" s="333"/>
      <c r="D56" s="333"/>
      <c r="E56" s="345" t="s">
        <v>67</v>
      </c>
      <c r="F56" s="333">
        <v>20</v>
      </c>
      <c r="G56" s="335" t="s">
        <v>68</v>
      </c>
      <c r="H56" s="317"/>
      <c r="I56" s="317"/>
      <c r="J56" s="317"/>
      <c r="K56" s="344"/>
      <c r="L56" s="344"/>
      <c r="M56" s="317"/>
      <c r="N56" s="317"/>
      <c r="O56" s="317"/>
      <c r="P56" s="317"/>
      <c r="Q56" s="317"/>
      <c r="R56" s="317"/>
      <c r="S56" s="317"/>
      <c r="T56" s="317"/>
      <c r="U56" s="317"/>
    </row>
    <row r="57" spans="1:21" ht="15.75" customHeight="1" x14ac:dyDescent="0.3">
      <c r="A57" s="332"/>
      <c r="B57" s="333"/>
      <c r="C57" s="333"/>
      <c r="D57" s="333"/>
      <c r="E57" s="346" t="s">
        <v>69</v>
      </c>
      <c r="F57" s="333">
        <v>2025</v>
      </c>
      <c r="G57" s="335" t="s">
        <v>70</v>
      </c>
      <c r="H57" s="317"/>
    </row>
    <row r="58" spans="1:21" ht="15.75" customHeight="1" x14ac:dyDescent="0.3">
      <c r="A58" s="332" t="s">
        <v>535</v>
      </c>
      <c r="B58" s="333" t="s">
        <v>536</v>
      </c>
      <c r="C58" s="333" t="s">
        <v>537</v>
      </c>
      <c r="D58" s="333" t="s">
        <v>538</v>
      </c>
      <c r="E58" s="346" t="s">
        <v>539</v>
      </c>
      <c r="F58" s="333">
        <v>28815</v>
      </c>
      <c r="G58" s="335" t="s">
        <v>27</v>
      </c>
      <c r="H58" s="317"/>
    </row>
    <row r="59" spans="1:21" ht="15.75" customHeight="1" x14ac:dyDescent="0.3">
      <c r="A59" s="332"/>
      <c r="B59" s="333"/>
      <c r="C59" s="333"/>
      <c r="D59" s="333"/>
      <c r="E59" s="346" t="s">
        <v>540</v>
      </c>
      <c r="F59" s="333">
        <v>350</v>
      </c>
      <c r="G59" s="335" t="s">
        <v>54</v>
      </c>
      <c r="H59" s="317"/>
    </row>
    <row r="60" spans="1:21" ht="15.75" customHeight="1" x14ac:dyDescent="0.3">
      <c r="A60" s="332"/>
      <c r="B60" s="333"/>
      <c r="C60" s="333"/>
      <c r="D60" s="333"/>
      <c r="E60" s="346" t="s">
        <v>71</v>
      </c>
      <c r="F60" s="333">
        <v>35</v>
      </c>
      <c r="G60" s="335" t="s">
        <v>29</v>
      </c>
      <c r="H60" s="317"/>
    </row>
    <row r="61" spans="1:21" ht="15.75" customHeight="1" x14ac:dyDescent="0.3">
      <c r="A61" s="332"/>
      <c r="B61" s="333"/>
      <c r="C61" s="333"/>
      <c r="D61" s="333"/>
      <c r="E61" s="346" t="s">
        <v>141</v>
      </c>
      <c r="F61" s="333" t="s">
        <v>529</v>
      </c>
      <c r="G61" s="335" t="s">
        <v>37</v>
      </c>
      <c r="H61" s="317"/>
    </row>
    <row r="62" spans="1:21" ht="15.75" customHeight="1" x14ac:dyDescent="0.3">
      <c r="A62" s="332"/>
      <c r="B62" s="333"/>
      <c r="C62" s="333"/>
      <c r="D62" s="333"/>
      <c r="E62" s="346" t="s">
        <v>67</v>
      </c>
      <c r="F62" s="333">
        <v>20</v>
      </c>
      <c r="G62" s="335" t="s">
        <v>68</v>
      </c>
      <c r="H62" s="317"/>
    </row>
    <row r="63" spans="1:21" ht="15.75" customHeight="1" x14ac:dyDescent="0.3">
      <c r="A63" s="332"/>
      <c r="B63" s="333"/>
      <c r="C63" s="333"/>
      <c r="D63" s="333"/>
      <c r="E63" s="346" t="s">
        <v>69</v>
      </c>
      <c r="F63" s="333">
        <v>2025</v>
      </c>
      <c r="G63" s="335" t="s">
        <v>70</v>
      </c>
      <c r="H63" s="317"/>
    </row>
    <row r="64" spans="1:21" ht="15.75" customHeight="1" x14ac:dyDescent="0.3">
      <c r="A64" s="332" t="s">
        <v>541</v>
      </c>
      <c r="B64" s="333" t="s">
        <v>542</v>
      </c>
      <c r="C64" s="333" t="s">
        <v>543</v>
      </c>
      <c r="D64" s="333" t="s">
        <v>538</v>
      </c>
      <c r="E64" s="346" t="s">
        <v>544</v>
      </c>
      <c r="F64" s="333">
        <v>5375</v>
      </c>
      <c r="G64" s="335" t="s">
        <v>27</v>
      </c>
      <c r="H64" s="317"/>
    </row>
    <row r="65" spans="1:8" ht="15.75" customHeight="1" x14ac:dyDescent="0.3">
      <c r="A65" s="332"/>
      <c r="B65" s="333"/>
      <c r="C65" s="333"/>
      <c r="D65" s="333"/>
      <c r="E65" s="346" t="s">
        <v>71</v>
      </c>
      <c r="F65" s="333">
        <v>35</v>
      </c>
      <c r="G65" s="335" t="s">
        <v>29</v>
      </c>
      <c r="H65" s="317"/>
    </row>
    <row r="66" spans="1:8" ht="15.75" customHeight="1" x14ac:dyDescent="0.3">
      <c r="A66" s="347"/>
      <c r="B66" s="333"/>
      <c r="C66" s="333"/>
      <c r="D66" s="333"/>
      <c r="E66" s="346" t="s">
        <v>141</v>
      </c>
      <c r="F66" s="333" t="s">
        <v>142</v>
      </c>
      <c r="G66" s="335" t="s">
        <v>37</v>
      </c>
      <c r="H66" s="317"/>
    </row>
    <row r="67" spans="1:8" ht="15.75" customHeight="1" x14ac:dyDescent="0.3">
      <c r="A67" s="347"/>
      <c r="B67" s="333"/>
      <c r="C67" s="333"/>
      <c r="D67" s="333"/>
      <c r="E67" s="346" t="s">
        <v>67</v>
      </c>
      <c r="F67" s="333">
        <v>20</v>
      </c>
      <c r="G67" s="335" t="s">
        <v>68</v>
      </c>
      <c r="H67" s="317"/>
    </row>
    <row r="68" spans="1:8" ht="15.75" customHeight="1" thickBot="1" x14ac:dyDescent="0.35">
      <c r="A68" s="348"/>
      <c r="B68" s="337"/>
      <c r="C68" s="337"/>
      <c r="D68" s="337"/>
      <c r="E68" s="349" t="s">
        <v>69</v>
      </c>
      <c r="F68" s="337">
        <v>2025</v>
      </c>
      <c r="G68" s="339" t="s">
        <v>70</v>
      </c>
      <c r="H68" s="317"/>
    </row>
    <row r="69" spans="1:8" ht="15.75" customHeight="1" x14ac:dyDescent="0.3">
      <c r="A69" s="314"/>
      <c r="B69" s="110"/>
      <c r="C69" s="110"/>
      <c r="D69" s="110"/>
      <c r="E69" s="158"/>
      <c r="F69" s="110"/>
      <c r="G69" s="110"/>
      <c r="H69" s="313"/>
    </row>
    <row r="70" spans="1:8" ht="42" customHeight="1" thickBot="1" x14ac:dyDescent="0.35">
      <c r="A70" s="131"/>
      <c r="B70" s="69"/>
      <c r="C70" s="308"/>
      <c r="D70" s="69"/>
      <c r="E70" s="69"/>
      <c r="F70" s="69"/>
      <c r="G70" s="69"/>
      <c r="H70" s="66"/>
    </row>
    <row r="71" spans="1:8" ht="15.75" customHeight="1" thickBot="1" x14ac:dyDescent="0.35">
      <c r="A71" s="130" t="s">
        <v>75</v>
      </c>
      <c r="B71" s="99"/>
      <c r="C71" s="99"/>
      <c r="D71" s="66"/>
      <c r="E71" s="66"/>
      <c r="F71" s="66"/>
      <c r="G71" s="66"/>
      <c r="H71" s="72"/>
    </row>
    <row r="72" spans="1:8" ht="34.799999999999997" customHeight="1" thickBot="1" x14ac:dyDescent="0.35">
      <c r="A72" s="129" t="s">
        <v>72</v>
      </c>
      <c r="B72" s="99"/>
      <c r="C72" s="99"/>
      <c r="D72" s="66"/>
      <c r="E72" s="66"/>
      <c r="F72" s="66"/>
      <c r="G72" s="66"/>
      <c r="H72" s="66"/>
    </row>
    <row r="73" spans="1:8" ht="15.75" customHeight="1" thickBot="1" x14ac:dyDescent="0.35">
      <c r="A73" s="71"/>
      <c r="B73" s="72"/>
      <c r="C73" s="56"/>
      <c r="D73" s="72"/>
      <c r="E73" s="72"/>
      <c r="F73" s="72"/>
      <c r="G73" s="72"/>
      <c r="H73" s="66"/>
    </row>
    <row r="74" spans="1:8" ht="15.75" customHeight="1" thickBot="1" x14ac:dyDescent="0.35">
      <c r="A74" s="73" t="s">
        <v>87</v>
      </c>
      <c r="B74" s="74"/>
      <c r="C74" s="75"/>
      <c r="D74" s="66"/>
      <c r="E74" s="66"/>
      <c r="F74" s="66"/>
      <c r="G74" s="66"/>
      <c r="H74" s="66"/>
    </row>
    <row r="75" spans="1:8" ht="15.75" customHeight="1" thickBot="1" x14ac:dyDescent="0.35">
      <c r="A75" s="227" t="s">
        <v>84</v>
      </c>
      <c r="B75" s="228" t="s">
        <v>85</v>
      </c>
      <c r="C75" s="66"/>
      <c r="D75" s="66"/>
      <c r="E75" s="66"/>
      <c r="F75" s="66"/>
      <c r="G75" s="66"/>
      <c r="H75" s="66"/>
    </row>
    <row r="76" spans="1:8" ht="15.75" customHeight="1" thickBot="1" x14ac:dyDescent="0.35">
      <c r="A76" s="176">
        <v>0</v>
      </c>
      <c r="B76" s="229">
        <v>0</v>
      </c>
      <c r="C76" s="66"/>
      <c r="D76" s="66"/>
      <c r="E76" s="66"/>
      <c r="F76" s="66"/>
      <c r="G76" s="66"/>
      <c r="H76" s="66"/>
    </row>
  </sheetData>
  <dataValidations count="4">
    <dataValidation type="list" allowBlank="1" showErrorMessage="1" sqref="C15:C20" xr:uid="{00000000-0002-0000-0400-000000000000}">
      <formula1>"IN,OUT"</formula1>
    </dataValidation>
    <dataValidation type="list" allowBlank="1" showErrorMessage="1" sqref="B15:B20" xr:uid="{00000000-0002-0000-0400-000001000000}">
      <formula1>"MASS,ELECTRICITY,EMISSIONS,ENERGY"</formula1>
    </dataValidation>
    <dataValidation type="list" allowBlank="1" showErrorMessage="1" sqref="B27:B33 B35" xr:uid="{00000000-0002-0000-0400-000002000000}">
      <formula1>"Cold,Hot"</formula1>
    </dataValidation>
    <dataValidation type="list" errorStyle="information" allowBlank="1" showInputMessage="1" showErrorMessage="1" sqref="E15:E20 G15:G20 I15:I20 D27:D35 F27:F35 H27:H35 J27:J35 L27:L35 N27:N35 P27:P35 R27:R35 G42:G45" xr:uid="{C38DAFC9-5495-4844-9F16-E941AA8D7595}">
      <formula1>"-,kg,s,m,K,°C,W,bar,kg/h,t/h,kW,kW/m2K,W/m2K,kJ/kgK,kJ/kg,m3/h,%,eur,eur/y,kWel/kWth,year"</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U57"/>
  <sheetViews>
    <sheetView showGridLines="0" topLeftCell="A15" zoomScale="51" zoomScaleNormal="70" workbookViewId="0">
      <selection activeCell="E60" sqref="E60"/>
    </sheetView>
  </sheetViews>
  <sheetFormatPr defaultColWidth="14.44140625" defaultRowHeight="15" customHeight="1" x14ac:dyDescent="0.3"/>
  <cols>
    <col min="1" max="1" width="56.44140625" customWidth="1"/>
    <col min="2" max="2" width="47.6640625" customWidth="1"/>
    <col min="3" max="3" width="37.77734375" customWidth="1"/>
    <col min="4" max="4" width="40.6640625" customWidth="1"/>
    <col min="5" max="5" width="41.44140625" customWidth="1"/>
    <col min="6" max="6" width="37.44140625" customWidth="1"/>
    <col min="7" max="7" width="31.6640625" customWidth="1"/>
    <col min="8" max="8" width="37.44140625" customWidth="1"/>
    <col min="9" max="9" width="33.77734375" customWidth="1"/>
    <col min="10" max="10" width="35.77734375" customWidth="1"/>
    <col min="11" max="11" width="36.44140625" customWidth="1"/>
    <col min="12" max="12" width="54.77734375" bestFit="1" customWidth="1"/>
    <col min="13" max="13" width="50.77734375" customWidth="1"/>
    <col min="14" max="14" width="56.44140625" customWidth="1"/>
    <col min="15" max="15" width="17.77734375" bestFit="1" customWidth="1"/>
    <col min="16" max="16" width="32.77734375" customWidth="1"/>
    <col min="17" max="17" width="29.44140625" bestFit="1" customWidth="1"/>
    <col min="18" max="18" width="27.6640625" bestFit="1" customWidth="1"/>
    <col min="19" max="19" width="16.109375" bestFit="1" customWidth="1"/>
    <col min="20" max="20" width="21.109375" bestFit="1" customWidth="1"/>
    <col min="21" max="21" width="43.33203125" bestFit="1" customWidth="1"/>
    <col min="22" max="27" width="10.6640625" customWidth="1"/>
  </cols>
  <sheetData>
    <row r="1" spans="1:21" ht="14.25" customHeight="1" thickBot="1" x14ac:dyDescent="0.35">
      <c r="A1" s="130" t="s">
        <v>76</v>
      </c>
      <c r="B1" s="99"/>
      <c r="C1" s="99"/>
      <c r="D1" s="31"/>
      <c r="E1" s="32"/>
      <c r="F1" s="32"/>
      <c r="G1" s="32"/>
      <c r="H1" s="32"/>
      <c r="I1" s="6"/>
      <c r="J1" s="6"/>
      <c r="K1" s="7"/>
      <c r="L1" s="7"/>
      <c r="M1" s="7"/>
      <c r="N1" s="7"/>
    </row>
    <row r="2" spans="1:21" ht="88.2" customHeight="1" thickBot="1" x14ac:dyDescent="0.35">
      <c r="A2" s="318" t="s">
        <v>545</v>
      </c>
      <c r="B2" s="99"/>
      <c r="C2" s="99"/>
      <c r="D2" s="31"/>
      <c r="E2" s="32"/>
      <c r="F2" s="32"/>
      <c r="G2" s="32"/>
      <c r="H2" s="32"/>
      <c r="I2" s="6"/>
      <c r="J2" s="6"/>
      <c r="K2" s="7"/>
      <c r="L2" s="7"/>
      <c r="M2" s="7"/>
      <c r="N2" s="7"/>
    </row>
    <row r="3" spans="1:21" thickBot="1" x14ac:dyDescent="0.35">
      <c r="A3" s="82"/>
      <c r="B3" s="76"/>
      <c r="C3" s="76"/>
      <c r="D3" s="77"/>
      <c r="E3" s="83"/>
      <c r="F3" s="83"/>
      <c r="G3" s="83"/>
      <c r="H3" s="83"/>
      <c r="I3" s="76"/>
      <c r="J3" s="76"/>
      <c r="K3" s="76"/>
      <c r="L3" s="76"/>
      <c r="M3" s="76"/>
      <c r="N3" s="76"/>
    </row>
    <row r="4" spans="1:21" thickBot="1" x14ac:dyDescent="0.35">
      <c r="A4" s="103" t="s">
        <v>78</v>
      </c>
      <c r="B4" s="104" t="s">
        <v>80</v>
      </c>
      <c r="C4" s="105" t="s">
        <v>79</v>
      </c>
      <c r="D4" s="77"/>
      <c r="E4" s="84"/>
      <c r="F4" s="41"/>
      <c r="G4" s="41"/>
      <c r="H4" s="41"/>
      <c r="I4" s="41"/>
      <c r="J4" s="41"/>
      <c r="K4" s="41"/>
      <c r="L4" s="41"/>
      <c r="M4" s="41"/>
      <c r="N4" s="41"/>
    </row>
    <row r="5" spans="1:21" thickBot="1" x14ac:dyDescent="0.35">
      <c r="A5" s="176" t="s">
        <v>460</v>
      </c>
      <c r="B5" s="275">
        <v>0</v>
      </c>
      <c r="C5" s="229">
        <v>1000</v>
      </c>
      <c r="D5" s="62" t="s">
        <v>191</v>
      </c>
      <c r="E5" s="41"/>
      <c r="F5" s="41"/>
      <c r="G5" s="41"/>
      <c r="H5" s="41"/>
      <c r="I5" s="41"/>
      <c r="J5" s="41"/>
      <c r="K5" s="41"/>
      <c r="L5" s="41"/>
      <c r="M5" s="41"/>
      <c r="N5" s="41"/>
    </row>
    <row r="6" spans="1:21" thickBot="1" x14ac:dyDescent="0.35">
      <c r="A6" s="85"/>
      <c r="B6" s="86"/>
      <c r="C6" s="86"/>
      <c r="D6" s="78"/>
      <c r="E6" s="87"/>
      <c r="F6" s="41"/>
      <c r="G6" s="41"/>
      <c r="H6" s="41"/>
      <c r="I6" s="41"/>
      <c r="J6" s="41"/>
      <c r="K6" s="41"/>
      <c r="L6" s="41"/>
      <c r="M6" s="41"/>
      <c r="N6" s="41"/>
    </row>
    <row r="7" spans="1:21" ht="14.25" customHeight="1" thickBot="1" x14ac:dyDescent="0.35">
      <c r="A7" s="130" t="s">
        <v>77</v>
      </c>
      <c r="C7" s="32"/>
      <c r="D7" s="32"/>
      <c r="E7" s="32"/>
      <c r="F7" s="32"/>
      <c r="G7" s="6"/>
      <c r="H7" s="6"/>
      <c r="I7" s="7"/>
      <c r="J7" s="7"/>
      <c r="K7" s="7"/>
      <c r="L7" s="7"/>
    </row>
    <row r="8" spans="1:21" ht="37.799999999999997" customHeight="1" thickBot="1" x14ac:dyDescent="0.35">
      <c r="A8" s="318" t="s">
        <v>560</v>
      </c>
      <c r="B8" s="31"/>
      <c r="C8" s="32"/>
      <c r="D8" s="32"/>
      <c r="E8" s="32"/>
      <c r="F8" s="32"/>
      <c r="G8" s="6"/>
      <c r="H8" s="6"/>
      <c r="I8" s="7"/>
      <c r="J8" s="7"/>
      <c r="K8" s="7"/>
      <c r="L8" s="7"/>
    </row>
    <row r="9" spans="1:21" thickBot="1" x14ac:dyDescent="0.35">
      <c r="A9" s="88"/>
      <c r="B9" s="89"/>
      <c r="C9" s="44"/>
      <c r="D9" s="44"/>
      <c r="E9" s="44"/>
      <c r="F9" s="44"/>
      <c r="G9" s="44"/>
      <c r="H9" s="44"/>
      <c r="J9" s="44"/>
      <c r="K9" s="41"/>
      <c r="L9" s="41"/>
      <c r="M9" s="41"/>
      <c r="N9" s="41"/>
    </row>
    <row r="10" spans="1:21" thickBot="1" x14ac:dyDescent="0.35">
      <c r="A10" s="50" t="s">
        <v>89</v>
      </c>
      <c r="B10" s="34"/>
      <c r="C10" s="34"/>
      <c r="D10" s="34"/>
      <c r="E10" s="34"/>
      <c r="F10" s="34"/>
      <c r="G10" s="34"/>
      <c r="H10" s="5"/>
      <c r="I10" s="16"/>
      <c r="J10" s="16"/>
      <c r="K10" s="79"/>
      <c r="L10" s="79"/>
      <c r="M10" s="37"/>
      <c r="N10" s="34"/>
    </row>
    <row r="11" spans="1:21" thickBot="1" x14ac:dyDescent="0.35">
      <c r="A11" s="51" t="s">
        <v>88</v>
      </c>
      <c r="B11" s="90"/>
      <c r="C11" s="52"/>
      <c r="D11" s="52"/>
      <c r="E11" s="52"/>
      <c r="F11" s="52"/>
      <c r="G11" s="64"/>
      <c r="H11" s="16"/>
      <c r="I11" s="16"/>
      <c r="J11" s="16"/>
      <c r="K11" s="79"/>
      <c r="L11" s="79"/>
      <c r="M11" s="80"/>
      <c r="N11" s="34"/>
    </row>
    <row r="12" spans="1:21" thickBot="1" x14ac:dyDescent="0.35">
      <c r="A12" s="102" t="s">
        <v>2</v>
      </c>
      <c r="B12" s="106"/>
      <c r="C12" s="106"/>
      <c r="D12" s="106"/>
      <c r="E12" s="106"/>
      <c r="F12" s="106"/>
      <c r="G12" s="106"/>
      <c r="H12" s="106"/>
      <c r="I12" s="106"/>
      <c r="J12" s="106"/>
      <c r="K12" s="106"/>
      <c r="L12" s="109"/>
      <c r="M12" s="109"/>
      <c r="N12" s="123"/>
    </row>
    <row r="13" spans="1:21" thickBot="1" x14ac:dyDescent="0.35">
      <c r="A13" s="134" t="s">
        <v>16</v>
      </c>
      <c r="B13" s="135" t="s">
        <v>17</v>
      </c>
      <c r="C13" s="135" t="s">
        <v>56</v>
      </c>
      <c r="D13" s="135" t="s">
        <v>188</v>
      </c>
      <c r="E13" s="135" t="s">
        <v>189</v>
      </c>
      <c r="F13" s="135" t="s">
        <v>186</v>
      </c>
      <c r="G13" s="136" t="s">
        <v>20</v>
      </c>
      <c r="H13" s="135" t="s">
        <v>187</v>
      </c>
      <c r="I13" s="135" t="s">
        <v>22</v>
      </c>
      <c r="J13" s="135" t="s">
        <v>23</v>
      </c>
      <c r="K13" s="135" t="s">
        <v>24</v>
      </c>
      <c r="L13" s="177" t="s">
        <v>25</v>
      </c>
      <c r="M13" s="177" t="s">
        <v>160</v>
      </c>
      <c r="N13" s="164" t="s">
        <v>14</v>
      </c>
      <c r="O13" s="54"/>
      <c r="P13" s="54"/>
      <c r="Q13" s="54"/>
      <c r="R13" s="54"/>
      <c r="S13" s="54"/>
      <c r="T13" s="54"/>
      <c r="U13" s="54"/>
    </row>
    <row r="14" spans="1:21" ht="14.4" x14ac:dyDescent="0.3">
      <c r="A14" s="278" t="s">
        <v>213</v>
      </c>
      <c r="B14" s="279" t="s">
        <v>26</v>
      </c>
      <c r="C14" s="279" t="s">
        <v>59</v>
      </c>
      <c r="D14" s="279">
        <f>Condensateflow</f>
        <v>7.06</v>
      </c>
      <c r="E14" s="279" t="s">
        <v>207</v>
      </c>
      <c r="F14" s="279">
        <v>30</v>
      </c>
      <c r="G14" s="280" t="s">
        <v>54</v>
      </c>
      <c r="H14" s="279">
        <v>1</v>
      </c>
      <c r="I14" s="279" t="s">
        <v>29</v>
      </c>
      <c r="J14" s="279">
        <v>-1</v>
      </c>
      <c r="K14" s="279" t="s">
        <v>30</v>
      </c>
      <c r="L14" s="279" t="s">
        <v>32</v>
      </c>
      <c r="M14" s="279" t="s">
        <v>162</v>
      </c>
      <c r="N14" s="319" t="s">
        <v>209</v>
      </c>
      <c r="O14" s="1"/>
      <c r="P14" s="1"/>
      <c r="Q14" s="1"/>
      <c r="R14" s="1"/>
      <c r="S14" s="1"/>
      <c r="T14" s="1"/>
      <c r="U14" s="1"/>
    </row>
    <row r="15" spans="1:21" ht="14.4" x14ac:dyDescent="0.3">
      <c r="A15" s="281" t="s">
        <v>218</v>
      </c>
      <c r="B15" s="224" t="s">
        <v>26</v>
      </c>
      <c r="C15" s="224" t="s">
        <v>58</v>
      </c>
      <c r="D15" s="224">
        <f>syngastoSNGtotal</f>
        <v>12709</v>
      </c>
      <c r="E15" s="224" t="s">
        <v>27</v>
      </c>
      <c r="F15" s="224">
        <v>35</v>
      </c>
      <c r="G15" s="225" t="s">
        <v>28</v>
      </c>
      <c r="H15" s="224">
        <v>35</v>
      </c>
      <c r="I15" s="224" t="s">
        <v>29</v>
      </c>
      <c r="J15" s="225">
        <v>1</v>
      </c>
      <c r="K15" s="225" t="s">
        <v>34</v>
      </c>
      <c r="L15" s="225" t="s">
        <v>220</v>
      </c>
      <c r="M15" s="277" t="s">
        <v>162</v>
      </c>
      <c r="N15" s="320" t="s">
        <v>221</v>
      </c>
      <c r="O15" s="1"/>
      <c r="P15" s="1"/>
      <c r="Q15" s="1"/>
      <c r="R15" s="1"/>
      <c r="S15" s="1"/>
      <c r="T15" s="1"/>
      <c r="U15" s="1"/>
    </row>
    <row r="16" spans="1:21" ht="14.4" x14ac:dyDescent="0.3">
      <c r="A16" s="281" t="s">
        <v>39</v>
      </c>
      <c r="B16" s="224" t="s">
        <v>38</v>
      </c>
      <c r="C16" s="224" t="s">
        <v>59</v>
      </c>
      <c r="D16" s="224">
        <f>CO2unconverted</f>
        <v>34</v>
      </c>
      <c r="E16" s="224" t="s">
        <v>27</v>
      </c>
      <c r="F16" s="224">
        <v>30</v>
      </c>
      <c r="G16" s="225" t="s">
        <v>54</v>
      </c>
      <c r="H16" s="224">
        <v>1</v>
      </c>
      <c r="I16" s="224" t="s">
        <v>29</v>
      </c>
      <c r="J16" s="225">
        <v>-1</v>
      </c>
      <c r="K16" s="225" t="s">
        <v>34</v>
      </c>
      <c r="L16" s="225" t="s">
        <v>40</v>
      </c>
      <c r="M16" s="226" t="s">
        <v>162</v>
      </c>
      <c r="N16" s="320" t="s">
        <v>216</v>
      </c>
      <c r="O16" s="1"/>
      <c r="P16" s="1"/>
      <c r="Q16" s="1"/>
      <c r="R16" s="1"/>
      <c r="S16" s="1"/>
      <c r="T16" s="1"/>
      <c r="U16" s="1"/>
    </row>
    <row r="17" spans="1:21" thickBot="1" x14ac:dyDescent="0.35">
      <c r="A17" s="282" t="s">
        <v>33</v>
      </c>
      <c r="B17" s="283" t="s">
        <v>546</v>
      </c>
      <c r="C17" s="283" t="s">
        <v>59</v>
      </c>
      <c r="D17" s="283">
        <f>CH4energyflow</f>
        <v>56680.555555555555</v>
      </c>
      <c r="E17" s="283" t="s">
        <v>36</v>
      </c>
      <c r="F17" s="283">
        <v>30</v>
      </c>
      <c r="G17" s="284" t="s">
        <v>54</v>
      </c>
      <c r="H17" s="283">
        <v>35</v>
      </c>
      <c r="I17" s="283" t="s">
        <v>29</v>
      </c>
      <c r="J17" s="283">
        <v>-1</v>
      </c>
      <c r="K17" s="283" t="s">
        <v>34</v>
      </c>
      <c r="L17" s="285" t="s">
        <v>206</v>
      </c>
      <c r="M17" s="285" t="s">
        <v>161</v>
      </c>
      <c r="N17" s="321" t="s">
        <v>217</v>
      </c>
      <c r="O17" s="1"/>
      <c r="P17" s="1"/>
      <c r="Q17" s="1"/>
      <c r="R17" s="1"/>
      <c r="S17" s="1"/>
      <c r="T17" s="1"/>
      <c r="U17" s="1"/>
    </row>
    <row r="18" spans="1:21" thickBot="1" x14ac:dyDescent="0.35">
      <c r="A18" s="139"/>
      <c r="B18" s="59"/>
      <c r="C18" s="59"/>
      <c r="D18" s="59"/>
      <c r="E18" s="207"/>
      <c r="F18" s="208"/>
      <c r="G18" s="208"/>
      <c r="H18" s="208"/>
      <c r="I18" s="208"/>
      <c r="J18" s="209"/>
      <c r="K18" s="59"/>
      <c r="L18" s="59"/>
      <c r="M18" s="59"/>
      <c r="N18" s="59"/>
      <c r="O18" s="59"/>
      <c r="P18" s="59"/>
      <c r="Q18" s="59"/>
      <c r="R18" s="59"/>
      <c r="S18" s="59"/>
      <c r="T18" s="59"/>
      <c r="U18" s="59"/>
    </row>
    <row r="19" spans="1:21" thickBot="1" x14ac:dyDescent="0.35">
      <c r="A19" s="130" t="s">
        <v>86</v>
      </c>
      <c r="B19" s="99"/>
      <c r="C19" s="99"/>
      <c r="D19" s="34"/>
      <c r="E19" s="5"/>
      <c r="F19" s="54"/>
      <c r="G19" s="54"/>
      <c r="H19" s="54"/>
      <c r="I19" s="54"/>
      <c r="J19" s="35"/>
      <c r="K19" s="34"/>
      <c r="L19" s="34"/>
      <c r="M19" s="34"/>
      <c r="N19" s="34"/>
      <c r="O19" s="34"/>
      <c r="P19" s="34"/>
      <c r="Q19" s="34"/>
      <c r="R19" s="34"/>
      <c r="S19" s="34"/>
      <c r="T19" s="34"/>
      <c r="U19" s="34"/>
    </row>
    <row r="20" spans="1:21" ht="42.45" customHeight="1" thickBot="1" x14ac:dyDescent="0.35">
      <c r="A20" s="318" t="s">
        <v>559</v>
      </c>
      <c r="B20" s="99"/>
      <c r="C20" s="99"/>
      <c r="D20" s="34"/>
      <c r="E20" s="5"/>
      <c r="F20" s="54"/>
      <c r="G20" s="54"/>
      <c r="H20" s="54"/>
      <c r="I20" s="54"/>
      <c r="J20" s="35"/>
      <c r="K20" s="34"/>
      <c r="L20" s="34"/>
      <c r="M20" s="34"/>
      <c r="N20" s="34"/>
      <c r="O20" s="34"/>
      <c r="P20" s="34"/>
      <c r="Q20" s="34"/>
      <c r="R20" s="34"/>
      <c r="S20" s="34"/>
      <c r="T20" s="34"/>
      <c r="U20" s="34"/>
    </row>
    <row r="21" spans="1:21" thickBot="1" x14ac:dyDescent="0.35">
      <c r="A21" s="139"/>
      <c r="B21" s="79"/>
      <c r="C21" s="79"/>
      <c r="D21" s="79"/>
      <c r="E21" s="16"/>
      <c r="F21" s="81"/>
      <c r="G21" s="81"/>
      <c r="H21" s="81"/>
      <c r="I21" s="81"/>
      <c r="J21" s="91"/>
      <c r="K21" s="92"/>
      <c r="L21" s="92"/>
      <c r="M21" s="92"/>
      <c r="N21" s="92"/>
      <c r="O21" s="92"/>
      <c r="P21" s="92"/>
      <c r="Q21" s="92"/>
      <c r="R21" s="92"/>
      <c r="S21" s="92"/>
      <c r="T21" s="92"/>
      <c r="U21" s="92"/>
    </row>
    <row r="22" spans="1:21" thickBot="1" x14ac:dyDescent="0.35">
      <c r="A22" s="107" t="s">
        <v>60</v>
      </c>
      <c r="B22" s="108"/>
      <c r="C22" s="108"/>
      <c r="D22" s="108"/>
      <c r="E22" s="108"/>
      <c r="F22" s="108"/>
      <c r="G22" s="108"/>
      <c r="H22" s="108"/>
      <c r="I22" s="108"/>
      <c r="J22" s="108"/>
      <c r="K22" s="108"/>
      <c r="L22" s="108"/>
      <c r="M22" s="108"/>
      <c r="N22" s="108"/>
      <c r="O22" s="108"/>
      <c r="P22" s="108"/>
      <c r="Q22" s="108"/>
      <c r="R22" s="108"/>
      <c r="S22" s="108"/>
      <c r="T22" s="108"/>
      <c r="U22" s="123"/>
    </row>
    <row r="23" spans="1:21" thickBot="1" x14ac:dyDescent="0.35">
      <c r="A23" s="178" t="s">
        <v>82</v>
      </c>
      <c r="B23" s="179" t="s">
        <v>17</v>
      </c>
      <c r="C23" s="179" t="s">
        <v>147</v>
      </c>
      <c r="D23" s="180" t="s">
        <v>143</v>
      </c>
      <c r="E23" s="179" t="s">
        <v>148</v>
      </c>
      <c r="F23" s="179" t="s">
        <v>144</v>
      </c>
      <c r="G23" s="179" t="s">
        <v>149</v>
      </c>
      <c r="H23" s="179" t="s">
        <v>150</v>
      </c>
      <c r="I23" s="179" t="s">
        <v>151</v>
      </c>
      <c r="J23" s="179" t="s">
        <v>145</v>
      </c>
      <c r="K23" s="179" t="s">
        <v>152</v>
      </c>
      <c r="L23" s="179" t="s">
        <v>146</v>
      </c>
      <c r="M23" s="179" t="s">
        <v>153</v>
      </c>
      <c r="N23" s="179" t="s">
        <v>154</v>
      </c>
      <c r="O23" s="179" t="s">
        <v>156</v>
      </c>
      <c r="P23" s="179" t="s">
        <v>157</v>
      </c>
      <c r="Q23" s="179" t="s">
        <v>158</v>
      </c>
      <c r="R23" s="179" t="s">
        <v>159</v>
      </c>
      <c r="S23" s="181" t="s">
        <v>81</v>
      </c>
      <c r="T23" s="181" t="s">
        <v>160</v>
      </c>
      <c r="U23" s="164" t="s">
        <v>14</v>
      </c>
    </row>
    <row r="24" spans="1:21" ht="14.4" x14ac:dyDescent="0.3">
      <c r="A24" s="210" t="s">
        <v>461</v>
      </c>
      <c r="B24" s="211" t="s">
        <v>62</v>
      </c>
      <c r="C24" s="212">
        <f>sngprod_h1_ti</f>
        <v>610</v>
      </c>
      <c r="D24" s="213" t="s">
        <v>54</v>
      </c>
      <c r="E24" s="212">
        <f>sngprod_h1_to</f>
        <v>300</v>
      </c>
      <c r="F24" s="213" t="s">
        <v>54</v>
      </c>
      <c r="G24" s="214">
        <f>sngprod_h1_ho</f>
        <v>10200</v>
      </c>
      <c r="H24" s="213" t="s">
        <v>36</v>
      </c>
      <c r="I24" s="215">
        <v>0</v>
      </c>
      <c r="J24" s="213" t="s">
        <v>36</v>
      </c>
      <c r="K24" s="322">
        <f>(G24-I24)/M24/(C24-E24)*3600</f>
        <v>9.3202937212389489</v>
      </c>
      <c r="L24" s="216" t="s">
        <v>95</v>
      </c>
      <c r="M24" s="322">
        <f>syngastoSNGtotal</f>
        <v>12709</v>
      </c>
      <c r="N24" s="217" t="s">
        <v>27</v>
      </c>
      <c r="O24" s="211">
        <f>dtmin_gas</f>
        <v>8</v>
      </c>
      <c r="P24" s="217" t="s">
        <v>155</v>
      </c>
      <c r="Q24" s="215">
        <v>1</v>
      </c>
      <c r="R24" s="216" t="s">
        <v>55</v>
      </c>
      <c r="S24" s="215" t="s">
        <v>63</v>
      </c>
      <c r="T24" s="215" t="s">
        <v>162</v>
      </c>
      <c r="U24" s="325" t="s">
        <v>514</v>
      </c>
    </row>
    <row r="25" spans="1:21" ht="14.4" x14ac:dyDescent="0.3">
      <c r="A25" s="286" t="s">
        <v>462</v>
      </c>
      <c r="B25" s="287" t="s">
        <v>62</v>
      </c>
      <c r="C25" s="288">
        <f>sngprod_h2_ti</f>
        <v>462</v>
      </c>
      <c r="D25" s="289" t="s">
        <v>54</v>
      </c>
      <c r="E25" s="288">
        <f>sngprod_h2_to</f>
        <v>200</v>
      </c>
      <c r="F25" s="289" t="s">
        <v>54</v>
      </c>
      <c r="G25" s="290">
        <f>sngprod_h2_ho</f>
        <v>3889</v>
      </c>
      <c r="H25" s="289" t="s">
        <v>36</v>
      </c>
      <c r="I25" s="291">
        <v>0</v>
      </c>
      <c r="J25" s="289" t="s">
        <v>36</v>
      </c>
      <c r="K25" s="323">
        <f t="shared" ref="K25:K27" si="0">(G25-I25)/M25/(C25-E25)*3600</f>
        <v>4.2046298860157405</v>
      </c>
      <c r="L25" s="256" t="s">
        <v>95</v>
      </c>
      <c r="M25" s="323">
        <f>syngastoSNGtotal</f>
        <v>12709</v>
      </c>
      <c r="N25" s="292" t="s">
        <v>27</v>
      </c>
      <c r="O25" s="287">
        <f>dtmin_gas</f>
        <v>8</v>
      </c>
      <c r="P25" s="292" t="s">
        <v>155</v>
      </c>
      <c r="Q25" s="291">
        <v>1</v>
      </c>
      <c r="R25" s="256" t="s">
        <v>55</v>
      </c>
      <c r="S25" s="291" t="s">
        <v>63</v>
      </c>
      <c r="T25" s="291" t="s">
        <v>162</v>
      </c>
      <c r="U25" s="326" t="s">
        <v>515</v>
      </c>
    </row>
    <row r="26" spans="1:21" ht="14.4" x14ac:dyDescent="0.3">
      <c r="A26" s="286" t="s">
        <v>463</v>
      </c>
      <c r="B26" s="287" t="s">
        <v>62</v>
      </c>
      <c r="C26" s="288">
        <f>sngprod_h3_ti</f>
        <v>212</v>
      </c>
      <c r="D26" s="289" t="s">
        <v>54</v>
      </c>
      <c r="E26" s="288">
        <f>sngprod_h3_to</f>
        <v>30</v>
      </c>
      <c r="F26" s="289" t="s">
        <v>54</v>
      </c>
      <c r="G26" s="290">
        <f>sngprod_h3_ho</f>
        <v>6003</v>
      </c>
      <c r="H26" s="289" t="s">
        <v>36</v>
      </c>
      <c r="I26" s="291">
        <v>0</v>
      </c>
      <c r="J26" s="289" t="s">
        <v>36</v>
      </c>
      <c r="K26" s="323">
        <f t="shared" si="0"/>
        <v>9.3430371658399043</v>
      </c>
      <c r="L26" s="256" t="s">
        <v>95</v>
      </c>
      <c r="M26" s="323">
        <f>syngastoSNGtotal</f>
        <v>12709</v>
      </c>
      <c r="N26" s="292" t="s">
        <v>27</v>
      </c>
      <c r="O26" s="287">
        <f>dtmin_gas</f>
        <v>8</v>
      </c>
      <c r="P26" s="292" t="s">
        <v>155</v>
      </c>
      <c r="Q26" s="291">
        <v>1</v>
      </c>
      <c r="R26" s="256" t="s">
        <v>55</v>
      </c>
      <c r="S26" s="291" t="s">
        <v>63</v>
      </c>
      <c r="T26" s="291" t="s">
        <v>162</v>
      </c>
      <c r="U26" s="326" t="s">
        <v>516</v>
      </c>
    </row>
    <row r="27" spans="1:21" thickBot="1" x14ac:dyDescent="0.35">
      <c r="A27" s="218" t="s">
        <v>464</v>
      </c>
      <c r="B27" s="219" t="s">
        <v>61</v>
      </c>
      <c r="C27" s="220">
        <f>sngprod_c1_ti</f>
        <v>30</v>
      </c>
      <c r="D27" s="221" t="s">
        <v>54</v>
      </c>
      <c r="E27" s="220">
        <f>sngprod_c1_to</f>
        <v>250</v>
      </c>
      <c r="F27" s="221" t="s">
        <v>54</v>
      </c>
      <c r="G27" s="222">
        <v>0</v>
      </c>
      <c r="H27" s="221" t="s">
        <v>36</v>
      </c>
      <c r="I27" s="220">
        <f>sngprod_c1_ho</f>
        <v>2429</v>
      </c>
      <c r="J27" s="221" t="s">
        <v>36</v>
      </c>
      <c r="K27" s="324">
        <f t="shared" si="0"/>
        <v>3.1274901823332071</v>
      </c>
      <c r="L27" s="223" t="s">
        <v>95</v>
      </c>
      <c r="M27" s="324">
        <f>syngastoSNGtotal</f>
        <v>12709</v>
      </c>
      <c r="N27" s="221" t="s">
        <v>27</v>
      </c>
      <c r="O27" s="219">
        <f>dtmin_gas</f>
        <v>8</v>
      </c>
      <c r="P27" s="293" t="s">
        <v>155</v>
      </c>
      <c r="Q27" s="222">
        <v>1</v>
      </c>
      <c r="R27" s="223" t="s">
        <v>55</v>
      </c>
      <c r="S27" s="222" t="s">
        <v>63</v>
      </c>
      <c r="T27" s="222" t="s">
        <v>162</v>
      </c>
      <c r="U27" s="327" t="s">
        <v>356</v>
      </c>
    </row>
    <row r="28" spans="1:21" ht="15" customHeight="1" thickBot="1" x14ac:dyDescent="0.35"/>
    <row r="29" spans="1:21" ht="15.75" customHeight="1" thickBot="1" x14ac:dyDescent="0.35">
      <c r="A29" s="130" t="s">
        <v>74</v>
      </c>
      <c r="B29" s="96"/>
      <c r="C29" s="96"/>
      <c r="D29" s="47"/>
      <c r="E29" s="47"/>
      <c r="F29" s="47"/>
      <c r="G29" s="47"/>
      <c r="H29" s="47"/>
    </row>
    <row r="30" spans="1:21" ht="45" customHeight="1" thickBot="1" x14ac:dyDescent="0.35">
      <c r="A30" s="318" t="s">
        <v>547</v>
      </c>
      <c r="B30" s="96"/>
      <c r="C30" s="96"/>
      <c r="D30" s="34"/>
      <c r="E30" s="114"/>
      <c r="F30" s="114"/>
      <c r="G30" s="34"/>
      <c r="H30" s="34"/>
    </row>
    <row r="31" spans="1:21" ht="15.75" customHeight="1" thickBot="1" x14ac:dyDescent="0.35">
      <c r="A31" s="140"/>
      <c r="B31" s="79"/>
      <c r="C31" s="79"/>
      <c r="D31" s="79"/>
      <c r="E31" s="79"/>
      <c r="F31" s="92"/>
      <c r="G31" s="92"/>
      <c r="H31" s="92"/>
    </row>
    <row r="32" spans="1:21" ht="15.75" customHeight="1" thickBot="1" x14ac:dyDescent="0.35">
      <c r="A32" s="159" t="s">
        <v>64</v>
      </c>
      <c r="B32" s="160"/>
      <c r="C32" s="160"/>
      <c r="D32" s="160"/>
      <c r="E32" s="160"/>
      <c r="F32" s="160"/>
      <c r="G32" s="161"/>
      <c r="H32" s="65" t="s">
        <v>163</v>
      </c>
    </row>
    <row r="33" spans="1:8" ht="15.75" customHeight="1" thickBot="1" x14ac:dyDescent="0.35">
      <c r="A33" s="134" t="s">
        <v>82</v>
      </c>
      <c r="B33" s="135" t="s">
        <v>17</v>
      </c>
      <c r="C33" s="135" t="s">
        <v>138</v>
      </c>
      <c r="D33" s="135" t="s">
        <v>139</v>
      </c>
      <c r="E33" s="135" t="s">
        <v>83</v>
      </c>
      <c r="F33" s="135" t="s">
        <v>57</v>
      </c>
      <c r="G33" s="137" t="s">
        <v>5</v>
      </c>
      <c r="H33" s="67"/>
    </row>
    <row r="34" spans="1:8" ht="15.75" customHeight="1" x14ac:dyDescent="0.3">
      <c r="A34" s="328" t="s">
        <v>550</v>
      </c>
      <c r="B34" s="329" t="s">
        <v>536</v>
      </c>
      <c r="C34" s="329" t="s">
        <v>548</v>
      </c>
      <c r="D34" s="330" t="s">
        <v>436</v>
      </c>
      <c r="E34" s="329" t="s">
        <v>549</v>
      </c>
      <c r="F34" s="329">
        <v>56681</v>
      </c>
      <c r="G34" s="331" t="s">
        <v>36</v>
      </c>
      <c r="H34" s="316"/>
    </row>
    <row r="35" spans="1:8" ht="15.75" customHeight="1" x14ac:dyDescent="0.3">
      <c r="A35" s="332"/>
      <c r="B35" s="333"/>
      <c r="C35" s="333"/>
      <c r="D35" s="334"/>
      <c r="E35" s="333" t="s">
        <v>551</v>
      </c>
      <c r="F35" s="333">
        <v>3</v>
      </c>
      <c r="G35" s="335" t="s">
        <v>37</v>
      </c>
      <c r="H35" s="316"/>
    </row>
    <row r="36" spans="1:8" ht="15.75" customHeight="1" x14ac:dyDescent="0.3">
      <c r="A36" s="332"/>
      <c r="B36" s="333"/>
      <c r="C36" s="333"/>
      <c r="D36" s="334"/>
      <c r="E36" s="333" t="s">
        <v>71</v>
      </c>
      <c r="F36" s="333">
        <v>35</v>
      </c>
      <c r="G36" s="335" t="s">
        <v>29</v>
      </c>
      <c r="H36" s="317"/>
    </row>
    <row r="37" spans="1:8" ht="15.75" customHeight="1" x14ac:dyDescent="0.3">
      <c r="A37" s="332"/>
      <c r="B37" s="333"/>
      <c r="C37" s="333"/>
      <c r="D37" s="334"/>
      <c r="E37" s="333" t="s">
        <v>552</v>
      </c>
      <c r="F37" s="333">
        <v>610</v>
      </c>
      <c r="G37" s="335" t="s">
        <v>54</v>
      </c>
      <c r="H37" s="317"/>
    </row>
    <row r="38" spans="1:8" ht="15.75" customHeight="1" x14ac:dyDescent="0.3">
      <c r="A38" s="332"/>
      <c r="B38" s="333"/>
      <c r="C38" s="333"/>
      <c r="D38" s="334"/>
      <c r="E38" s="333" t="s">
        <v>141</v>
      </c>
      <c r="F38" s="333" t="s">
        <v>529</v>
      </c>
      <c r="G38" s="335" t="s">
        <v>37</v>
      </c>
      <c r="H38" s="317"/>
    </row>
    <row r="39" spans="1:8" ht="15.75" customHeight="1" x14ac:dyDescent="0.3">
      <c r="A39" s="332"/>
      <c r="B39" s="333"/>
      <c r="C39" s="333"/>
      <c r="D39" s="334"/>
      <c r="E39" s="333" t="s">
        <v>67</v>
      </c>
      <c r="F39" s="333">
        <v>20</v>
      </c>
      <c r="G39" s="335" t="s">
        <v>70</v>
      </c>
      <c r="H39" s="317"/>
    </row>
    <row r="40" spans="1:8" ht="15.75" customHeight="1" x14ac:dyDescent="0.3">
      <c r="A40" s="332"/>
      <c r="B40" s="333"/>
      <c r="C40" s="333"/>
      <c r="D40" s="334"/>
      <c r="E40" s="333" t="s">
        <v>69</v>
      </c>
      <c r="F40" s="333">
        <v>2025</v>
      </c>
      <c r="G40" s="335" t="s">
        <v>70</v>
      </c>
      <c r="H40" s="317"/>
    </row>
    <row r="41" spans="1:8" ht="15.75" customHeight="1" x14ac:dyDescent="0.3">
      <c r="A41" s="332" t="s">
        <v>553</v>
      </c>
      <c r="B41" s="333" t="s">
        <v>531</v>
      </c>
      <c r="C41" s="333" t="s">
        <v>532</v>
      </c>
      <c r="D41" s="334" t="s">
        <v>554</v>
      </c>
      <c r="E41" s="333" t="s">
        <v>555</v>
      </c>
      <c r="F41" s="333">
        <v>20092</v>
      </c>
      <c r="G41" s="335" t="s">
        <v>36</v>
      </c>
      <c r="H41" s="317"/>
    </row>
    <row r="42" spans="1:8" ht="15.75" customHeight="1" x14ac:dyDescent="0.3">
      <c r="A42" s="332"/>
      <c r="B42" s="333"/>
      <c r="C42" s="333"/>
      <c r="D42" s="334"/>
      <c r="E42" s="333" t="s">
        <v>534</v>
      </c>
      <c r="F42" s="333">
        <v>4</v>
      </c>
      <c r="G42" s="335" t="s">
        <v>37</v>
      </c>
      <c r="H42" s="317"/>
    </row>
    <row r="43" spans="1:8" ht="15.75" customHeight="1" x14ac:dyDescent="0.3">
      <c r="A43" s="332"/>
      <c r="B43" s="333"/>
      <c r="C43" s="333"/>
      <c r="D43" s="334"/>
      <c r="E43" s="333" t="s">
        <v>141</v>
      </c>
      <c r="F43" s="333" t="s">
        <v>529</v>
      </c>
      <c r="G43" s="335" t="s">
        <v>37</v>
      </c>
      <c r="H43" s="317"/>
    </row>
    <row r="44" spans="1:8" ht="15.75" customHeight="1" x14ac:dyDescent="0.3">
      <c r="A44" s="332"/>
      <c r="B44" s="333"/>
      <c r="C44" s="333"/>
      <c r="D44" s="334"/>
      <c r="E44" s="333" t="s">
        <v>67</v>
      </c>
      <c r="F44" s="333">
        <v>20</v>
      </c>
      <c r="G44" s="335" t="s">
        <v>70</v>
      </c>
      <c r="H44" s="317"/>
    </row>
    <row r="45" spans="1:8" ht="15.75" customHeight="1" x14ac:dyDescent="0.3">
      <c r="A45" s="332"/>
      <c r="B45" s="333"/>
      <c r="C45" s="333"/>
      <c r="D45" s="334"/>
      <c r="E45" s="333" t="s">
        <v>69</v>
      </c>
      <c r="F45" s="333">
        <v>2025</v>
      </c>
      <c r="G45" s="335" t="s">
        <v>70</v>
      </c>
      <c r="H45" s="317"/>
    </row>
    <row r="46" spans="1:8" ht="15.75" customHeight="1" x14ac:dyDescent="0.3">
      <c r="A46" s="332" t="s">
        <v>556</v>
      </c>
      <c r="B46" s="333" t="s">
        <v>542</v>
      </c>
      <c r="C46" s="333" t="s">
        <v>557</v>
      </c>
      <c r="D46" s="334" t="s">
        <v>436</v>
      </c>
      <c r="E46" s="333" t="s">
        <v>558</v>
      </c>
      <c r="F46" s="333">
        <v>4081</v>
      </c>
      <c r="G46" s="335" t="s">
        <v>27</v>
      </c>
      <c r="H46" s="317"/>
    </row>
    <row r="47" spans="1:8" ht="15.75" customHeight="1" x14ac:dyDescent="0.3">
      <c r="A47" s="332"/>
      <c r="B47" s="333"/>
      <c r="C47" s="333"/>
      <c r="D47" s="334"/>
      <c r="E47" s="333" t="s">
        <v>141</v>
      </c>
      <c r="F47" s="333" t="s">
        <v>142</v>
      </c>
      <c r="G47" s="335" t="s">
        <v>37</v>
      </c>
      <c r="H47" s="317"/>
    </row>
    <row r="48" spans="1:8" ht="15.75" customHeight="1" x14ac:dyDescent="0.3">
      <c r="A48" s="332"/>
      <c r="B48" s="333"/>
      <c r="C48" s="333"/>
      <c r="D48" s="334"/>
      <c r="E48" s="333" t="s">
        <v>67</v>
      </c>
      <c r="F48" s="333">
        <v>20</v>
      </c>
      <c r="G48" s="335" t="s">
        <v>70</v>
      </c>
      <c r="H48" s="317"/>
    </row>
    <row r="49" spans="1:8" ht="15.75" customHeight="1" thickBot="1" x14ac:dyDescent="0.35">
      <c r="A49" s="336"/>
      <c r="B49" s="337"/>
      <c r="C49" s="337"/>
      <c r="D49" s="338"/>
      <c r="E49" s="337" t="s">
        <v>69</v>
      </c>
      <c r="F49" s="337">
        <v>2025</v>
      </c>
      <c r="G49" s="339" t="s">
        <v>70</v>
      </c>
      <c r="H49" s="317"/>
    </row>
    <row r="50" spans="1:8" ht="15.75" customHeight="1" x14ac:dyDescent="0.3">
      <c r="A50" s="110"/>
      <c r="B50" s="110"/>
      <c r="C50" s="110"/>
      <c r="D50" s="157"/>
      <c r="E50" s="110"/>
      <c r="F50" s="110"/>
      <c r="G50" s="110"/>
      <c r="H50" s="313"/>
    </row>
    <row r="51" spans="1:8" ht="15.75" customHeight="1" thickBot="1" x14ac:dyDescent="0.35">
      <c r="A51" s="131"/>
      <c r="B51" s="69"/>
      <c r="D51" s="69"/>
      <c r="E51" s="69"/>
      <c r="F51" s="70"/>
      <c r="G51" s="70"/>
      <c r="H51" s="93"/>
    </row>
    <row r="52" spans="1:8" thickBot="1" x14ac:dyDescent="0.35">
      <c r="A52" s="130" t="s">
        <v>75</v>
      </c>
      <c r="B52" s="32"/>
      <c r="C52" s="32"/>
      <c r="D52" s="93"/>
      <c r="E52" s="93"/>
      <c r="F52" s="93"/>
      <c r="G52" s="93"/>
      <c r="H52" s="32"/>
    </row>
    <row r="53" spans="1:8" ht="33.6" customHeight="1" thickBot="1" x14ac:dyDescent="0.35">
      <c r="A53" s="138" t="s">
        <v>72</v>
      </c>
      <c r="B53" s="32"/>
      <c r="C53" s="32"/>
      <c r="D53" s="32"/>
      <c r="E53" s="32"/>
      <c r="F53" s="32"/>
      <c r="G53" s="32"/>
      <c r="H53" s="30"/>
    </row>
    <row r="54" spans="1:8" ht="15.75" customHeight="1" thickBot="1" x14ac:dyDescent="0.35">
      <c r="A54" s="38"/>
      <c r="B54" s="94"/>
      <c r="C54" s="74"/>
      <c r="D54" s="32"/>
      <c r="E54" s="30"/>
      <c r="F54" s="30"/>
      <c r="G54" s="30"/>
      <c r="H54" s="95"/>
    </row>
    <row r="55" spans="1:8" ht="15.75" customHeight="1" thickBot="1" x14ac:dyDescent="0.35">
      <c r="A55" s="73" t="s">
        <v>87</v>
      </c>
      <c r="B55" s="30"/>
      <c r="C55" s="95"/>
      <c r="D55" s="95"/>
      <c r="E55" s="95"/>
      <c r="F55" s="95"/>
      <c r="G55" s="95"/>
      <c r="H55" s="66"/>
    </row>
    <row r="56" spans="1:8" ht="15.75" customHeight="1" thickBot="1" x14ac:dyDescent="0.35">
      <c r="A56" s="309" t="s">
        <v>84</v>
      </c>
      <c r="B56" s="310" t="s">
        <v>85</v>
      </c>
      <c r="C56" s="66"/>
      <c r="D56" s="66"/>
      <c r="E56" s="66"/>
      <c r="F56" s="66"/>
      <c r="G56" s="66"/>
      <c r="H56" s="66"/>
    </row>
    <row r="57" spans="1:8" ht="15.75" customHeight="1" thickBot="1" x14ac:dyDescent="0.35">
      <c r="A57" s="311">
        <v>0</v>
      </c>
      <c r="B57" s="312">
        <v>0</v>
      </c>
      <c r="C57" s="66"/>
      <c r="D57" s="66"/>
      <c r="E57" s="66"/>
      <c r="F57" s="66"/>
      <c r="G57" s="66"/>
      <c r="H57" s="66"/>
    </row>
  </sheetData>
  <dataValidations count="4">
    <dataValidation type="list" allowBlank="1" showErrorMessage="1" sqref="C14:C17" xr:uid="{00000000-0002-0000-0500-000000000000}">
      <formula1>"IN,OUT"</formula1>
    </dataValidation>
    <dataValidation type="list" allowBlank="1" showErrorMessage="1" sqref="B14:B17" xr:uid="{00000000-0002-0000-0500-000001000000}">
      <formula1>"MASS,ELECTRICITY,EMISSIONS,ENERGY"</formula1>
    </dataValidation>
    <dataValidation type="list" allowBlank="1" showErrorMessage="1" sqref="B27" xr:uid="{00000000-0002-0000-0500-000002000000}">
      <formula1>"Cold,Hot"</formula1>
    </dataValidation>
    <dataValidation type="list" errorStyle="information" allowBlank="1" showInputMessage="1" showErrorMessage="1" sqref="E14:E17 G14:G17 I14:I17 D24:D27 F24:F27 H24:H27 J24:J27 L24:L27 N24:N27 P24:P27 R24:R27 G34:G50" xr:uid="{31DBDB36-C5DE-4233-BE09-102C6705933E}">
      <formula1>"-,kg,s,m,K,°C,W,bar,kg/h,t/h,kW,kW/m2K,W/m2K,kJ/kgK,kJ/kg,m3/h,%,eur,eur/y,kWel/kWth,year"</formula1>
    </dataValidation>
  </dataValidations>
  <pageMargins left="0.7" right="0.7" top="0.75" bottom="0.75" header="0" footer="0"/>
  <pageSetup orientation="landscape"/>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70" zoomScaleNormal="70" workbookViewId="0">
      <selection activeCell="H38" sqref="H38"/>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41" t="s">
        <v>127</v>
      </c>
      <c r="B1" s="142" t="s">
        <v>57</v>
      </c>
      <c r="C1" s="143" t="s">
        <v>18</v>
      </c>
    </row>
    <row r="2" spans="1:3" ht="15" customHeight="1" thickBot="1" x14ac:dyDescent="0.35">
      <c r="A2" s="272" t="s">
        <v>37</v>
      </c>
      <c r="B2" s="273" t="s">
        <v>37</v>
      </c>
      <c r="C2" s="274" t="s">
        <v>37</v>
      </c>
    </row>
  </sheetData>
  <dataValidations count="1">
    <dataValidation type="list" errorStyle="information" allowBlank="1" showInputMessage="1" showErrorMessage="1" sqref="C2" xr:uid="{95A2B5DB-3849-47D8-AA95-7C359F89CCA3}">
      <formula1>"-,kg,s,m,K,°C,W,bar,kg/h,t/h,kW,kW/m2K,W/m2K,kJ/kgK,kJ/kg,m3/h,%,eur,eur/y,kWel/kWth,year"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F18" sqref="F18"/>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111" t="s">
        <v>121</v>
      </c>
      <c r="B1" s="109"/>
      <c r="C1" s="109"/>
      <c r="D1" s="109"/>
      <c r="E1" s="109"/>
      <c r="F1" s="109"/>
      <c r="G1" s="123"/>
    </row>
    <row r="2" spans="1:7" ht="15" thickBot="1" x14ac:dyDescent="0.35">
      <c r="A2" s="122" t="s">
        <v>122</v>
      </c>
      <c r="B2" s="112" t="s">
        <v>82</v>
      </c>
      <c r="C2" s="112" t="s">
        <v>17</v>
      </c>
      <c r="D2" s="112" t="s">
        <v>120</v>
      </c>
      <c r="E2" s="112" t="s">
        <v>119</v>
      </c>
      <c r="F2" s="112" t="s">
        <v>118</v>
      </c>
      <c r="G2" s="113" t="s">
        <v>103</v>
      </c>
    </row>
    <row r="3" spans="1:7" x14ac:dyDescent="0.3">
      <c r="A3" s="124">
        <v>1</v>
      </c>
      <c r="B3" s="125" t="s">
        <v>450</v>
      </c>
      <c r="C3" s="125" t="s">
        <v>128</v>
      </c>
      <c r="D3" s="125" t="s">
        <v>129</v>
      </c>
      <c r="E3" s="125" t="s">
        <v>130</v>
      </c>
      <c r="F3" s="125" t="s">
        <v>195</v>
      </c>
      <c r="G3" s="126">
        <v>45974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G20" sqref="G20"/>
    </sheetView>
  </sheetViews>
  <sheetFormatPr defaultColWidth="14.44140625" defaultRowHeight="15" customHeight="1" x14ac:dyDescent="0.3"/>
  <cols>
    <col min="2" max="2" width="29.77734375" bestFit="1" customWidth="1"/>
  </cols>
  <sheetData>
    <row r="1" spans="1:4" ht="14.4" x14ac:dyDescent="0.3">
      <c r="A1" s="117" t="s">
        <v>101</v>
      </c>
      <c r="B1" s="117" t="s">
        <v>125</v>
      </c>
      <c r="C1" s="117" t="s">
        <v>123</v>
      </c>
      <c r="D1" s="117" t="s">
        <v>124</v>
      </c>
    </row>
    <row r="2" spans="1:4" ht="15" customHeight="1" x14ac:dyDescent="0.3">
      <c r="A2" s="118">
        <v>1</v>
      </c>
      <c r="B2" s="119" t="s">
        <v>195</v>
      </c>
      <c r="C2" s="120">
        <v>45974</v>
      </c>
      <c r="D2" s="121" t="s">
        <v>126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2824D-66C5-4694-AF3F-D3D9E1A10759}">
  <sheetPr codeName="Sheet12"/>
  <dimension ref="A1:A33"/>
  <sheetViews>
    <sheetView showGridLines="0" tabSelected="1" workbookViewId="0">
      <selection activeCell="D10" sqref="D10"/>
    </sheetView>
  </sheetViews>
  <sheetFormatPr defaultRowHeight="14.4" x14ac:dyDescent="0.3"/>
  <cols>
    <col min="1" max="1" width="140.77734375" style="384" customWidth="1"/>
    <col min="2" max="16384" width="8.88671875" style="384"/>
  </cols>
  <sheetData>
    <row r="1" spans="1:1" ht="15" thickBot="1" x14ac:dyDescent="0.35">
      <c r="A1" s="385" t="s">
        <v>572</v>
      </c>
    </row>
    <row r="2" spans="1:1" ht="28.8" x14ac:dyDescent="0.3">
      <c r="A2" s="384" t="s">
        <v>566</v>
      </c>
    </row>
    <row r="3" spans="1:1" ht="15" thickBot="1" x14ac:dyDescent="0.35"/>
    <row r="4" spans="1:1" ht="15" thickBot="1" x14ac:dyDescent="0.35">
      <c r="A4" s="385" t="s">
        <v>567</v>
      </c>
    </row>
    <row r="5" spans="1:1" x14ac:dyDescent="0.3">
      <c r="A5" s="384" t="str">
        <f>"Methanol Consumption: "&amp;TEXT(MeOH_feed,"#,##0")&amp;" kg/h | Syngas Production: "&amp;TEXT(syngastoSNGtotal,"#,##0")&amp;" kg/h."</f>
        <v>Methanol Consumption: 12,103 kg/h | Syngas Production: 12,709 kg/h.</v>
      </c>
    </row>
    <row r="6" spans="1:1" x14ac:dyDescent="0.3">
      <c r="A6" s="384" t="str">
        <f>"Electrical Demand: "&amp;TEXT(e_demand,"#,##0")&amp;" kW (primarily for O2 compression and feed pumping)."</f>
        <v>Electrical Demand: 219 kW (primarily for O2 compression and feed pumping).</v>
      </c>
    </row>
    <row r="7" spans="1:1" x14ac:dyDescent="0.3">
      <c r="A7" s="384" t="s">
        <v>561</v>
      </c>
    </row>
    <row r="8" spans="1:1" ht="15" thickBot="1" x14ac:dyDescent="0.35"/>
    <row r="9" spans="1:1" ht="15" thickBot="1" x14ac:dyDescent="0.35">
      <c r="A9" s="385" t="s">
        <v>568</v>
      </c>
    </row>
    <row r="10" spans="1:1" ht="28.8" x14ac:dyDescent="0.3">
      <c r="A10" s="384" t="s">
        <v>569</v>
      </c>
    </row>
    <row r="11" spans="1:1" x14ac:dyDescent="0.3">
      <c r="A11" s="384" t="s">
        <v>570</v>
      </c>
    </row>
    <row r="12" spans="1:1" x14ac:dyDescent="0.3">
      <c r="A12" s="384" t="str">
        <f>"SNG Production: "&amp;TEXT(CH4massflow,"#,##0")&amp;" kg/h (~"&amp;TEXT(CH4energyflow,"#,##0")&amp;" kW)."</f>
        <v>SNG Production: 4,081 kg/h (~56,681 kW).</v>
      </c>
    </row>
    <row r="13" spans="1:1" x14ac:dyDescent="0.3">
      <c r="A13" s="384" t="str">
        <f>"Water Byproduct: "&amp;TEXT(Condensateflow,"0.00")&amp;" m³/h recovered from the reaction."</f>
        <v>Water Byproduct: 7.06 m³/h recovered from the reaction.</v>
      </c>
    </row>
    <row r="14" spans="1:1" ht="15" thickBot="1" x14ac:dyDescent="0.35"/>
    <row r="15" spans="1:1" ht="15" thickBot="1" x14ac:dyDescent="0.35">
      <c r="A15" s="385" t="s">
        <v>564</v>
      </c>
    </row>
    <row r="16" spans="1:1" x14ac:dyDescent="0.3">
      <c r="A16" s="384" t="str">
        <f>"MeOH Reformer Investment: "&amp;TEXT(Cinv2_Reform,"#,##0")&amp;" EUR/y."</f>
        <v>MeOH Reformer Investment: 1,915,089 EUR/y.</v>
      </c>
    </row>
    <row r="17" spans="1:1" x14ac:dyDescent="0.3">
      <c r="A17" s="384" t="str">
        <f>"Methanator Investment: "&amp;TEXT(Cinv2_SyngastoSNG,"#,##0")&amp;" EUR/y (Specific cost: 300 EUR/kW)."</f>
        <v>Methanator Investment: 1,130,123 EUR/y (Specific cost: 300 EUR/kW).</v>
      </c>
    </row>
    <row r="18" spans="1:1" ht="15" thickBot="1" x14ac:dyDescent="0.35"/>
    <row r="19" spans="1:1" ht="15" thickBot="1" x14ac:dyDescent="0.35">
      <c r="A19" s="385" t="s">
        <v>565</v>
      </c>
    </row>
    <row r="20" spans="1:1" x14ac:dyDescent="0.3">
      <c r="A20" s="384" t="str">
        <f>"Methanol pumped to reformer: "&amp;TEXT(MeOH_feed,"#,##0.00")&amp;" "&amp;"kg/h"</f>
        <v>Methanol pumped to reformer: 12,103.00 kg/h</v>
      </c>
    </row>
    <row r="21" spans="1:1" x14ac:dyDescent="0.3">
      <c r="A21" s="384" t="str">
        <f>"Water consumption : "&amp;TEXT(water_feed,"#,##0.00")&amp;" "&amp;"kg/h"</f>
        <v>Water consumption : 14,953.00 kg/h</v>
      </c>
    </row>
    <row r="22" spans="1:1" x14ac:dyDescent="0.3">
      <c r="A22" s="384" t="str">
        <f>"Oxygen consumption: "&amp;TEXT(O2_feed,"#,##0.00")&amp;" "&amp;"kg/h"</f>
        <v>Oxygen consumption: 1,760.00 kg/h</v>
      </c>
    </row>
    <row r="23" spans="1:1" x14ac:dyDescent="0.3">
      <c r="A23" s="384" t="str">
        <f>"Mass flow rate of syngas to methanator : "&amp;TEXT(syngastoSNGtotal,"#,##0.00")&amp;" "&amp;"kg/h"</f>
        <v>Mass flow rate of syngas to methanator : 12,709.00 kg/h</v>
      </c>
    </row>
    <row r="24" spans="1:1" x14ac:dyDescent="0.3">
      <c r="A24" s="384" t="str">
        <f>"Mass flow of produced methane: "&amp;TEXT(CH4massflow,"#,##0.00")&amp;" "&amp;"kg/h"</f>
        <v>Mass flow of produced methane: 4,081.00 kg/h</v>
      </c>
    </row>
    <row r="25" spans="1:1" x14ac:dyDescent="0.3">
      <c r="A25" s="384" t="str">
        <f>"Energy flow rate of produced methane: "&amp;TEXT(CH4energyflow,"#,##0.00")&amp;" "&amp;"kW"</f>
        <v>Energy flow rate of produced methane: 56,680.56 kW</v>
      </c>
    </row>
    <row r="26" spans="1:1" x14ac:dyDescent="0.3">
      <c r="A26" s="384" t="str">
        <f>"Total power consumption: "&amp;TEXT(e_demand,"#,##0.00")&amp;" "&amp;"kW"</f>
        <v>Total power consumption: 219.00 kW</v>
      </c>
    </row>
    <row r="27" spans="1:1" x14ac:dyDescent="0.3">
      <c r="A27" s="384" t="str">
        <f>"Low pressure CO2 separated in the PSA unit: "&amp;TEXT(CO2sep,"#,##0.00")&amp;" "&amp;"kg/h"</f>
        <v>Low pressure CO2 separated in the PSA unit: 5,375.00 kg/h</v>
      </c>
    </row>
    <row r="28" spans="1:1" x14ac:dyDescent="0.3">
      <c r="A28" s="384" t="str">
        <f>"Temperature inlet of the first methanator intercooler: "&amp;TEXT(sngprod_h1_ti,"#,##0.00")&amp;" "&amp;"°C"</f>
        <v>Temperature inlet of the first methanator intercooler: 610.00 °C</v>
      </c>
    </row>
    <row r="29" spans="1:1" x14ac:dyDescent="0.3">
      <c r="A29" s="384" t="str">
        <f>"Investment cost of the reforming section: "&amp;TEXT(Cinv2_Reform,"#,##0.00")&amp;" "&amp;"Eur/y"</f>
        <v>Investment cost of the reforming section: 1,915,089.16 Eur/y</v>
      </c>
    </row>
    <row r="30" spans="1:1" x14ac:dyDescent="0.3">
      <c r="A30" s="384" t="str">
        <f>"Investment cost of the methanation section: "&amp;TEXT(Cinv2_SyngastoSNG,"#,##0.00")&amp;" "&amp;"Eur/y"</f>
        <v>Investment cost of the methanation section: 1,130,123.03 Eur/y</v>
      </c>
    </row>
    <row r="31" spans="1:1" ht="15" thickBot="1" x14ac:dyDescent="0.35"/>
    <row r="32" spans="1:1" ht="15" thickBot="1" x14ac:dyDescent="0.35">
      <c r="A32" s="385" t="s">
        <v>571</v>
      </c>
    </row>
    <row r="33" spans="1:1" ht="28.8" x14ac:dyDescent="0.3">
      <c r="A33" s="384" t="s">
        <v>513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140</vt:i4>
      </vt:variant>
    </vt:vector>
  </HeadingPairs>
  <TitlesOfParts>
    <vt:vector size="150" baseType="lpstr">
      <vt:lpstr>README</vt:lpstr>
      <vt:lpstr>METADATA</vt:lpstr>
      <vt:lpstr>CONNECTORS</vt:lpstr>
      <vt:lpstr>VARIABLES</vt:lpstr>
      <vt:lpstr>MeOHReform</vt:lpstr>
      <vt:lpstr>SyngasMethanator</vt:lpstr>
      <vt:lpstr>CALCULATIONS</vt:lpstr>
      <vt:lpstr>SUPPL MATERIAL</vt:lpstr>
      <vt:lpstr>CHANGELOG</vt:lpstr>
      <vt:lpstr>DOCUMENTATION</vt:lpstr>
      <vt:lpstr>Annuity</vt:lpstr>
      <vt:lpstr>Annuity_min</vt:lpstr>
      <vt:lpstr>CEPCI_2020</vt:lpstr>
      <vt:lpstr>CEPCI_2020_min</vt:lpstr>
      <vt:lpstr>CH4energyflow</vt:lpstr>
      <vt:lpstr>CH4energyflow_min</vt:lpstr>
      <vt:lpstr>CH4massflow</vt:lpstr>
      <vt:lpstr>CH4massflow_min</vt:lpstr>
      <vt:lpstr>CH4molflow</vt:lpstr>
      <vt:lpstr>CH4molflow_min</vt:lpstr>
      <vt:lpstr>Cinv2_Reform</vt:lpstr>
      <vt:lpstr>Cinv2_Reform_min</vt:lpstr>
      <vt:lpstr>Cinv2_SyngastoSNG</vt:lpstr>
      <vt:lpstr>Cinv2_SyngastoSNG_min</vt:lpstr>
      <vt:lpstr>CO2sep</vt:lpstr>
      <vt:lpstr>CO2sep_min</vt:lpstr>
      <vt:lpstr>CO2unconverted</vt:lpstr>
      <vt:lpstr>CO2unconverted_min</vt:lpstr>
      <vt:lpstr>Condensateflow</vt:lpstr>
      <vt:lpstr>Condensateflow_min</vt:lpstr>
      <vt:lpstr>dtmin_gas</vt:lpstr>
      <vt:lpstr>dtmin_gas_min</vt:lpstr>
      <vt:lpstr>e_demand</vt:lpstr>
      <vt:lpstr>e_demand_min</vt:lpstr>
      <vt:lpstr>e_o2_1</vt:lpstr>
      <vt:lpstr>e_o2_1_min</vt:lpstr>
      <vt:lpstr>e_o2_2</vt:lpstr>
      <vt:lpstr>e_o2_2_min</vt:lpstr>
      <vt:lpstr>e_o2_3</vt:lpstr>
      <vt:lpstr>e_o2_3_min</vt:lpstr>
      <vt:lpstr>e_o2_4</vt:lpstr>
      <vt:lpstr>e_o2_4_min</vt:lpstr>
      <vt:lpstr>e_pump_1</vt:lpstr>
      <vt:lpstr>e_pump_1_min</vt:lpstr>
      <vt:lpstr>e_pump_2</vt:lpstr>
      <vt:lpstr>e_pump_2_min</vt:lpstr>
      <vt:lpstr>FeedstockATR</vt:lpstr>
      <vt:lpstr>FeedstockATR_min</vt:lpstr>
      <vt:lpstr>gas_h11_ho</vt:lpstr>
      <vt:lpstr>gas_h11_ho_min</vt:lpstr>
      <vt:lpstr>gas_h11_ti</vt:lpstr>
      <vt:lpstr>gas_h11_ti_min</vt:lpstr>
      <vt:lpstr>gas_h11_to</vt:lpstr>
      <vt:lpstr>gas_h11_to_min</vt:lpstr>
      <vt:lpstr>gas_h12_ho</vt:lpstr>
      <vt:lpstr>gas_h12_ho_min</vt:lpstr>
      <vt:lpstr>gas_h12_ti</vt:lpstr>
      <vt:lpstr>gas_h12_ti_min</vt:lpstr>
      <vt:lpstr>gas_h12_to</vt:lpstr>
      <vt:lpstr>gas_h12_to_min</vt:lpstr>
      <vt:lpstr>i</vt:lpstr>
      <vt:lpstr>i_min</vt:lpstr>
      <vt:lpstr>LHV_CH4</vt:lpstr>
      <vt:lpstr>LHV_CH4_min</vt:lpstr>
      <vt:lpstr>MeOH_feed</vt:lpstr>
      <vt:lpstr>MeOH_feed_min</vt:lpstr>
      <vt:lpstr>mix_c1_ho</vt:lpstr>
      <vt:lpstr>mix_c1_ho_min</vt:lpstr>
      <vt:lpstr>mix_c1_ti</vt:lpstr>
      <vt:lpstr>mix_c1_ti_min</vt:lpstr>
      <vt:lpstr>mix_c1_to</vt:lpstr>
      <vt:lpstr>mix_c1_to_min</vt:lpstr>
      <vt:lpstr>mix_c2_ho</vt:lpstr>
      <vt:lpstr>mix_c2_ho_min</vt:lpstr>
      <vt:lpstr>mix_c2_ti</vt:lpstr>
      <vt:lpstr>mix_c2_ti_min</vt:lpstr>
      <vt:lpstr>mix_c2_to</vt:lpstr>
      <vt:lpstr>mix_c2_to_min</vt:lpstr>
      <vt:lpstr>mix_c3_ho</vt:lpstr>
      <vt:lpstr>mix_c3_ho_min</vt:lpstr>
      <vt:lpstr>mix_c3_ti</vt:lpstr>
      <vt:lpstr>mix_c3_ti_min</vt:lpstr>
      <vt:lpstr>mix_c3_to</vt:lpstr>
      <vt:lpstr>mix_c3_to_min</vt:lpstr>
      <vt:lpstr>n</vt:lpstr>
      <vt:lpstr>n_min</vt:lpstr>
      <vt:lpstr>O2_feed</vt:lpstr>
      <vt:lpstr>O2_feed_min</vt:lpstr>
      <vt:lpstr>o2_h1_ho</vt:lpstr>
      <vt:lpstr>o2_h1_ho_min</vt:lpstr>
      <vt:lpstr>o2_h1_ti</vt:lpstr>
      <vt:lpstr>o2_h1_ti_min</vt:lpstr>
      <vt:lpstr>o2_h1_to</vt:lpstr>
      <vt:lpstr>o2_h1_to_min</vt:lpstr>
      <vt:lpstr>o2_h2_ho</vt:lpstr>
      <vt:lpstr>o2_h2_ho_min</vt:lpstr>
      <vt:lpstr>o2_h2_ti</vt:lpstr>
      <vt:lpstr>o2_h2_ti_min</vt:lpstr>
      <vt:lpstr>o2_h2_to</vt:lpstr>
      <vt:lpstr>o2_h2_to_min</vt:lpstr>
      <vt:lpstr>o2_h3_ho</vt:lpstr>
      <vt:lpstr>o2_h3_ho_min</vt:lpstr>
      <vt:lpstr>o2_h3_ti</vt:lpstr>
      <vt:lpstr>o2_h3_ti_min</vt:lpstr>
      <vt:lpstr>o2_h3_to</vt:lpstr>
      <vt:lpstr>o2_h3_to_min</vt:lpstr>
      <vt:lpstr>o2_h4_ho</vt:lpstr>
      <vt:lpstr>o2_h4_ho_min</vt:lpstr>
      <vt:lpstr>o2_h4_ti</vt:lpstr>
      <vt:lpstr>o2_h4_ti_min</vt:lpstr>
      <vt:lpstr>o2_h4_to</vt:lpstr>
      <vt:lpstr>o2_h4_to_min</vt:lpstr>
      <vt:lpstr>sngprod_c1_ho</vt:lpstr>
      <vt:lpstr>sngprod_c1_ho_min</vt:lpstr>
      <vt:lpstr>sngprod_c1_ti</vt:lpstr>
      <vt:lpstr>sngprod_c1_ti_min</vt:lpstr>
      <vt:lpstr>sngprod_c1_to</vt:lpstr>
      <vt:lpstr>sngprod_c1_to_min</vt:lpstr>
      <vt:lpstr>sngprod_h1_ho</vt:lpstr>
      <vt:lpstr>sngprod_h1_ho_min</vt:lpstr>
      <vt:lpstr>sngprod_h1_ti</vt:lpstr>
      <vt:lpstr>sngprod_h1_ti_min</vt:lpstr>
      <vt:lpstr>sngprod_h1_to</vt:lpstr>
      <vt:lpstr>sngprod_h1_to_min</vt:lpstr>
      <vt:lpstr>sngprod_h2_ho</vt:lpstr>
      <vt:lpstr>sngprod_h2_ho_min</vt:lpstr>
      <vt:lpstr>sngprod_h2_ti</vt:lpstr>
      <vt:lpstr>sngprod_h2_ti_min</vt:lpstr>
      <vt:lpstr>sngprod_h2_to</vt:lpstr>
      <vt:lpstr>sngprod_h2_to_min</vt:lpstr>
      <vt:lpstr>sngprod_h3_ho</vt:lpstr>
      <vt:lpstr>sngprod_h3_ho_min</vt:lpstr>
      <vt:lpstr>sngprod_h3_ti</vt:lpstr>
      <vt:lpstr>sngprod_h3_ti_min</vt:lpstr>
      <vt:lpstr>sngprod_h3_to</vt:lpstr>
      <vt:lpstr>sngprod_h3_to_min</vt:lpstr>
      <vt:lpstr>Spec_MethntrCost</vt:lpstr>
      <vt:lpstr>Spec_MethntrCost_min</vt:lpstr>
      <vt:lpstr>Spec_reformwgspsa</vt:lpstr>
      <vt:lpstr>Spec_reformwgspsa_min</vt:lpstr>
      <vt:lpstr>syngastoSNGtotal</vt:lpstr>
      <vt:lpstr>syngastoSNGtotal_min</vt:lpstr>
      <vt:lpstr>syngastoSNGtotal_molf</vt:lpstr>
      <vt:lpstr>syngastoSNGtotal_molf_min</vt:lpstr>
      <vt:lpstr>water_cond</vt:lpstr>
      <vt:lpstr>water_cond_min</vt:lpstr>
      <vt:lpstr>water_feed</vt:lpstr>
      <vt:lpstr>water_feed_min</vt:lpstr>
      <vt:lpstr>waterfeedm3</vt:lpstr>
      <vt:lpstr>waterfeedm3_min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2026-05-06T12:17:32Z</dcterms:modified>
</cp:coreProperties>
</file>