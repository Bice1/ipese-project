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codeName="ThisWorkbook"/>
  <mc:AlternateContent xmlns:mc="http://schemas.openxmlformats.org/markup-compatibility/2006">
    <mc:Choice Requires="x15">
      <x15ac:absPath xmlns:x15ac="http://schemas.microsoft.com/office/spreadsheetml/2010/11/ac" url="https://d.docs.live.net/f3aee38b355b722b/Documents/02_EPFL/01_MA2/SemesterProject/PdS2026/Reverse WGS/"/>
    </mc:Choice>
  </mc:AlternateContent>
  <xr:revisionPtr revIDLastSave="657" documentId="14_{8AABE6FB-4B3F-4887-BBBA-7406FE744BF2}" xr6:coauthVersionLast="47" xr6:coauthVersionMax="47" xr10:uidLastSave="{A57FF272-AB3D-4879-B340-5E262BF8EA47}"/>
  <bookViews>
    <workbookView xWindow="-108" yWindow="-108" windowWidth="23256" windowHeight="13176" firstSheet="3" activeTab="8" xr2:uid="{00000000-000D-0000-FFFF-FFFF00000000}"/>
  </bookViews>
  <sheets>
    <sheet name="README" sheetId="1" r:id="rId1"/>
    <sheet name="METADATA" sheetId="2" r:id="rId2"/>
    <sheet name="CONNECTORS" sheetId="3" r:id="rId3"/>
    <sheet name="VARIABLES" sheetId="4" r:id="rId4"/>
    <sheet name="rWGS" sheetId="5" r:id="rId5"/>
    <sheet name="CALCULATIONS" sheetId="10" r:id="rId6"/>
    <sheet name="CHANGELOG" sheetId="9" r:id="rId7"/>
    <sheet name="SUPPL MATERIAL" sheetId="11" r:id="rId8"/>
    <sheet name="DOCUMENTATION" sheetId="14" r:id="rId9"/>
  </sheets>
  <definedNames>
    <definedName name="Annuity">VARIABLES!$E$66</definedName>
    <definedName name="Annuity_max">VARIABLES!$I$66</definedName>
    <definedName name="Annuity_min">VARIABLES!$H$66</definedName>
    <definedName name="CEPCI_2008">VARIABLES!$E$61</definedName>
    <definedName name="CEPCI_2008_max">VARIABLES!$I$61</definedName>
    <definedName name="CEPCI_2008_min">VARIABLES!$H$61</definedName>
    <definedName name="CEPCI_2020">VARIABLES!$E$60</definedName>
    <definedName name="CEPCI_2020_max">VARIABLES!$I$60</definedName>
    <definedName name="CEPCI_2020_min">VARIABLES!$H$60</definedName>
    <definedName name="Cinv2_rWGS">VARIABLES!$E$68</definedName>
    <definedName name="Cinv2_rWGS_max">VARIABLES!$I$68</definedName>
    <definedName name="Cinv2_rWGS_min">VARIABLES!$H$68</definedName>
    <definedName name="Cinv2_rWGS_spec">VARIABLES!$E$62</definedName>
    <definedName name="Cinv2_rWGS_spec_max">VARIABLES!$I$62</definedName>
    <definedName name="Cinv2_rWGS_spec_min">VARIABLES!$H$62</definedName>
    <definedName name="CO2_compr">VARIABLES!$E$54</definedName>
    <definedName name="CO2_compr_max">VARIABLES!$I$54</definedName>
    <definedName name="CO2_compr_min">VARIABLES!$H$54</definedName>
    <definedName name="CO2_input">VARIABLES!$E$16</definedName>
    <definedName name="CO2_input_max">VARIABLES!$I$16</definedName>
    <definedName name="CO2_input_min">VARIABLES!$H$16</definedName>
    <definedName name="dtmin_2ph">VARIABLES!$E$52</definedName>
    <definedName name="dtmin_2ph_max">VARIABLES!$I$52</definedName>
    <definedName name="dtmin_2ph_min">VARIABLES!$H$52</definedName>
    <definedName name="dtmin_gas">VARIABLES!$E$51</definedName>
    <definedName name="dtmin_gas_max">VARIABLES!$I$51</definedName>
    <definedName name="dtmin_gas_min">VARIABLES!$H$51</definedName>
    <definedName name="H2_compr">VARIABLES!$E$53</definedName>
    <definedName name="H2_compr_max">VARIABLES!$I$53</definedName>
    <definedName name="H2_compr_min">VARIABLES!$H$53</definedName>
    <definedName name="H2_input">VARIABLES!$E$17</definedName>
    <definedName name="H2_input_max">VARIABLES!$I$17</definedName>
    <definedName name="H2_input_min">VARIABLES!$H$17</definedName>
    <definedName name="heat_costing">VARIABLES!$E$67</definedName>
    <definedName name="heat_costing_max">VARIABLES!$I$67</definedName>
    <definedName name="heat_costing_min">VARIABLES!$H$67</definedName>
    <definedName name="i">VARIABLES!$E$59</definedName>
    <definedName name="i_max">VARIABLES!$I$59</definedName>
    <definedName name="i_min">VARIABLES!$H$59</definedName>
    <definedName name="LHV_syngas">VARIABLES!$E$20</definedName>
    <definedName name="LHV_syngas_max">VARIABLES!$I$20</definedName>
    <definedName name="LHV_syngas_min">VARIABLES!$H$20</definedName>
    <definedName name="n">VARIABLES!$E$58</definedName>
    <definedName name="n_max">VARIABLES!$I$58</definedName>
    <definedName name="n_min">VARIABLES!$H$58</definedName>
    <definedName name="Power_rWGS">VARIABLES!$E$65</definedName>
    <definedName name="Power_rWGS_max">VARIABLES!$I$65</definedName>
    <definedName name="Power_rWGS_min">VARIABLES!$H$65</definedName>
    <definedName name="Power_rWGStoFT">VARIABLES!#REF!</definedName>
    <definedName name="Power_rWGStoFT_max">VARIABLES!#REF!</definedName>
    <definedName name="Power_rWGStoFT_min">VARIABLES!#REF!</definedName>
    <definedName name="Power_rWGStoMeOH">VARIABLES!#REF!</definedName>
    <definedName name="Power_rWGStoMeOH_max">VARIABLES!#REF!</definedName>
    <definedName name="Power_rWGStoMeOH_min">VARIABLES!#REF!</definedName>
    <definedName name="Q_cold1">VARIABLES!$E$21</definedName>
    <definedName name="Q_cold1_max">VARIABLES!$I$21</definedName>
    <definedName name="Q_cold1_min">VARIABLES!$H$21</definedName>
    <definedName name="Q_cold2">VARIABLES!$E$22</definedName>
    <definedName name="Q_cold2_max">VARIABLES!$I$22</definedName>
    <definedName name="Q_cold2_min">VARIABLES!$H$22</definedName>
    <definedName name="Q_hot1">VARIABLES!$E$23</definedName>
    <definedName name="Q_hot1_max">VARIABLES!$I$23</definedName>
    <definedName name="Q_hot1_min">VARIABLES!$H$23</definedName>
    <definedName name="Q_hot10">VARIABLES!#REF!</definedName>
    <definedName name="Q_hot10_max">VARIABLES!#REF!</definedName>
    <definedName name="Q_hot10_min">VARIABLES!#REF!</definedName>
    <definedName name="Q_hot11">VARIABLES!#REF!</definedName>
    <definedName name="Q_hot11_max">VARIABLES!#REF!</definedName>
    <definedName name="Q_hot11_min">VARIABLES!#REF!</definedName>
    <definedName name="Q_hot12">VARIABLES!#REF!</definedName>
    <definedName name="Q_hot12_max">VARIABLES!#REF!</definedName>
    <definedName name="Q_hot12_min">VARIABLES!#REF!</definedName>
    <definedName name="Q_hot2">VARIABLES!$E$24</definedName>
    <definedName name="Q_hot2_max">VARIABLES!$I$24</definedName>
    <definedName name="Q_hot2_min">VARIABLES!$H$24</definedName>
    <definedName name="Q_hot3">VARIABLES!$E$25</definedName>
    <definedName name="Q_hot3_max">VARIABLES!$I$25</definedName>
    <definedName name="Q_hot3_min">VARIABLES!$H$25</definedName>
    <definedName name="Q_hot4">VARIABLES!$E$26</definedName>
    <definedName name="Q_hot4_max">VARIABLES!$I$26</definedName>
    <definedName name="Q_hot4_min">VARIABLES!$H$26</definedName>
    <definedName name="Q_hot5">VARIABLES!$E$27</definedName>
    <definedName name="Q_hot5_max">VARIABLES!$I$27</definedName>
    <definedName name="Q_hot5_min">VARIABLES!$H$27</definedName>
    <definedName name="Q_hot6">VARIABLES!$E$28</definedName>
    <definedName name="Q_hot6_max">VARIABLES!$I$28</definedName>
    <definedName name="Q_hot6_min">VARIABLES!$H$28</definedName>
    <definedName name="Q_hot7">VARIABLES!$E$29</definedName>
    <definedName name="Q_hot7_max">VARIABLES!$I$29</definedName>
    <definedName name="Q_hot7_min">VARIABLES!$H$29</definedName>
    <definedName name="Q_hot8">VARIABLES!$E$30</definedName>
    <definedName name="Q_hot8_max">VARIABLES!$I$30</definedName>
    <definedName name="Q_hot8_min">VARIABLES!$H$30</definedName>
    <definedName name="Q_hot9">VARIABLES!#REF!</definedName>
    <definedName name="Q_hot9_max">VARIABLES!#REF!</definedName>
    <definedName name="Q_hot9_min">VARIABLES!#REF!</definedName>
    <definedName name="Recy_compr">VARIABLES!$E$55</definedName>
    <definedName name="Recy_compr_max">VARIABLES!$I$55</definedName>
    <definedName name="Recy_compr_min">VARIABLES!$H$55</definedName>
    <definedName name="Syng_compr_to_FT">VARIABLES!$E$56</definedName>
    <definedName name="Syng_compr_to_FT_max">VARIABLES!$I$56</definedName>
    <definedName name="Syng_compr_to_FT_min">VARIABLES!$H$56</definedName>
    <definedName name="Syng_compr_to_MeOH">VARIABLES!$E$57</definedName>
    <definedName name="Syng_compr_to_MeOH_max">VARIABLES!$I$57</definedName>
    <definedName name="Syng_compr_to_MeOH_min">VARIABLES!$H$57</definedName>
    <definedName name="Syngas_ouput">VARIABLES!$E$18</definedName>
    <definedName name="Syngas_ouput_max">VARIABLES!$I$18</definedName>
    <definedName name="Syngas_ouput_min">VARIABLES!$H$18</definedName>
    <definedName name="Syngas_output_kg">VARIABLES!$E$63</definedName>
    <definedName name="Syngas_output_kg_max">VARIABLES!$I$63</definedName>
    <definedName name="Syngas_output_kg_min">VARIABLES!$H$63</definedName>
    <definedName name="Syngas_output_kw">VARIABLES!$E$64</definedName>
    <definedName name="Syngas_output_kw_max">VARIABLES!$I$64</definedName>
    <definedName name="Syngas_output_kw_min">VARIABLES!$H$64</definedName>
    <definedName name="Tin_cold1">VARIABLES!$E$31</definedName>
    <definedName name="Tin_cold1_max">VARIABLES!$I$31</definedName>
    <definedName name="Tin_cold1_min">VARIABLES!$H$31</definedName>
    <definedName name="Tin_cold2">VARIABLES!$E$32</definedName>
    <definedName name="Tin_cold2_max">VARIABLES!$I$32</definedName>
    <definedName name="Tin_cold2_min">VARIABLES!$H$32</definedName>
    <definedName name="Tin_hot1">VARIABLES!$E$33</definedName>
    <definedName name="Tin_hot1_max">VARIABLES!$I$33</definedName>
    <definedName name="Tin_hot1_min">VARIABLES!$H$33</definedName>
    <definedName name="Tin_hot10">VARIABLES!#REF!</definedName>
    <definedName name="Tin_hot10_max">VARIABLES!#REF!</definedName>
    <definedName name="Tin_hot10_min">VARIABLES!#REF!</definedName>
    <definedName name="Tin_hot11">VARIABLES!#REF!</definedName>
    <definedName name="Tin_hot11_max">VARIABLES!#REF!</definedName>
    <definedName name="Tin_hot11_min">VARIABLES!#REF!</definedName>
    <definedName name="Tin_hot12">VARIABLES!#REF!</definedName>
    <definedName name="Tin_hot12_max">VARIABLES!#REF!</definedName>
    <definedName name="Tin_hot12_min">VARIABLES!#REF!</definedName>
    <definedName name="Tin_hot2">VARIABLES!$E$34</definedName>
    <definedName name="Tin_hot2_max">VARIABLES!$I$34</definedName>
    <definedName name="Tin_hot2_min">VARIABLES!$H$34</definedName>
    <definedName name="Tin_hot3">VARIABLES!$E$35</definedName>
    <definedName name="Tin_hot3_max">VARIABLES!$I$35</definedName>
    <definedName name="Tin_hot3_min">VARIABLES!$H$35</definedName>
    <definedName name="Tin_hot4">VARIABLES!$E$36</definedName>
    <definedName name="Tin_hot4_max">VARIABLES!$I$36</definedName>
    <definedName name="Tin_hot4_min">VARIABLES!$H$36</definedName>
    <definedName name="Tin_hot5">VARIABLES!$E$37</definedName>
    <definedName name="Tin_hot5_max">VARIABLES!$I$37</definedName>
    <definedName name="Tin_hot5_min">VARIABLES!$H$37</definedName>
    <definedName name="Tin_hot6">VARIABLES!$E$38</definedName>
    <definedName name="Tin_hot6_max">VARIABLES!$I$38</definedName>
    <definedName name="Tin_hot6_min">VARIABLES!$H$38</definedName>
    <definedName name="Tin_hot7">VARIABLES!$E$39</definedName>
    <definedName name="Tin_hot7_max">VARIABLES!$I$39</definedName>
    <definedName name="Tin_hot7_min">VARIABLES!$H$39</definedName>
    <definedName name="Tin_hot8">VARIABLES!$E$40</definedName>
    <definedName name="Tin_hot8_max">VARIABLES!$I$40</definedName>
    <definedName name="Tin_hot8_min">VARIABLES!$H$40</definedName>
    <definedName name="Tin_hot9">VARIABLES!#REF!</definedName>
    <definedName name="Tin_hot9_max">VARIABLES!#REF!</definedName>
    <definedName name="Tin_hot9_min">VARIABLES!#REF!</definedName>
    <definedName name="Tmilk">#REF!</definedName>
    <definedName name="Tmilk.Variablename">#REF!</definedName>
    <definedName name="Tout_cold1">VARIABLES!$E$41</definedName>
    <definedName name="Tout_cold1_max">VARIABLES!$I$41</definedName>
    <definedName name="Tout_cold1_min">VARIABLES!$H$41</definedName>
    <definedName name="Tout_cold2">VARIABLES!$E$42</definedName>
    <definedName name="Tout_cold2_max">VARIABLES!$I$42</definedName>
    <definedName name="Tout_cold2_min">VARIABLES!$H$42</definedName>
    <definedName name="Tout_hot1">VARIABLES!$E$43</definedName>
    <definedName name="Tout_hot1_max">VARIABLES!$I$43</definedName>
    <definedName name="Tout_hot1_min">VARIABLES!$H$43</definedName>
    <definedName name="Tout_hot10">VARIABLES!#REF!</definedName>
    <definedName name="Tout_hot10_max">VARIABLES!#REF!</definedName>
    <definedName name="Tout_hot10_min">VARIABLES!#REF!</definedName>
    <definedName name="Tout_hot11">VARIABLES!#REF!</definedName>
    <definedName name="Tout_hot11_max">VARIABLES!#REF!</definedName>
    <definedName name="Tout_hot11_min">VARIABLES!#REF!</definedName>
    <definedName name="Tout_hot12">VARIABLES!#REF!</definedName>
    <definedName name="Tout_hot12_max">VARIABLES!#REF!</definedName>
    <definedName name="Tout_hot12_min">VARIABLES!#REF!</definedName>
    <definedName name="Tout_hot2">VARIABLES!$E$44</definedName>
    <definedName name="Tout_hot2_max">VARIABLES!$I$44</definedName>
    <definedName name="Tout_hot2_min">VARIABLES!$H$44</definedName>
    <definedName name="Tout_hot3">VARIABLES!$E$45</definedName>
    <definedName name="Tout_hot3_max">VARIABLES!$I$45</definedName>
    <definedName name="Tout_hot3_min">VARIABLES!$H$45</definedName>
    <definedName name="Tout_hot4">VARIABLES!$E$46</definedName>
    <definedName name="Tout_hot4_max">VARIABLES!$I$46</definedName>
    <definedName name="Tout_hot4_min">VARIABLES!$H$46</definedName>
    <definedName name="Tout_hot5">VARIABLES!$E$47</definedName>
    <definedName name="Tout_hot5_max">VARIABLES!$I$47</definedName>
    <definedName name="Tout_hot5_min">VARIABLES!$H$47</definedName>
    <definedName name="Tout_hot6">VARIABLES!$E$48</definedName>
    <definedName name="Tout_hot6_max">VARIABLES!$I$48</definedName>
    <definedName name="Tout_hot6_min">VARIABLES!$H$48</definedName>
    <definedName name="Tout_hot7">VARIABLES!$E$49</definedName>
    <definedName name="Tout_hot7_max">VARIABLES!$I$49</definedName>
    <definedName name="Tout_hot7_min">VARIABLES!$H$49</definedName>
    <definedName name="Tout_hot8">VARIABLES!$E$50</definedName>
    <definedName name="Tout_hot8_max">VARIABLES!$I$50</definedName>
    <definedName name="Tout_hot8_min">VARIABLES!$H$50</definedName>
    <definedName name="Tout_hot9">VARIABLES!#REF!</definedName>
    <definedName name="Tout_hot9_max">VARIABLES!#REF!</definedName>
    <definedName name="Tout_hot9_min">VARIABLES!#REF!</definedName>
    <definedName name="Water_output">VARIABLES!$E$19</definedName>
    <definedName name="Water_output_max">VARIABLES!$I$19</definedName>
    <definedName name="Water_output_min">VARIABLES!$H$19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5" roundtripDataChecksum="bNxJkgama/kYeBi4o0J15qkHQT9g9UA3B49WFr4NTgI="/>
    </ext>
  </extLst>
</workbook>
</file>

<file path=xl/calcChain.xml><?xml version="1.0" encoding="utf-8"?>
<calcChain xmlns="http://schemas.openxmlformats.org/spreadsheetml/2006/main">
  <c r="A30" i="14" l="1"/>
  <c r="A29" i="14"/>
  <c r="A28" i="14"/>
  <c r="A27" i="14"/>
  <c r="A26" i="14"/>
  <c r="A25" i="14"/>
  <c r="A24" i="14"/>
  <c r="A23" i="14"/>
  <c r="A20" i="14"/>
  <c r="A19" i="14"/>
  <c r="A15" i="14"/>
  <c r="A14" i="14"/>
  <c r="A13" i="14"/>
  <c r="A9" i="14"/>
  <c r="A8" i="14"/>
  <c r="A6" i="14"/>
  <c r="K34" i="5"/>
  <c r="M34" i="5"/>
  <c r="K33" i="5"/>
  <c r="M32" i="5"/>
  <c r="K30" i="5"/>
  <c r="K31" i="5"/>
  <c r="M31" i="5"/>
  <c r="M30" i="5"/>
  <c r="K28" i="5"/>
  <c r="K29" i="5"/>
  <c r="M29" i="5"/>
  <c r="M28" i="5"/>
  <c r="K27" i="5"/>
  <c r="M27" i="5"/>
  <c r="K26" i="5"/>
  <c r="M26" i="5"/>
  <c r="B12" i="2"/>
  <c r="D19" i="5"/>
  <c r="D16" i="5"/>
  <c r="D15" i="5"/>
  <c r="D17" i="5"/>
  <c r="D18" i="5"/>
  <c r="G33" i="5"/>
  <c r="G32" i="5"/>
  <c r="G31" i="5"/>
  <c r="G30" i="5"/>
  <c r="E67" i="4" l="1"/>
  <c r="E68" i="4" s="1"/>
  <c r="I35" i="5"/>
  <c r="I34" i="5"/>
  <c r="E35" i="5"/>
  <c r="E34" i="5"/>
  <c r="E33" i="5"/>
  <c r="E32" i="5"/>
  <c r="E31" i="5"/>
  <c r="E30" i="5"/>
  <c r="E29" i="5"/>
  <c r="E28" i="5"/>
  <c r="E27" i="5"/>
  <c r="E26" i="5"/>
  <c r="C35" i="5"/>
  <c r="C34" i="5"/>
  <c r="C33" i="5"/>
  <c r="C32" i="5"/>
  <c r="C31" i="5"/>
  <c r="C30" i="5"/>
  <c r="C29" i="5"/>
  <c r="C28" i="5"/>
  <c r="C27" i="5"/>
  <c r="C26" i="5"/>
  <c r="G29" i="5"/>
  <c r="G28" i="5"/>
  <c r="G27" i="5"/>
  <c r="G26" i="5"/>
  <c r="E53" i="4"/>
  <c r="E54" i="4"/>
  <c r="E66" i="4"/>
  <c r="E64" i="4"/>
  <c r="E63" i="4"/>
  <c r="E57" i="4"/>
  <c r="E56" i="4"/>
  <c r="E55" i="4"/>
  <c r="E6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tc={337CA021-9AC0-4AD9-A57E-506D35A7B8D0}</author>
    <author>tc={1BC422D8-865C-420A-8F81-F4C46D0FE2CC}</author>
    <author>tc={13A20CB4-FC14-4090-A17B-0D907B3E1E80}</author>
  </authors>
  <commentList>
    <comment ref="K26" authorId="0" shapeId="0" xr:uid="{337CA021-9AC0-4AD9-A57E-506D35A7B8D0}">
      <text>
        <t>[Threaded comment]
Your version of Excel allows you to read this threaded comment; however, any edits to it will get removed if the file is opened in a newer version of Excel. Learn more: https://go.microsoft.com/fwlink/?linkid=870924
Comment:
    Computed from Q = m*cp*dT</t>
      </text>
    </comment>
    <comment ref="K32" authorId="1" shapeId="0" xr:uid="{1BC422D8-865C-420A-8F81-F4C46D0FE2CC}">
      <text>
        <t>[Threaded comment]
Your version of Excel allows you to read this threaded comment; however, any edits to it will get removed if the file is opened in a newer version of Excel. Learn more: https://go.microsoft.com/fwlink/?linkid=870924
Comment:
    Assumed pure co2 with constant cp</t>
      </text>
    </comment>
    <comment ref="K33" authorId="2" shapeId="0" xr:uid="{13A20CB4-FC14-4090-A17B-0D907B3E1E80}">
      <text>
        <t>[Threaded comment]
Your version of Excel allows you to read this threaded comment; however, any edits to it will get removed if the file is opened in a newer version of Excel. Learn more: https://go.microsoft.com/fwlink/?linkid=870924
Comment:
    Recalculated from mass flow</t>
      </text>
    </comment>
  </commentList>
</comments>
</file>

<file path=xl/sharedStrings.xml><?xml version="1.0" encoding="utf-8"?>
<sst xmlns="http://schemas.openxmlformats.org/spreadsheetml/2006/main" count="957" uniqueCount="408">
  <si>
    <t>PURPOSE</t>
  </si>
  <si>
    <t>This document has been developed under the IETS Task XXIV: Process Integration for Industrial Decarbonization, as part of Activity 1: Specifications, Ontologies, and Procedures. It provides a standardized template for documenting and sharing ex-ante process and energy systems models. This template is intended to provide a structured, standardized format for documenting and sharing models in a way that supports collaboration, validation, and transparent reuse across the IETS community.</t>
  </si>
  <si>
    <t>CONNECTORS</t>
  </si>
  <si>
    <t>VARIABLES</t>
  </si>
  <si>
    <t>Variables are the core elements used to specify connectors and define the transformations taking place within units. Through these variables, the behavior of process and energy technologies is quantitatively described. The variables can can either have a default value that is assigned to them or they can be calculated by a mathematical operation. The type of variables that are proposed are, context, literature, measured and decision variables. The distinction between the types are explained further in the respective tab.</t>
  </si>
  <si>
    <t>UNITS</t>
  </si>
  <si>
    <t>A representative name for the model</t>
  </si>
  <si>
    <t>Daniel Florez-Orrego, Oktay Boztas</t>
  </si>
  <si>
    <t>Open</t>
  </si>
  <si>
    <t>The creation date of the model</t>
  </si>
  <si>
    <t>GRAY-BOX</t>
  </si>
  <si>
    <t>Softwares that are used during the development of the model</t>
  </si>
  <si>
    <t>URL</t>
  </si>
  <si>
    <t>The date of the last modification to the model</t>
  </si>
  <si>
    <t>Keywords can be assigned to enable structured categorization of the models</t>
  </si>
  <si>
    <t>DESCRIPTION</t>
  </si>
  <si>
    <t>EXTERNAL CONNECTORS</t>
  </si>
  <si>
    <t>NAME (ALIAS)</t>
  </si>
  <si>
    <t>TYPE</t>
  </si>
  <si>
    <t>PHYSICAL UNIT</t>
  </si>
  <si>
    <t>TEMPERATURE</t>
  </si>
  <si>
    <t>TEMPERATURE UNIT</t>
  </si>
  <si>
    <t>PRESSURE</t>
  </si>
  <si>
    <t>PRESSURE UNIT</t>
  </si>
  <si>
    <t>VAPOR FRACTION [MASS]</t>
  </si>
  <si>
    <t>PHASE</t>
  </si>
  <si>
    <t>COMPOSITION [MOLE/MASS]</t>
  </si>
  <si>
    <t>-</t>
  </si>
  <si>
    <t>INTERNAL CONNECTORS</t>
  </si>
  <si>
    <t>VARIABLE TYPES</t>
  </si>
  <si>
    <r>
      <rPr>
        <b/>
        <sz val="11"/>
        <color theme="1"/>
        <rFont val="Calibri"/>
        <family val="2"/>
      </rPr>
      <t>Context:</t>
    </r>
    <r>
      <rPr>
        <sz val="11"/>
        <color theme="1"/>
        <rFont val="Calibri"/>
        <family val="2"/>
      </rPr>
      <t xml:space="preserve"> These variables are defined at a higher level and refer to local conditions (e.g., ambient temperature and pressure), economic factors (e.g., specific costs), or energy-related parameters.</t>
    </r>
  </si>
  <si>
    <r>
      <rPr>
        <b/>
        <sz val="11"/>
        <color theme="1"/>
        <rFont val="Calibri"/>
        <family val="2"/>
      </rPr>
      <t xml:space="preserve">Literature: </t>
    </r>
    <r>
      <rPr>
        <sz val="11"/>
        <color theme="1"/>
        <rFont val="Calibri"/>
        <family val="2"/>
      </rPr>
      <t>These variables are defined from the literature sources. They include physical constants, reported efficiencies or other variables that are not measured but assumed from literature sources.</t>
    </r>
  </si>
  <si>
    <r>
      <rPr>
        <b/>
        <sz val="11"/>
        <color theme="1"/>
        <rFont val="Calibri"/>
        <family val="2"/>
      </rPr>
      <t>Measured:</t>
    </r>
    <r>
      <rPr>
        <sz val="11"/>
        <color theme="1"/>
        <rFont val="Calibri"/>
        <family val="2"/>
      </rPr>
      <t xml:space="preserve"> These variables are directly measured directly in the industrial or technological system.</t>
    </r>
  </si>
  <si>
    <r>
      <rPr>
        <b/>
        <sz val="11"/>
        <color theme="1"/>
        <rFont val="Calibri"/>
        <family val="2"/>
      </rPr>
      <t>Decision:</t>
    </r>
    <r>
      <rPr>
        <sz val="11"/>
        <color theme="1"/>
        <rFont val="Calibri"/>
        <family val="2"/>
      </rPr>
      <t xml:space="preserve"> These variable are set by the engineers to as degrees of freedom to evaluate their impact on the performance of the energy system</t>
    </r>
  </si>
  <si>
    <t>USER GRADE</t>
  </si>
  <si>
    <r>
      <rPr>
        <b/>
        <sz val="11"/>
        <color theme="1"/>
        <rFont val="Calibri"/>
        <family val="2"/>
      </rPr>
      <t xml:space="preserve">Mandatory: </t>
    </r>
    <r>
      <rPr>
        <sz val="11"/>
        <color theme="1"/>
        <rFont val="Calibri"/>
        <family val="2"/>
      </rPr>
      <t>The user of the model is expected to assign a default value to the variable.</t>
    </r>
  </si>
  <si>
    <r>
      <rPr>
        <b/>
        <sz val="11"/>
        <color theme="1"/>
        <rFont val="Calibri"/>
        <family val="2"/>
      </rPr>
      <t xml:space="preserve">Optional: </t>
    </r>
    <r>
      <rPr>
        <sz val="11"/>
        <color theme="1"/>
        <rFont val="Calibri"/>
        <family val="2"/>
      </rPr>
      <t>Experienced users can modify the default value.</t>
    </r>
  </si>
  <si>
    <r>
      <rPr>
        <b/>
        <sz val="11"/>
        <color theme="1"/>
        <rFont val="Calibri"/>
        <family val="2"/>
      </rPr>
      <t xml:space="preserve">Private: </t>
    </r>
    <r>
      <rPr>
        <sz val="11"/>
        <color theme="1"/>
        <rFont val="Calibri"/>
        <family val="2"/>
      </rPr>
      <t>Decided by the model developer, and users are not allowed to change the default value.</t>
    </r>
  </si>
  <si>
    <t>DIRECTION</t>
  </si>
  <si>
    <t>VALUE</t>
  </si>
  <si>
    <t>HEAT STREAMS</t>
  </si>
  <si>
    <t>EQUIPMENTS</t>
  </si>
  <si>
    <t>The fixed and variable operating costs includes manpower, fixed cost of operation, taxes etc.</t>
  </si>
  <si>
    <t>TRL</t>
  </si>
  <si>
    <t>EQUIPMENTS DESCRIPTION</t>
  </si>
  <si>
    <t>OPERATING COST DESCRIPTION</t>
  </si>
  <si>
    <t>UNIT DESCRIPTION</t>
  </si>
  <si>
    <t>CONNECTORS DESCRIPTION</t>
  </si>
  <si>
    <t>UNIT NAME</t>
  </si>
  <si>
    <t>MAXIMUM CAPACITY MULT</t>
  </si>
  <si>
    <t>MINIMUM CAPACITY MULT</t>
  </si>
  <si>
    <t>HEAT CASCADE</t>
  </si>
  <si>
    <t>NAME</t>
  </si>
  <si>
    <t>PARAMS</t>
  </si>
  <si>
    <t>FIXED OPERATING COST [EUR/y]</t>
  </si>
  <si>
    <t>VARIABLE OPERATING COST [EUR/h]</t>
  </si>
  <si>
    <t>HEAT STREAMS DESCRIPTION</t>
  </si>
  <si>
    <t>The variable operating cost is calculated by multiplying the specific operating cost [EUR/kWh or EUR/kg] and reference capacity [kW or kg/h]</t>
  </si>
  <si>
    <t>Fetch the intensive properties from the connectors tab</t>
  </si>
  <si>
    <t>The declared connectors within the units can be a mix of external and internal connectors</t>
  </si>
  <si>
    <t>FULL NAME</t>
  </si>
  <si>
    <t>MIN BOUND</t>
  </si>
  <si>
    <t>MAX BOUND</t>
  </si>
  <si>
    <t>LATEX SYNTAX</t>
  </si>
  <si>
    <t>Precheck that each of these internal connectors has at least one in and one out within a model.</t>
  </si>
  <si>
    <t>External connectors should be defined in a global database that documents the physical units and the quality of the connectors to be used for models integration</t>
  </si>
  <si>
    <t>MODEL UID</t>
  </si>
  <si>
    <t>MODEL NAME</t>
  </si>
  <si>
    <t>AUTHORS AND CONTRIBUTORS</t>
  </si>
  <si>
    <t>VERSION</t>
  </si>
  <si>
    <t>CONFIDENTIALITY</t>
  </si>
  <si>
    <t>CREATION DATE</t>
  </si>
  <si>
    <t>REFERENCES</t>
  </si>
  <si>
    <t>GRADE</t>
  </si>
  <si>
    <t>SOFTWARE</t>
  </si>
  <si>
    <t>LAST UPDATED</t>
  </si>
  <si>
    <t>KEYWORDS</t>
  </si>
  <si>
    <t>REFERENCE CAPACITY 
(MAIN PRODUCT/FEEDSTOCK)</t>
  </si>
  <si>
    <t>DOI</t>
  </si>
  <si>
    <t>BLOCK FLOW DIAGRAM ( .png or .svg)</t>
  </si>
  <si>
    <t>CONTACT INFO</t>
  </si>
  <si>
    <t>daniel.florezorrego@epfl.ch, oktay.boztas@epfl.ch</t>
  </si>
  <si>
    <t>MAIN RELATED PUBLICATION</t>
  </si>
  <si>
    <t>MODEL STATUS</t>
  </si>
  <si>
    <t>Maintained</t>
  </si>
  <si>
    <t>SUPPLEMENTARY MATERIAL</t>
  </si>
  <si>
    <t>AUTHORS</t>
  </si>
  <si>
    <t>SIZE</t>
  </si>
  <si>
    <t>FORMAT</t>
  </si>
  <si>
    <t>LIST OF SUPPLEMENTARY MATERIAL</t>
  </si>
  <si>
    <t>No.</t>
  </si>
  <si>
    <t>DATE</t>
  </si>
  <si>
    <t>COMMENTS</t>
  </si>
  <si>
    <t>CONTRIBUTOR</t>
  </si>
  <si>
    <t>1.0.1</t>
  </si>
  <si>
    <t>Original file</t>
  </si>
  <si>
    <t>PARAMETER</t>
  </si>
  <si>
    <t>See SUPPL MATERIAL tab</t>
  </si>
  <si>
    <t>VARIABLE NAME</t>
  </si>
  <si>
    <t>SOFTWARE FILE</t>
  </si>
  <si>
    <t>UID</t>
  </si>
  <si>
    <t>Metadata is important for model documentation and versioning, as well as for authorship and supplementary material indexation</t>
  </si>
  <si>
    <t>SHARING LAYER</t>
  </si>
  <si>
    <t>SUBTYPE</t>
  </si>
  <si>
    <t>REFERENCE</t>
  </si>
  <si>
    <t>INLET TEMPERATURE UNIT</t>
  </si>
  <si>
    <t>OUTLET TEMPERATURE UNIT</t>
  </si>
  <si>
    <t>OUTLET ENTHALPY FLOW UNIT</t>
  </si>
  <si>
    <t>SPEC HEAT CAP UNIT</t>
  </si>
  <si>
    <t>INLET TEMPERATURE VALUE</t>
  </si>
  <si>
    <t>OUTLET TEMPERATURE VALUE</t>
  </si>
  <si>
    <t>INLET ENTHALPY FLOW VALUE</t>
  </si>
  <si>
    <t>INLET ENTHALPY FLOW UNIT</t>
  </si>
  <si>
    <t>OUTLET ENTHALPY FLOW VALUE</t>
  </si>
  <si>
    <t>SPEC HEAT CAP VALUE</t>
  </si>
  <si>
    <t>MASS FLOW VALUE</t>
  </si>
  <si>
    <t>MASS FLOW UNIT</t>
  </si>
  <si>
    <t>DTMIN CONTR VALUE</t>
  </si>
  <si>
    <t>DTMIN CONTR UNIT</t>
  </si>
  <si>
    <t>HEAT TRANSFER COEF VALUE</t>
  </si>
  <si>
    <t>HEAT TRANSFER COEF UNIT</t>
  </si>
  <si>
    <t>REFERENCE STREAM</t>
  </si>
  <si>
    <t>Obtain investment from equipments cost database, which already provides the application range</t>
  </si>
  <si>
    <t>METADATA</t>
  </si>
  <si>
    <t>The metadata section includes essential metadata about the model. The information provided ensures clear classification, proper attribution, and traceability by capturing key details about the model’s identity, origin, and context.</t>
  </si>
  <si>
    <t>Interconnections between processes and energy technologies are established via connectors, which serve as structured representations of mass, electricity, and heat flows. They are analogous to pipelines that is mediating the exchange of flows at the boundaries of units. They can be categorised as:
- External connectors in case they are realizing an exchange between the unit and technosphere or environment. Example to external connectors are feedstock, product, waste or emission flows.
- Internal connectors, which represent exchanges occurring between subprocesses, where the flows remain within the boundaries of the overall process.</t>
  </si>
  <si>
    <t>Units are blocks that represent the transformations occurring within a defined boundary of a process or energy technology. These transformations are expressed through connector. Units may have material flows, electricity consumption or supply, and heat demand or supply, represented by hot and cold heat streams. Units are considered to be linearly scalable within a defined capacity range during MILP optimization, specified by minimum and maximum multipliers. The units are defined for a reference capacity.</t>
  </si>
  <si>
    <t>Digital object identifier of the model</t>
  </si>
  <si>
    <t>Description of the model for discoverability and overview</t>
  </si>
  <si>
    <t>List of supplementary material of the model</t>
  </si>
  <si>
    <t>Keeps a clear version history</t>
  </si>
  <si>
    <t>The level of sensitivity can be indicated as open, restricted, confidential</t>
  </si>
  <si>
    <t>Authors and contributors to the development of the model with their affiliated organizations.</t>
  </si>
  <si>
    <t>Contact information of the authors and contributors</t>
  </si>
  <si>
    <t>Maintained or Archived model</t>
  </si>
  <si>
    <t>The sharing layer is the extent of detail adopted for the model at certain time</t>
  </si>
  <si>
    <t>Black-box for static or surrogate models, Gray-box for partly adjustable models, and White-box for models with flowsheet</t>
  </si>
  <si>
    <t>The reference capacity of the model can be defined based on the main product</t>
  </si>
  <si>
    <t>Technology readiness level of the model. The minimum TRL corresponds to the minimum level considering the model units</t>
  </si>
  <si>
    <t>Link to the main related publication(s) to the model</t>
  </si>
  <si>
    <t>References used during the model development can be provided in a .bib file</t>
  </si>
  <si>
    <t>Physycal file of the model (if available), otherwise, N.A.</t>
  </si>
  <si>
    <t>Graphical representation of the block flow diagram of the model</t>
  </si>
  <si>
    <t>Link to the repository where the model is alternatively stored</t>
  </si>
  <si>
    <r>
      <rPr>
        <b/>
        <sz val="11"/>
        <color theme="1"/>
        <rFont val="Calibri"/>
        <family val="2"/>
        <scheme val="minor"/>
      </rPr>
      <t>Calculated</t>
    </r>
    <r>
      <rPr>
        <sz val="11"/>
        <color theme="1"/>
        <rFont val="Calibri"/>
        <family val="2"/>
        <scheme val="minor"/>
      </rPr>
      <t>: These are derived variables, calculated based on the previous types of variables and are considered as dependent variables</t>
    </r>
  </si>
  <si>
    <t>TEMPERATURE VALUE</t>
  </si>
  <si>
    <t>PRESSURE VALUE</t>
  </si>
  <si>
    <t>FLOW VALUE</t>
  </si>
  <si>
    <t>FLOW UNIT</t>
  </si>
  <si>
    <t>UNIT</t>
  </si>
  <si>
    <t>Compare Fmin and Fmax to define if it scalable of fixed, if fixed Fmin=Fmax=Fmult</t>
  </si>
  <si>
    <t>FORMULA OR PATH</t>
  </si>
  <si>
    <t>DEFAULT VALUE</t>
  </si>
  <si>
    <t>None</t>
  </si>
  <si>
    <t>Drawio</t>
  </si>
  <si>
    <t>.svg</t>
  </si>
  <si>
    <t>50 kB</t>
  </si>
  <si>
    <t>Reverse WGS reactor with recycle</t>
  </si>
  <si>
    <t>Daniel Flórez-Orrego, EPFL IPESE research group</t>
  </si>
  <si>
    <t>Figures/ReverseWGS.svg</t>
  </si>
  <si>
    <t>Syngas, CO2, Hydrogen</t>
  </si>
  <si>
    <t>CO2_input</t>
  </si>
  <si>
    <t>CONTEXT</t>
  </si>
  <si>
    <t xml:space="preserve"> Mass flow rate of CO2 consumed at 30C and 1bar</t>
  </si>
  <si>
    <t>MANDATORY</t>
  </si>
  <si>
    <t>kg/h</t>
  </si>
  <si>
    <t>$CO_{2,\text{input}}$</t>
  </si>
  <si>
    <t>H2_input</t>
  </si>
  <si>
    <t xml:space="preserve"> Mass flow rate of H2 consumed at 30C and 1bar</t>
  </si>
  <si>
    <t>$H_{2,\text{input}}$</t>
  </si>
  <si>
    <t>Syngas_ouput</t>
  </si>
  <si>
    <t xml:space="preserve"> Mass flow rate of syngas produced at 5 bar, molfrac</t>
  </si>
  <si>
    <t>$Syngas_{\text{output}}$</t>
  </si>
  <si>
    <t>Water_output</t>
  </si>
  <si>
    <t xml:space="preserve"> Water production in the reverse water gas shift reaction</t>
  </si>
  <si>
    <t>m3/h</t>
  </si>
  <si>
    <t>$Water_{\text{output}}$</t>
  </si>
  <si>
    <t>LHV_syngas</t>
  </si>
  <si>
    <t xml:space="preserve"> Lower heating value of syngas from reverse water gas shift process</t>
  </si>
  <si>
    <t>kJ/kg</t>
  </si>
  <si>
    <t>$LHV_{\text{syngas}}$</t>
  </si>
  <si>
    <t>Q_cold1</t>
  </si>
  <si>
    <t xml:space="preserve"> Heat duty of rWGS feed preheating</t>
  </si>
  <si>
    <t>kW</t>
  </si>
  <si>
    <t>$Q_{\text{cold1}}$</t>
  </si>
  <si>
    <t>Q_cold2</t>
  </si>
  <si>
    <t xml:space="preserve"> Heat duty of rWGS endothermic reactor</t>
  </si>
  <si>
    <t>$Q_{\text{cold2}}$</t>
  </si>
  <si>
    <t>Q_hot1</t>
  </si>
  <si>
    <t xml:space="preserve"> Heat duty hydrogen first compression intercooling</t>
  </si>
  <si>
    <t>$Q_{\text{hot1}}$</t>
  </si>
  <si>
    <t>Q_hot2</t>
  </si>
  <si>
    <t xml:space="preserve"> Heat duty hydrogen second compression intercooling</t>
  </si>
  <si>
    <t>$Q_{\text{hot2}}$</t>
  </si>
  <si>
    <t>Q_hot3</t>
  </si>
  <si>
    <t xml:space="preserve"> Heat duty CO2 first compression intercooling</t>
  </si>
  <si>
    <t>$Q_{\text{hot3}}$</t>
  </si>
  <si>
    <t>Q_hot4</t>
  </si>
  <si>
    <t xml:space="preserve"> Heat duty CO2 second compression intercooling</t>
  </si>
  <si>
    <t>$Q_{\text{hot4}}$</t>
  </si>
  <si>
    <t>Q_hot5</t>
  </si>
  <si>
    <t xml:space="preserve"> Heat duty of rWGS product cooling</t>
  </si>
  <si>
    <t>$Q_{\text{hot5}}$</t>
  </si>
  <si>
    <t>Q_hot6</t>
  </si>
  <si>
    <t>$Q_{\text{hot6}}$</t>
  </si>
  <si>
    <t>Q_hot7</t>
  </si>
  <si>
    <t xml:space="preserve"> Heat duty of recycling compression intercooling</t>
  </si>
  <si>
    <t>$Q_{\text{hot7}}$</t>
  </si>
  <si>
    <t>Q_hot8</t>
  </si>
  <si>
    <t>$Q_{\text{hot8}}$</t>
  </si>
  <si>
    <t>Tin_cold1</t>
  </si>
  <si>
    <t xml:space="preserve"> Temperature inlet rWGS feed preheating</t>
  </si>
  <si>
    <t>$T_{\text{in,cold1}}$</t>
  </si>
  <si>
    <t>Tin_cold2</t>
  </si>
  <si>
    <t xml:space="preserve"> Temperature inlet of rWGS endothermic reactor</t>
  </si>
  <si>
    <t>$T_{\text{in,cold2}}$</t>
  </si>
  <si>
    <t>Tin_hot1</t>
  </si>
  <si>
    <t xml:space="preserve"> Temperature inlet first hydrogen intercooling</t>
  </si>
  <si>
    <t>$T_{\text{in,hot1}}$</t>
  </si>
  <si>
    <t>Tin_hot2</t>
  </si>
  <si>
    <t xml:space="preserve"> Temperature inlet second hydrogen intercooling</t>
  </si>
  <si>
    <t>$T_{\text{in,hot2}}$</t>
  </si>
  <si>
    <t>Tin_hot3</t>
  </si>
  <si>
    <t xml:space="preserve"> Temperature inlet first CO2 intercooling</t>
  </si>
  <si>
    <t>$T_{\text{in,hot3}}$</t>
  </si>
  <si>
    <t>Tin_hot4</t>
  </si>
  <si>
    <t xml:space="preserve"> Temperature inlet second CO2 intercooling</t>
  </si>
  <si>
    <t>$T_{\text{in,hot4}}$</t>
  </si>
  <si>
    <t>Tin_hot5</t>
  </si>
  <si>
    <t xml:space="preserve"> Temperature inlet rWGS product cooling</t>
  </si>
  <si>
    <t>$T_{\text{in,hot5}}$</t>
  </si>
  <si>
    <t>Tin_hot6</t>
  </si>
  <si>
    <t>$T_{\text{in,hot6}}$</t>
  </si>
  <si>
    <t>Tin_hot7</t>
  </si>
  <si>
    <t xml:space="preserve"> Temperature inlet of recycling compression intercooling</t>
  </si>
  <si>
    <t>$T_{\text{in,hot7}}$</t>
  </si>
  <si>
    <t>Tin_hot8</t>
  </si>
  <si>
    <t>$T_{\text{in,hot8}}$</t>
  </si>
  <si>
    <t>Tout_cold1</t>
  </si>
  <si>
    <t xml:space="preserve"> Temperature outlet rWGS feed preheating</t>
  </si>
  <si>
    <t>$T_{\text{out,cold1}}$</t>
  </si>
  <si>
    <t>Tout_cold2</t>
  </si>
  <si>
    <t xml:space="preserve"> Temperature outlet of rWGS endothermic reactor</t>
  </si>
  <si>
    <t>$T_{\text{out,cold2}}$</t>
  </si>
  <si>
    <t>Tout_hot1</t>
  </si>
  <si>
    <t xml:space="preserve"> Temperature outlet first hydrogen intercooling</t>
  </si>
  <si>
    <t>$T_{\text{out,hot1}}$</t>
  </si>
  <si>
    <t>Tout_hot2</t>
  </si>
  <si>
    <t xml:space="preserve"> Temperature outlet second hydrogen intercooling</t>
  </si>
  <si>
    <t>$T_{\text{out,hot2}}$</t>
  </si>
  <si>
    <t>Tout_hot3</t>
  </si>
  <si>
    <t xml:space="preserve"> Temperature outlet second CO2 intercooling</t>
  </si>
  <si>
    <t>$T_{\text{out,hot3}}$</t>
  </si>
  <si>
    <t>Tout_hot4</t>
  </si>
  <si>
    <t>$T_{\text{out,hot4}}$</t>
  </si>
  <si>
    <t>Tout_hot5</t>
  </si>
  <si>
    <t xml:space="preserve"> Temperature outlet rWGS product cooling</t>
  </si>
  <si>
    <t>$T_{\text{out,hot5}}$</t>
  </si>
  <si>
    <t>Tout_hot6</t>
  </si>
  <si>
    <t>$T_{\text{out,hot6}}$</t>
  </si>
  <si>
    <t>Tout_hot7</t>
  </si>
  <si>
    <t xml:space="preserve"> Temperature outlet of recycling compression intercooling</t>
  </si>
  <si>
    <t>$T_{\text{out,hot7}}$</t>
  </si>
  <si>
    <t>Tout_hot8</t>
  </si>
  <si>
    <t>$T_{\text{out,hot8}}$</t>
  </si>
  <si>
    <t>dtmin_gas</t>
  </si>
  <si>
    <t xml:space="preserve"> Minimum temperature difference contribution for gaseous streams</t>
  </si>
  <si>
    <t>$\Delta T_{\text{min,gas}}$</t>
  </si>
  <si>
    <t>dtmin_2ph</t>
  </si>
  <si>
    <t xml:space="preserve"> Minimum temperature difference contribution for phase change streams</t>
  </si>
  <si>
    <t>$\Delta T_{\text{min,2ph}}$</t>
  </si>
  <si>
    <t>H2_compr</t>
  </si>
  <si>
    <t xml:space="preserve"> Power consumption in two stage H2 compressor up to 5 bar</t>
  </si>
  <si>
    <t>$H_{2,\text{compr}}$</t>
  </si>
  <si>
    <t>CO2_compr</t>
  </si>
  <si>
    <t xml:space="preserve"> Power consumption in two stage CO compressor up to 5 bar</t>
  </si>
  <si>
    <t>$CO_{2,\text{compr}}$</t>
  </si>
  <si>
    <t>Recy_compr</t>
  </si>
  <si>
    <t xml:space="preserve"> Power consumption in two stage recompressor to 5 bar</t>
  </si>
  <si>
    <t>$Recy_{\text{compr}}$</t>
  </si>
  <si>
    <t>Syng_compr_to_FT</t>
  </si>
  <si>
    <t xml:space="preserve"> Power consumption in two stage syngas compression up to 41 bar (to Fischer–Tropsch plant)</t>
  </si>
  <si>
    <t>$Syng_{\text{compr→FT}}$</t>
  </si>
  <si>
    <t>Syng_compr_to_MeOH</t>
  </si>
  <si>
    <t xml:space="preserve"> Power consumption in two stage syngas compression up to 35 bar (to Methanol plant)</t>
  </si>
  <si>
    <t>$Syng_{\text{compr→MeOH}}$</t>
  </si>
  <si>
    <t>n</t>
  </si>
  <si>
    <t xml:space="preserve"> Lifetime of rWGS</t>
  </si>
  <si>
    <t>yr</t>
  </si>
  <si>
    <t>$n$</t>
  </si>
  <si>
    <t>i</t>
  </si>
  <si>
    <t xml:space="preserve"> Interest rate</t>
  </si>
  <si>
    <t>$i$</t>
  </si>
  <si>
    <t>CEPCI_2020</t>
  </si>
  <si>
    <t>$CEPCI_{2020}$</t>
  </si>
  <si>
    <t>CEPCI_2008</t>
  </si>
  <si>
    <t xml:space="preserve"> CEPCI 2008</t>
  </si>
  <si>
    <t>$CEPCI_{2008}$</t>
  </si>
  <si>
    <t>Cinv2_rWGS_spec</t>
  </si>
  <si>
    <t xml:space="preserve"> Investment cost of reverse water-gas shift unit</t>
  </si>
  <si>
    <t>$C_{inv2,\text{rWGS,spec}}$</t>
  </si>
  <si>
    <t>Syngas_output_kg</t>
  </si>
  <si>
    <t xml:space="preserve"> Mass flow rate of syngas production</t>
  </si>
  <si>
    <t>$Syngas_{\text{output,kg}}$</t>
  </si>
  <si>
    <t xml:space="preserve"> Energy flow rate of syngas production. Uncomment if the gas is used to supply a furnace</t>
  </si>
  <si>
    <t>$Syngas_{\text{output,kW}}$</t>
  </si>
  <si>
    <t>Power_rWGS</t>
  </si>
  <si>
    <t xml:space="preserve"> Power consumption in the compression of the RWGS reactants up to 5 bar</t>
  </si>
  <si>
    <t>$Power_{\text{rWGS}}$</t>
  </si>
  <si>
    <t>Annuity</t>
  </si>
  <si>
    <t xml:space="preserve"> Annualization factor</t>
  </si>
  <si>
    <t>$Annuity$</t>
  </si>
  <si>
    <t>heat_costing</t>
  </si>
  <si>
    <t xml:space="preserve"> Preheating from 450 °C to 750 °C corresponds to only 40% of preheating from 30C to 750C</t>
  </si>
  <si>
    <t>kWth</t>
  </si>
  <si>
    <t>$heat_{\text{costing}}$</t>
  </si>
  <si>
    <t>Cinv2_rWGS</t>
  </si>
  <si>
    <t xml:space="preserve"> Investment cost of rWGS</t>
  </si>
  <si>
    <t>$C_{inv2,\text{rWGS}}$</t>
  </si>
  <si>
    <t>5029+2880</t>
  </si>
  <si>
    <t>1409+1011</t>
  </si>
  <si>
    <t>718.3+1027</t>
  </si>
  <si>
    <t>4772+4670</t>
  </si>
  <si>
    <t>4489+4203</t>
  </si>
  <si>
    <t>ELECTRICITY</t>
  </si>
  <si>
    <t>Electricity</t>
  </si>
  <si>
    <t>WATER</t>
  </si>
  <si>
    <t>Water</t>
  </si>
  <si>
    <t>MASS</t>
  </si>
  <si>
    <t>bar</t>
  </si>
  <si>
    <t>(L)</t>
  </si>
  <si>
    <t>MASSFRAC:H2O[1]</t>
  </si>
  <si>
    <t>CO2</t>
  </si>
  <si>
    <t>Hydrogen</t>
  </si>
  <si>
    <t>Syngas_rWGS</t>
  </si>
  <si>
    <t>rWGS</t>
  </si>
  <si>
    <t>in</t>
  </si>
  <si>
    <t>out</t>
  </si>
  <si>
    <t>q_rWGS_hot1</t>
  </si>
  <si>
    <t>Hot</t>
  </si>
  <si>
    <t>q_rWGS_hot2</t>
  </si>
  <si>
    <t>q_rWGS_hot3</t>
  </si>
  <si>
    <t>q_rWGS_hot4</t>
  </si>
  <si>
    <t>q_rWGS_hot5</t>
  </si>
  <si>
    <t>q_rWGS_hot6</t>
  </si>
  <si>
    <t>q_rWGS_hot7</t>
  </si>
  <si>
    <t>q_rWGS_hot8</t>
  </si>
  <si>
    <t>q_rWGS_cold1</t>
  </si>
  <si>
    <t>q_rWGS_cold2</t>
  </si>
  <si>
    <t>Electricity consumption for compression</t>
  </si>
  <si>
    <t>Water condensate</t>
  </si>
  <si>
    <t>CO2 inlet</t>
  </si>
  <si>
    <t>Hydrogen inlet</t>
  </si>
  <si>
    <t>Syngas as output of the WGS</t>
  </si>
  <si>
    <t>°C</t>
  </si>
  <si>
    <t>(G)</t>
  </si>
  <si>
    <t>MOLEFRAC:CH4[4.18%]&amp;H2O[1.10%]&amp;CO[31.57%]&amp;H2[63.14%]</t>
  </si>
  <si>
    <t>MASSFRAC:C02[1]</t>
  </si>
  <si>
    <t>MASSFRAC:H2[1]</t>
  </si>
  <si>
    <t>Syngas_output_kw</t>
  </si>
  <si>
    <t>1*Syngas_ouput</t>
  </si>
  <si>
    <t>Syngas_ouput*LHV_syngas/3600</t>
  </si>
  <si>
    <t>H2_compr+CO2_compr+Recy_compr</t>
  </si>
  <si>
    <t>(i*(1+i)^n)/((1+i)^n-1)</t>
  </si>
  <si>
    <t>Cinv2_rWGS_spec*heat_costing*(CEPCI_2020/CEPCI_2008)*Annuity</t>
  </si>
  <si>
    <t xml:space="preserve"> 2020 CEPCI</t>
  </si>
  <si>
    <t>kJ/kgK</t>
  </si>
  <si>
    <t>K</t>
  </si>
  <si>
    <t>kW/m2K</t>
  </si>
  <si>
    <t>No</t>
  </si>
  <si>
    <t>Yes</t>
  </si>
  <si>
    <t>DEFAULT</t>
  </si>
  <si>
    <t>Cold</t>
  </si>
  <si>
    <t xml:space="preserve"> Heat duty hydrogen first compression intercooling, only use if low pressure electrolysis SOEC</t>
  </si>
  <si>
    <t xml:space="preserve"> Heat duty CO2 first compression intercooling, low pressure CO2 - not compressed</t>
  </si>
  <si>
    <t>eur/year</t>
  </si>
  <si>
    <t>eur/kWth</t>
  </si>
  <si>
    <t>rWGS_Reactor</t>
  </si>
  <si>
    <t>Asset</t>
  </si>
  <si>
    <t>Refractory Reactor</t>
  </si>
  <si>
    <t>Lifetime</t>
  </si>
  <si>
    <t>year</t>
  </si>
  <si>
    <t xml:space="preserve"> Investment cost of rWGS (2020)</t>
  </si>
  <si>
    <t>0.4*Q_cold1+Q_cold2</t>
  </si>
  <si>
    <t xml:space="preserve"> Specific investment cost </t>
  </si>
  <si>
    <t>Specific investment cost</t>
  </si>
  <si>
    <t>CEPCI 2008</t>
  </si>
  <si>
    <t>@Florez-Orrego et al</t>
  </si>
  <si>
    <t>The rWGS unit converts CO2​ and H2​ into a synthesis gas (CO+H2​) via a high-temperature endothermic reaction (750°C).</t>
  </si>
  <si>
    <t>The unit interfaces with the CO2​ capture and Hydrogen production layers. It outputs a syngas tailored for downstream chemical synthesis and a water byproduct.</t>
  </si>
  <si>
    <t>A full refractory reactor (asset) is required for cost calculation.</t>
  </si>
  <si>
    <t>There are 6 intercooling hot streams, 2 hot streams for product cooling and 2 cold streams for preheating and to provide heat to the endothermic reaction.</t>
  </si>
  <si>
    <t>ReversWGS</t>
  </si>
  <si>
    <t>1. System Overview</t>
  </si>
  <si>
    <t>2. Mass Balance &amp; Connectors</t>
  </si>
  <si>
    <t>3. Thermal Profile &amp; Heat Streams</t>
  </si>
  <si>
    <t>4. Equipment &amp; Economics</t>
  </si>
  <si>
    <t xml:space="preserve"> Energy flow rate of syngas production</t>
  </si>
  <si>
    <t>EPFL IPESE research group</t>
  </si>
  <si>
    <t>[1] Hysys Model, and Impact of the reverse water-gas shift operating conditions on the Power-to-Liquid fuel production cost - Adelung, and Fischer–Tropsch Synthesis as the Key for Decentralized Sustainable Kerosene Production - Meurer;
[2] Adelung, S., Maier, S., &amp; Dietrich, R. U. (2021). Impact of the reverse water-gas shift operating conditions on the Power-to-Liquid process efficiency. Sustainable Energy Technologies and Assessments, 43, 100897;
[3] Samimi, F., Hamedi, N., &amp; Rahimpour, M. R. (2019). Green methanol production process from indirect CO2 conversion: RWGS reactor versus RWGS membrane reactor. Journal of environmental chemical engineering, 7(1), 102813.</t>
  </si>
  <si>
    <t xml:space="preserve"> Heat duty of rWGS product subcooling</t>
  </si>
  <si>
    <t>The Reverse Water-Gas Shift (rWGS) unit converts low-pressure carbon dioxide (CO2) and hydrogen (H2) into synthesis gas (syngas) and a water byproduct.</t>
  </si>
  <si>
    <t>The core process is a high-temperature endothermic reactor operating at 750°C. To maximize efficiency, the system utilizes a high-capacity recuperative heat exchange network that recovers thermal energy from the hot product gas to preheat incoming reactants.</t>
  </si>
  <si>
    <t>• Inputs: CO2 and H2 at 30°C, 1 bar.</t>
  </si>
  <si>
    <t>Advanced heat recovery significantly reduces external heating requirements. The thermal duty breakdown is as follows:</t>
  </si>
  <si>
    <t>CAPEX is calculated based on 'Costing Heat,' which aggregates the reactor duty and 40% of the primary preheating duty to reflect high-alloy material costs.</t>
  </si>
  <si>
    <t>5. Technical Summary Table</t>
  </si>
  <si>
    <t>6. References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</si>
</sst>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9"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font>
    <font>
      <sz val="11"/>
      <color theme="1"/>
      <name val="Calibri"/>
      <family val="2"/>
    </font>
    <font>
      <sz val="11"/>
      <color rgb="FF000000"/>
      <name val="Calibri"/>
      <family val="2"/>
    </font>
    <font>
      <b/>
      <sz val="11"/>
      <color rgb="FFFF0000"/>
      <name val="Calibri"/>
      <family val="2"/>
    </font>
    <font>
      <sz val="11"/>
      <color rgb="FF000000"/>
      <name val="Calibri"/>
      <family val="2"/>
      <scheme val="minor"/>
    </font>
    <font>
      <sz val="11"/>
      <color theme="1"/>
      <name val="Calibri"/>
      <family val="2"/>
      <scheme val="minor"/>
    </font>
    <font>
      <sz val="9"/>
      <color indexed="81"/>
      <name val="Tahoma"/>
      <charset val="1"/>
    </font>
  </fonts>
  <fills count="13">
    <fill>
      <patternFill patternType="none"/>
    </fill>
    <fill>
      <patternFill patternType="gray125"/>
    </fill>
    <fill>
      <patternFill patternType="solid">
        <fgColor rgb="FFBDD6EE"/>
        <bgColor rgb="FFBDD6EE"/>
      </patternFill>
    </fill>
    <fill>
      <patternFill patternType="solid">
        <fgColor theme="0"/>
        <bgColor theme="0"/>
      </patternFill>
    </fill>
    <fill>
      <patternFill patternType="solid">
        <fgColor rgb="FFFFFFFF"/>
        <bgColor rgb="FFFFFFFF"/>
      </patternFill>
    </fill>
    <fill>
      <patternFill patternType="solid">
        <fgColor rgb="FF9CC2E5"/>
        <bgColor rgb="FF9CC2E5"/>
      </patternFill>
    </fill>
    <fill>
      <patternFill patternType="solid">
        <fgColor theme="0"/>
        <bgColor indexed="64"/>
      </patternFill>
    </fill>
    <fill>
      <patternFill patternType="solid">
        <fgColor theme="2"/>
        <bgColor indexed="64"/>
      </patternFill>
    </fill>
    <fill>
      <patternFill patternType="solid">
        <fgColor theme="2"/>
        <bgColor rgb="FFFFFFFF"/>
      </patternFill>
    </fill>
    <fill>
      <patternFill patternType="solid">
        <fgColor theme="5" tint="0.79998168889431442"/>
        <bgColor theme="0"/>
      </patternFill>
    </fill>
    <fill>
      <patternFill patternType="solid">
        <fgColor theme="5" tint="0.79998168889431442"/>
        <bgColor indexed="64"/>
      </patternFill>
    </fill>
    <fill>
      <patternFill patternType="solid">
        <fgColor theme="5" tint="0.79998168889431442"/>
        <bgColor rgb="FFFFFFFF"/>
      </patternFill>
    </fill>
    <fill>
      <patternFill patternType="solid">
        <fgColor rgb="FFDDEBF7"/>
        <bgColor indexed="64"/>
      </patternFill>
    </fill>
  </fills>
  <borders count="89">
    <border>
      <left/>
      <right/>
      <top/>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bottom/>
      <diagonal/>
    </border>
    <border>
      <left/>
      <right/>
      <top/>
      <bottom/>
      <diagonal/>
    </border>
    <border>
      <left/>
      <right/>
      <top/>
      <bottom/>
      <diagonal/>
    </border>
    <border>
      <left/>
      <right/>
      <top/>
      <bottom/>
      <diagonal/>
    </border>
    <border>
      <left/>
      <right/>
      <top/>
      <bottom/>
      <diagonal/>
    </border>
    <border>
      <left style="medium">
        <color rgb="FFFFFFFF"/>
      </left>
      <right style="medium">
        <color rgb="FFFFFFFF"/>
      </right>
      <top style="medium">
        <color rgb="FFFFFFFF"/>
      </top>
      <bottom style="medium">
        <color rgb="FFFFFFFF"/>
      </bottom>
      <diagonal/>
    </border>
    <border>
      <left style="medium">
        <color rgb="FF000000"/>
      </left>
      <right/>
      <top style="medium">
        <color rgb="FF000000"/>
      </top>
      <bottom/>
      <diagonal/>
    </border>
    <border>
      <left/>
      <right/>
      <top style="medium">
        <color rgb="FF000000"/>
      </top>
      <bottom/>
      <diagonal/>
    </border>
    <border>
      <left style="medium">
        <color rgb="FF000000"/>
      </left>
      <right/>
      <top/>
      <bottom/>
      <diagonal/>
    </border>
    <border>
      <left/>
      <right style="medium">
        <color rgb="FF000000"/>
      </right>
      <top/>
      <bottom/>
      <diagonal/>
    </border>
    <border>
      <left style="thin">
        <color rgb="FFFFFFFF"/>
      </left>
      <right style="thin">
        <color rgb="FFFFFFFF"/>
      </right>
      <top/>
      <bottom style="thin">
        <color rgb="FFFFFFFF"/>
      </bottom>
      <diagonal/>
    </border>
    <border>
      <left/>
      <right/>
      <top/>
      <bottom/>
      <diagonal/>
    </border>
    <border>
      <left/>
      <right/>
      <top/>
      <bottom/>
      <diagonal/>
    </border>
    <border>
      <left/>
      <right style="medium">
        <color rgb="FFFFFFFF"/>
      </right>
      <top/>
      <bottom style="medium">
        <color rgb="FFFFFFFF"/>
      </bottom>
      <diagonal/>
    </border>
    <border>
      <left style="thin">
        <color rgb="FFFFFFFF"/>
      </left>
      <right style="thin">
        <color rgb="FFFFFFFF"/>
      </right>
      <top style="thin">
        <color rgb="FFFFFFFF"/>
      </top>
      <bottom/>
      <diagonal/>
    </border>
    <border>
      <left/>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
        <color rgb="FFFFFFFF"/>
      </bottom>
      <diagonal/>
    </border>
    <border>
      <left style="thin">
        <color rgb="FFFFFFFF"/>
      </left>
      <right style="thin">
        <color rgb="FFFFFFFF"/>
      </right>
      <top/>
      <bottom/>
      <diagonal/>
    </border>
    <border>
      <left/>
      <right/>
      <top/>
      <bottom/>
      <diagonal/>
    </border>
    <border>
      <left/>
      <right/>
      <top/>
      <bottom/>
      <diagonal/>
    </border>
    <border>
      <left style="medium">
        <color rgb="FFFFFFFF"/>
      </left>
      <right style="medium">
        <color rgb="FFFFFFFF"/>
      </right>
      <top/>
      <bottom style="medium">
        <color rgb="FFFFFFFF"/>
      </bottom>
      <diagonal/>
    </border>
    <border>
      <left style="thin">
        <color rgb="FFFFFFFF"/>
      </left>
      <right/>
      <top style="thin">
        <color rgb="FFFFFFFF"/>
      </top>
      <bottom/>
      <diagonal/>
    </border>
    <border>
      <left/>
      <right/>
      <top style="medium">
        <color rgb="FFFFFFFF"/>
      </top>
      <bottom style="medium">
        <color rgb="FFFFFFFF"/>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FFFFFF"/>
      </left>
      <right style="medium">
        <color rgb="FFFFFFFF"/>
      </right>
      <top/>
      <bottom style="medium">
        <color rgb="FFFFFFFF"/>
      </bottom>
      <diagonal/>
    </border>
    <border>
      <left/>
      <right style="medium">
        <color rgb="FFFFFFFF"/>
      </right>
      <top style="medium">
        <color rgb="FFFFFFFF"/>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FFFFFF"/>
      </left>
      <right style="medium">
        <color rgb="FFFFFFFF"/>
      </right>
      <top/>
      <bottom style="medium">
        <color rgb="FFFFFFFF"/>
      </bottom>
      <diagonal/>
    </border>
    <border>
      <left style="medium">
        <color rgb="FF000000"/>
      </left>
      <right style="thin">
        <color rgb="FFCCCCCC"/>
      </right>
      <top style="medium">
        <color rgb="FF000000"/>
      </top>
      <bottom style="medium">
        <color rgb="FF000000"/>
      </bottom>
      <diagonal/>
    </border>
    <border>
      <left style="thin">
        <color rgb="FFCCCCCC"/>
      </left>
      <right style="thin">
        <color rgb="FFCCCCCC"/>
      </right>
      <top style="medium">
        <color rgb="FF000000"/>
      </top>
      <bottom style="medium">
        <color rgb="FF000000"/>
      </bottom>
      <diagonal/>
    </border>
    <border>
      <left/>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FFFFFF"/>
      </left>
      <right style="medium">
        <color rgb="FFFFFFFF"/>
      </right>
      <top style="medium">
        <color rgb="FFFFFFFF"/>
      </top>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style="medium">
        <color rgb="FF000000"/>
      </top>
      <bottom style="medium">
        <color indexed="64"/>
      </bottom>
      <diagonal/>
    </border>
    <border>
      <left style="medium">
        <color indexed="64"/>
      </left>
      <right/>
      <top/>
      <bottom/>
      <diagonal/>
    </border>
    <border>
      <left/>
      <right style="medium">
        <color indexed="64"/>
      </right>
      <top/>
      <bottom/>
      <diagonal/>
    </border>
    <border>
      <left/>
      <right/>
      <top style="medium">
        <color rgb="FF000000"/>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rgb="FF000000"/>
      </right>
      <top style="medium">
        <color rgb="FF000000"/>
      </top>
      <bottom style="medium">
        <color indexed="64"/>
      </bottom>
      <diagonal/>
    </border>
    <border>
      <left style="medium">
        <color rgb="FF000000"/>
      </left>
      <right style="thin">
        <color rgb="FFCCCCCC"/>
      </right>
      <top/>
      <bottom/>
      <diagonal/>
    </border>
    <border>
      <left style="thin">
        <color rgb="FFCCCCCC"/>
      </left>
      <right style="thin">
        <color rgb="FFCCCCCC"/>
      </right>
      <top/>
      <bottom/>
      <diagonal/>
    </border>
    <border>
      <left style="thin">
        <color rgb="FFCCCCCC"/>
      </left>
      <right style="thin">
        <color rgb="FFCCCCCC"/>
      </right>
      <top style="medium">
        <color rgb="FF000000"/>
      </top>
      <bottom/>
      <diagonal/>
    </border>
    <border>
      <left style="thin">
        <color rgb="FFCCCCCC"/>
      </left>
      <right/>
      <top style="medium">
        <color rgb="FF000000"/>
      </top>
      <bottom/>
      <diagonal/>
    </border>
    <border>
      <left/>
      <right/>
      <top style="medium">
        <color indexed="64"/>
      </top>
      <bottom/>
      <diagonal/>
    </border>
    <border>
      <left/>
      <right/>
      <top/>
      <bottom style="medium">
        <color indexed="64"/>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rgb="FF000000"/>
      </right>
      <top style="thin">
        <color theme="0" tint="-0.14999847407452621"/>
      </top>
      <bottom style="thin">
        <color theme="0" tint="-0.14999847407452621"/>
      </bottom>
      <diagonal/>
    </border>
    <border>
      <left/>
      <right style="thin">
        <color theme="0" tint="-0.14999847407452621"/>
      </right>
      <top style="thin">
        <color theme="0" tint="-0.14999847407452621"/>
      </top>
      <bottom style="medium">
        <color rgb="FF000000"/>
      </bottom>
      <diagonal/>
    </border>
    <border>
      <left style="thin">
        <color theme="0" tint="-0.14999847407452621"/>
      </left>
      <right style="thin">
        <color theme="0" tint="-0.14999847407452621"/>
      </right>
      <top style="thin">
        <color theme="0" tint="-0.14999847407452621"/>
      </top>
      <bottom style="medium">
        <color rgb="FF000000"/>
      </bottom>
      <diagonal/>
    </border>
    <border>
      <left style="thin">
        <color theme="0" tint="-0.14999847407452621"/>
      </left>
      <right style="medium">
        <color rgb="FF000000"/>
      </right>
      <top style="thin">
        <color theme="0" tint="-0.14999847407452621"/>
      </top>
      <bottom style="medium">
        <color rgb="FF000000"/>
      </bottom>
      <diagonal/>
    </border>
    <border>
      <left/>
      <right style="thin">
        <color theme="0" tint="-0.14999847407452621"/>
      </right>
      <top style="medium">
        <color rgb="FF000000"/>
      </top>
      <bottom style="thin">
        <color theme="0" tint="-0.14999847407452621"/>
      </bottom>
      <diagonal/>
    </border>
    <border>
      <left style="thin">
        <color theme="0" tint="-0.14999847407452621"/>
      </left>
      <right style="thin">
        <color theme="0" tint="-0.14999847407452621"/>
      </right>
      <top style="medium">
        <color rgb="FF000000"/>
      </top>
      <bottom style="thin">
        <color theme="0" tint="-0.14999847407452621"/>
      </bottom>
      <diagonal/>
    </border>
    <border>
      <left style="thin">
        <color theme="0" tint="-0.14999847407452621"/>
      </left>
      <right style="medium">
        <color rgb="FF000000"/>
      </right>
      <top style="medium">
        <color rgb="FF000000"/>
      </top>
      <bottom style="thin">
        <color theme="0" tint="-0.14999847407452621"/>
      </bottom>
      <diagonal/>
    </border>
    <border>
      <left/>
      <right style="thin">
        <color theme="0" tint="-0.14999847407452621"/>
      </right>
      <top style="medium">
        <color rgb="FF000000"/>
      </top>
      <bottom style="medium">
        <color rgb="FF000000"/>
      </bottom>
      <diagonal/>
    </border>
    <border>
      <left style="thin">
        <color theme="0" tint="-0.14999847407452621"/>
      </left>
      <right style="thin">
        <color theme="0" tint="-0.14999847407452621"/>
      </right>
      <top style="medium">
        <color rgb="FF000000"/>
      </top>
      <bottom style="medium">
        <color rgb="FF000000"/>
      </bottom>
      <diagonal/>
    </border>
    <border>
      <left style="thin">
        <color theme="0" tint="-0.14999847407452621"/>
      </left>
      <right style="medium">
        <color rgb="FF000000"/>
      </right>
      <top style="medium">
        <color rgb="FF000000"/>
      </top>
      <bottom style="medium">
        <color rgb="FF000000"/>
      </bottom>
      <diagonal/>
    </border>
    <border>
      <left style="medium">
        <color indexed="64"/>
      </left>
      <right style="thin">
        <color theme="0" tint="-0.14999847407452621"/>
      </right>
      <top style="medium">
        <color indexed="64"/>
      </top>
      <bottom style="thin">
        <color theme="0" tint="-0.14999847407452621"/>
      </bottom>
      <diagonal/>
    </border>
    <border>
      <left style="thin">
        <color theme="0" tint="-0.14999847407452621"/>
      </left>
      <right style="thin">
        <color theme="0" tint="-0.14999847407452621"/>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theme="0" tint="-0.14999847407452621"/>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ck">
        <color indexed="64"/>
      </left>
      <right style="thick">
        <color indexed="64"/>
      </right>
      <top style="thick">
        <color indexed="64"/>
      </top>
      <bottom style="thick">
        <color indexed="64"/>
      </bottom>
      <diagonal/>
    </border>
  </borders>
  <cellStyleXfs count="3">
    <xf numFmtId="0" fontId="0" fillId="0" borderId="0"/>
    <xf numFmtId="0" fontId="17" fillId="0" borderId="46"/>
    <xf numFmtId="0" fontId="4" fillId="0" borderId="46"/>
  </cellStyleXfs>
  <cellXfs count="274">
    <xf numFmtId="0" fontId="0" fillId="0" borderId="0" xfId="0"/>
    <xf numFmtId="0" fontId="13" fillId="3" borderId="4" xfId="0" applyFont="1" applyFill="1" applyBorder="1" applyAlignment="1">
      <alignment horizontal="center" vertical="center"/>
    </xf>
    <xf numFmtId="0" fontId="13" fillId="3" borderId="5" xfId="0" applyFont="1" applyFill="1" applyBorder="1" applyAlignment="1">
      <alignment horizontal="left" vertical="center"/>
    </xf>
    <xf numFmtId="0" fontId="13" fillId="3" borderId="7" xfId="0" applyFont="1" applyFill="1" applyBorder="1"/>
    <xf numFmtId="0" fontId="13" fillId="3" borderId="3" xfId="0" applyFont="1" applyFill="1" applyBorder="1"/>
    <xf numFmtId="0" fontId="10" fillId="0" borderId="8" xfId="0" applyFont="1" applyBorder="1"/>
    <xf numFmtId="0" fontId="10" fillId="4" borderId="8" xfId="0" applyFont="1" applyFill="1" applyBorder="1"/>
    <xf numFmtId="0" fontId="12" fillId="4" borderId="8" xfId="0" applyFont="1" applyFill="1" applyBorder="1" applyAlignment="1">
      <alignment horizontal="center"/>
    </xf>
    <xf numFmtId="0" fontId="10" fillId="0" borderId="13" xfId="0" applyFont="1" applyBorder="1"/>
    <xf numFmtId="0" fontId="13" fillId="3" borderId="14" xfId="0" applyFont="1" applyFill="1" applyBorder="1"/>
    <xf numFmtId="0" fontId="13" fillId="3" borderId="15" xfId="0" applyFont="1" applyFill="1" applyBorder="1"/>
    <xf numFmtId="0" fontId="11" fillId="0" borderId="17" xfId="0" applyFont="1" applyBorder="1"/>
    <xf numFmtId="0" fontId="10" fillId="0" borderId="17" xfId="0" applyFont="1" applyBorder="1"/>
    <xf numFmtId="0" fontId="13" fillId="3" borderId="18" xfId="0" applyFont="1" applyFill="1" applyBorder="1"/>
    <xf numFmtId="0" fontId="13" fillId="4" borderId="19" xfId="0" applyFont="1" applyFill="1" applyBorder="1"/>
    <xf numFmtId="0" fontId="10" fillId="4" borderId="20" xfId="0" applyFont="1" applyFill="1" applyBorder="1"/>
    <xf numFmtId="0" fontId="13" fillId="3" borderId="13" xfId="0" applyFont="1" applyFill="1" applyBorder="1"/>
    <xf numFmtId="0" fontId="13" fillId="3" borderId="21" xfId="0" applyFont="1" applyFill="1" applyBorder="1"/>
    <xf numFmtId="0" fontId="13" fillId="3" borderId="17" xfId="0" applyFont="1" applyFill="1" applyBorder="1"/>
    <xf numFmtId="0" fontId="13" fillId="3" borderId="25" xfId="0" applyFont="1" applyFill="1" applyBorder="1"/>
    <xf numFmtId="0" fontId="13" fillId="3" borderId="19" xfId="0" applyFont="1" applyFill="1" applyBorder="1"/>
    <xf numFmtId="0" fontId="10" fillId="0" borderId="19" xfId="0" applyFont="1" applyBorder="1"/>
    <xf numFmtId="0" fontId="10" fillId="4" borderId="19" xfId="0" applyFont="1" applyFill="1" applyBorder="1"/>
    <xf numFmtId="0" fontId="15" fillId="4" borderId="1" xfId="0" applyFont="1" applyFill="1" applyBorder="1" applyAlignment="1">
      <alignment horizontal="left"/>
    </xf>
    <xf numFmtId="0" fontId="13" fillId="4" borderId="1" xfId="0" applyFont="1" applyFill="1" applyBorder="1"/>
    <xf numFmtId="0" fontId="13" fillId="4" borderId="1" xfId="0" applyFont="1" applyFill="1" applyBorder="1" applyAlignment="1">
      <alignment horizontal="left"/>
    </xf>
    <xf numFmtId="0" fontId="10" fillId="4" borderId="1" xfId="0" applyFont="1" applyFill="1" applyBorder="1" applyAlignment="1">
      <alignment horizontal="left"/>
    </xf>
    <xf numFmtId="0" fontId="10" fillId="4" borderId="1" xfId="0" applyFont="1" applyFill="1" applyBorder="1"/>
    <xf numFmtId="0" fontId="11" fillId="4" borderId="1" xfId="0" applyFont="1" applyFill="1" applyBorder="1"/>
    <xf numFmtId="0" fontId="9" fillId="4" borderId="17" xfId="0" applyFont="1" applyFill="1" applyBorder="1"/>
    <xf numFmtId="0" fontId="10" fillId="4" borderId="17" xfId="0" applyFont="1" applyFill="1" applyBorder="1"/>
    <xf numFmtId="0" fontId="13" fillId="4" borderId="17" xfId="0" applyFont="1" applyFill="1" applyBorder="1"/>
    <xf numFmtId="0" fontId="9" fillId="4" borderId="1" xfId="0" applyFont="1" applyFill="1" applyBorder="1"/>
    <xf numFmtId="0" fontId="13" fillId="4" borderId="30" xfId="0" applyFont="1" applyFill="1" applyBorder="1" applyAlignment="1">
      <alignment horizontal="center"/>
    </xf>
    <xf numFmtId="0" fontId="13" fillId="4" borderId="24" xfId="0" applyFont="1" applyFill="1" applyBorder="1" applyAlignment="1">
      <alignment horizontal="center"/>
    </xf>
    <xf numFmtId="0" fontId="13" fillId="4" borderId="31" xfId="0" applyFont="1" applyFill="1" applyBorder="1" applyAlignment="1">
      <alignment horizontal="center"/>
    </xf>
    <xf numFmtId="0" fontId="13" fillId="4" borderId="19" xfId="0" applyFont="1" applyFill="1" applyBorder="1" applyAlignment="1">
      <alignment horizontal="center"/>
    </xf>
    <xf numFmtId="0" fontId="15" fillId="4" borderId="20" xfId="0" applyFont="1" applyFill="1" applyBorder="1" applyAlignment="1">
      <alignment horizontal="left"/>
    </xf>
    <xf numFmtId="0" fontId="13" fillId="4" borderId="8" xfId="0" applyFont="1" applyFill="1" applyBorder="1" applyAlignment="1">
      <alignment horizontal="center"/>
    </xf>
    <xf numFmtId="0" fontId="12" fillId="4" borderId="19" xfId="0" applyFont="1" applyFill="1" applyBorder="1" applyAlignment="1">
      <alignment horizontal="center" vertical="center" wrapText="1"/>
    </xf>
    <xf numFmtId="0" fontId="13" fillId="3" borderId="8" xfId="0" applyFont="1" applyFill="1" applyBorder="1" applyAlignment="1">
      <alignment horizontal="center"/>
    </xf>
    <xf numFmtId="0" fontId="15" fillId="3" borderId="8" xfId="0" applyFont="1" applyFill="1" applyBorder="1" applyAlignment="1">
      <alignment horizontal="left"/>
    </xf>
    <xf numFmtId="0" fontId="12" fillId="4" borderId="0" xfId="0" applyFont="1" applyFill="1" applyAlignment="1">
      <alignment horizontal="center"/>
    </xf>
    <xf numFmtId="0" fontId="13" fillId="3" borderId="6" xfId="0" applyFont="1" applyFill="1" applyBorder="1" applyAlignment="1">
      <alignment horizontal="center"/>
    </xf>
    <xf numFmtId="0" fontId="15" fillId="3" borderId="6" xfId="0" applyFont="1" applyFill="1" applyBorder="1" applyAlignment="1">
      <alignment horizontal="left"/>
    </xf>
    <xf numFmtId="0" fontId="13" fillId="3" borderId="4" xfId="0" applyFont="1" applyFill="1" applyBorder="1" applyAlignment="1">
      <alignment horizontal="center"/>
    </xf>
    <xf numFmtId="0" fontId="15" fillId="3" borderId="35" xfId="0" quotePrefix="1" applyFont="1" applyFill="1" applyBorder="1" applyAlignment="1">
      <alignment horizontal="left"/>
    </xf>
    <xf numFmtId="0" fontId="13" fillId="3" borderId="35" xfId="0" applyFont="1" applyFill="1" applyBorder="1" applyAlignment="1">
      <alignment horizontal="center"/>
    </xf>
    <xf numFmtId="0" fontId="13" fillId="3" borderId="3" xfId="0" applyFont="1" applyFill="1" applyBorder="1" applyAlignment="1">
      <alignment horizontal="center"/>
    </xf>
    <xf numFmtId="0" fontId="15" fillId="3" borderId="3" xfId="0" applyFont="1" applyFill="1" applyBorder="1" applyAlignment="1">
      <alignment horizontal="left"/>
    </xf>
    <xf numFmtId="0" fontId="15" fillId="3" borderId="24" xfId="0" applyFont="1" applyFill="1" applyBorder="1" applyAlignment="1">
      <alignment horizontal="left" vertical="center"/>
    </xf>
    <xf numFmtId="0" fontId="13" fillId="3" borderId="24" xfId="0" applyFont="1" applyFill="1" applyBorder="1" applyAlignment="1">
      <alignment horizontal="center"/>
    </xf>
    <xf numFmtId="0" fontId="15" fillId="3" borderId="8" xfId="0" quotePrefix="1" applyFont="1" applyFill="1" applyBorder="1" applyAlignment="1">
      <alignment horizontal="left"/>
    </xf>
    <xf numFmtId="0" fontId="15" fillId="3" borderId="8" xfId="0" applyFont="1" applyFill="1" applyBorder="1" applyAlignment="1">
      <alignment horizontal="left" vertical="center"/>
    </xf>
    <xf numFmtId="0" fontId="15" fillId="3" borderId="14" xfId="0" applyFont="1" applyFill="1" applyBorder="1" applyAlignment="1">
      <alignment horizontal="left" vertical="center"/>
    </xf>
    <xf numFmtId="0" fontId="15" fillId="3" borderId="15" xfId="0" applyFont="1" applyFill="1" applyBorder="1" applyAlignment="1">
      <alignment horizontal="left"/>
    </xf>
    <xf numFmtId="0" fontId="13" fillId="3" borderId="15" xfId="0" applyFont="1" applyFill="1" applyBorder="1" applyAlignment="1">
      <alignment horizontal="center"/>
    </xf>
    <xf numFmtId="0" fontId="13" fillId="3" borderId="15" xfId="0" applyFont="1" applyFill="1" applyBorder="1" applyAlignment="1">
      <alignment horizontal="left"/>
    </xf>
    <xf numFmtId="0" fontId="13" fillId="3" borderId="8" xfId="0" applyFont="1" applyFill="1" applyBorder="1" applyAlignment="1">
      <alignment horizontal="center" vertical="center"/>
    </xf>
    <xf numFmtId="0" fontId="13" fillId="3" borderId="16" xfId="0" applyFont="1" applyFill="1" applyBorder="1" applyAlignment="1">
      <alignment horizontal="center" vertical="center"/>
    </xf>
    <xf numFmtId="0" fontId="10" fillId="0" borderId="24" xfId="0" applyFont="1" applyBorder="1"/>
    <xf numFmtId="0" fontId="13" fillId="3" borderId="24" xfId="0" applyFont="1" applyFill="1" applyBorder="1" applyAlignment="1">
      <alignment horizontal="center" vertical="center"/>
    </xf>
    <xf numFmtId="0" fontId="15" fillId="3" borderId="24" xfId="0" applyFont="1" applyFill="1" applyBorder="1" applyAlignment="1">
      <alignment horizontal="left"/>
    </xf>
    <xf numFmtId="0" fontId="13" fillId="3" borderId="36" xfId="0" applyFont="1" applyFill="1" applyBorder="1" applyAlignment="1">
      <alignment horizontal="center"/>
    </xf>
    <xf numFmtId="0" fontId="13" fillId="3" borderId="20" xfId="0" applyFont="1" applyFill="1" applyBorder="1" applyAlignment="1">
      <alignment horizontal="center" vertical="center"/>
    </xf>
    <xf numFmtId="0" fontId="13" fillId="3" borderId="39" xfId="0" applyFont="1" applyFill="1" applyBorder="1" applyAlignment="1">
      <alignment horizontal="center"/>
    </xf>
    <xf numFmtId="0" fontId="15" fillId="3" borderId="5" xfId="0" quotePrefix="1" applyFont="1" applyFill="1" applyBorder="1" applyAlignment="1">
      <alignment horizontal="left"/>
    </xf>
    <xf numFmtId="0" fontId="13" fillId="3" borderId="22" xfId="0" applyFont="1" applyFill="1" applyBorder="1" applyAlignment="1">
      <alignment horizontal="center"/>
    </xf>
    <xf numFmtId="0" fontId="13" fillId="3" borderId="23" xfId="0" applyFont="1" applyFill="1" applyBorder="1" applyAlignment="1">
      <alignment horizontal="center"/>
    </xf>
    <xf numFmtId="0" fontId="15" fillId="3" borderId="14" xfId="0" quotePrefix="1" applyFont="1" applyFill="1" applyBorder="1" applyAlignment="1">
      <alignment horizontal="left"/>
    </xf>
    <xf numFmtId="0" fontId="13" fillId="4" borderId="4" xfId="0" applyFont="1" applyFill="1" applyBorder="1" applyAlignment="1">
      <alignment horizontal="center"/>
    </xf>
    <xf numFmtId="0" fontId="13" fillId="4" borderId="5" xfId="0" applyFont="1" applyFill="1" applyBorder="1" applyAlignment="1">
      <alignment horizontal="center"/>
    </xf>
    <xf numFmtId="0" fontId="13" fillId="4" borderId="3" xfId="0" applyFont="1" applyFill="1" applyBorder="1" applyAlignment="1">
      <alignment horizontal="center"/>
    </xf>
    <xf numFmtId="0" fontId="13" fillId="4" borderId="13" xfId="0" applyFont="1" applyFill="1" applyBorder="1" applyAlignment="1">
      <alignment horizontal="center" vertical="center"/>
    </xf>
    <xf numFmtId="0" fontId="13" fillId="4" borderId="16" xfId="0" applyFont="1" applyFill="1" applyBorder="1" applyAlignment="1">
      <alignment horizontal="center" vertical="center"/>
    </xf>
    <xf numFmtId="0" fontId="13" fillId="4" borderId="24" xfId="0" applyFont="1" applyFill="1" applyBorder="1" applyAlignment="1">
      <alignment horizontal="center" vertical="center"/>
    </xf>
    <xf numFmtId="0" fontId="15" fillId="4" borderId="0" xfId="0" applyFont="1" applyFill="1" applyAlignment="1">
      <alignment horizontal="left"/>
    </xf>
    <xf numFmtId="0" fontId="13" fillId="4" borderId="0" xfId="0" applyFont="1" applyFill="1" applyAlignment="1">
      <alignment horizontal="center"/>
    </xf>
    <xf numFmtId="0" fontId="13" fillId="4" borderId="6" xfId="0" applyFont="1" applyFill="1" applyBorder="1" applyAlignment="1">
      <alignment horizontal="center"/>
    </xf>
    <xf numFmtId="0" fontId="13" fillId="4" borderId="36" xfId="0" applyFont="1" applyFill="1" applyBorder="1" applyAlignment="1">
      <alignment horizontal="center"/>
    </xf>
    <xf numFmtId="0" fontId="13" fillId="4" borderId="47" xfId="0" applyFont="1" applyFill="1" applyBorder="1" applyAlignment="1">
      <alignment horizontal="center"/>
    </xf>
    <xf numFmtId="0" fontId="0" fillId="6" borderId="0" xfId="0" applyFill="1"/>
    <xf numFmtId="0" fontId="9" fillId="0" borderId="1" xfId="0" applyFont="1" applyBorder="1" applyAlignment="1">
      <alignment horizontal="left" vertical="top"/>
    </xf>
    <xf numFmtId="0" fontId="13" fillId="3" borderId="46" xfId="0" applyFont="1" applyFill="1" applyBorder="1" applyAlignment="1">
      <alignment horizontal="left" vertical="center"/>
    </xf>
    <xf numFmtId="0" fontId="0" fillId="7" borderId="0" xfId="0" applyFill="1"/>
    <xf numFmtId="0" fontId="12" fillId="4" borderId="19" xfId="0" applyFont="1" applyFill="1" applyBorder="1" applyAlignment="1">
      <alignment horizontal="center" vertical="center"/>
    </xf>
    <xf numFmtId="2" fontId="10" fillId="4" borderId="8" xfId="0" applyNumberFormat="1" applyFont="1" applyFill="1" applyBorder="1"/>
    <xf numFmtId="0" fontId="12" fillId="2" borderId="27" xfId="0" applyFont="1" applyFill="1" applyBorder="1" applyAlignment="1">
      <alignment horizontal="left" vertical="top"/>
    </xf>
    <xf numFmtId="0" fontId="12" fillId="2" borderId="32" xfId="0" applyFont="1" applyFill="1" applyBorder="1" applyAlignment="1">
      <alignment horizontal="left" vertical="top"/>
    </xf>
    <xf numFmtId="0" fontId="12" fillId="2" borderId="33" xfId="0" applyFont="1" applyFill="1" applyBorder="1" applyAlignment="1">
      <alignment horizontal="left" vertical="top" wrapText="1"/>
    </xf>
    <xf numFmtId="0" fontId="12" fillId="2" borderId="34" xfId="0" applyFont="1" applyFill="1" applyBorder="1" applyAlignment="1">
      <alignment horizontal="left" vertical="top" wrapText="1"/>
    </xf>
    <xf numFmtId="0" fontId="12" fillId="2" borderId="28" xfId="0" applyFont="1" applyFill="1" applyBorder="1" applyAlignment="1">
      <alignment horizontal="left" vertical="top"/>
    </xf>
    <xf numFmtId="0" fontId="12" fillId="2" borderId="37" xfId="0" applyFont="1" applyFill="1" applyBorder="1" applyAlignment="1">
      <alignment horizontal="left" vertical="top"/>
    </xf>
    <xf numFmtId="0" fontId="12" fillId="2" borderId="38" xfId="0" applyFont="1" applyFill="1" applyBorder="1" applyAlignment="1">
      <alignment horizontal="left" vertical="top"/>
    </xf>
    <xf numFmtId="0" fontId="12" fillId="2" borderId="41" xfId="0" applyFont="1" applyFill="1" applyBorder="1" applyAlignment="1">
      <alignment horizontal="left" vertical="top"/>
    </xf>
    <xf numFmtId="0" fontId="12" fillId="2" borderId="40" xfId="0" applyFont="1" applyFill="1" applyBorder="1" applyAlignment="1">
      <alignment horizontal="left" vertical="top"/>
    </xf>
    <xf numFmtId="0" fontId="13" fillId="2" borderId="41" xfId="0" applyFont="1" applyFill="1" applyBorder="1" applyAlignment="1">
      <alignment horizontal="left" vertical="top"/>
    </xf>
    <xf numFmtId="0" fontId="12" fillId="2" borderId="9" xfId="0" applyFont="1" applyFill="1" applyBorder="1" applyAlignment="1">
      <alignment horizontal="left" vertical="top"/>
    </xf>
    <xf numFmtId="0" fontId="12" fillId="2" borderId="10" xfId="0" applyFont="1" applyFill="1" applyBorder="1" applyAlignment="1">
      <alignment horizontal="left" vertical="top"/>
    </xf>
    <xf numFmtId="0" fontId="10" fillId="8" borderId="20" xfId="0" applyFont="1" applyFill="1" applyBorder="1"/>
    <xf numFmtId="0" fontId="10" fillId="8" borderId="26" xfId="0" applyFont="1" applyFill="1" applyBorder="1"/>
    <xf numFmtId="0" fontId="12" fillId="2" borderId="42" xfId="0" applyFont="1" applyFill="1" applyBorder="1" applyAlignment="1">
      <alignment horizontal="left" vertical="top"/>
    </xf>
    <xf numFmtId="0" fontId="12" fillId="2" borderId="48" xfId="0" applyFont="1" applyFill="1" applyBorder="1" applyAlignment="1">
      <alignment horizontal="left" vertical="top"/>
    </xf>
    <xf numFmtId="0" fontId="12" fillId="2" borderId="50" xfId="0" applyFont="1" applyFill="1" applyBorder="1" applyAlignment="1">
      <alignment horizontal="left" vertical="top"/>
    </xf>
    <xf numFmtId="0" fontId="13" fillId="8" borderId="49" xfId="0" applyFont="1" applyFill="1" applyBorder="1" applyAlignment="1">
      <alignment horizontal="left" vertical="top" wrapText="1"/>
    </xf>
    <xf numFmtId="0" fontId="12" fillId="2" borderId="49" xfId="0" applyFont="1" applyFill="1" applyBorder="1" applyAlignment="1">
      <alignment horizontal="left" vertical="top"/>
    </xf>
    <xf numFmtId="0" fontId="13" fillId="4" borderId="21" xfId="0" applyFont="1" applyFill="1" applyBorder="1" applyAlignment="1">
      <alignment horizontal="center" vertical="center"/>
    </xf>
    <xf numFmtId="0" fontId="13" fillId="2" borderId="28" xfId="0" applyFont="1" applyFill="1" applyBorder="1" applyAlignment="1">
      <alignment horizontal="left" vertical="top"/>
    </xf>
    <xf numFmtId="0" fontId="13" fillId="2" borderId="29" xfId="0" applyFont="1" applyFill="1" applyBorder="1" applyAlignment="1">
      <alignment horizontal="left" vertical="top"/>
    </xf>
    <xf numFmtId="0" fontId="13" fillId="2" borderId="11" xfId="0" applyFont="1" applyFill="1" applyBorder="1" applyAlignment="1">
      <alignment horizontal="left" vertical="top"/>
    </xf>
    <xf numFmtId="0" fontId="13" fillId="2" borderId="46" xfId="0" applyFont="1" applyFill="1" applyBorder="1" applyAlignment="1">
      <alignment horizontal="left" vertical="top"/>
    </xf>
    <xf numFmtId="0" fontId="8" fillId="2" borderId="46" xfId="0" applyFont="1" applyFill="1" applyBorder="1" applyAlignment="1">
      <alignment horizontal="left" vertical="top"/>
    </xf>
    <xf numFmtId="0" fontId="13" fillId="2" borderId="12" xfId="0" applyFont="1" applyFill="1" applyBorder="1" applyAlignment="1">
      <alignment horizontal="left" vertical="top"/>
    </xf>
    <xf numFmtId="0" fontId="12" fillId="2" borderId="54" xfId="0" applyFont="1" applyFill="1" applyBorder="1" applyAlignment="1">
      <alignment horizontal="left" vertical="top"/>
    </xf>
    <xf numFmtId="0" fontId="12" fillId="2" borderId="55" xfId="0" applyFont="1" applyFill="1" applyBorder="1" applyAlignment="1">
      <alignment horizontal="left" vertical="top"/>
    </xf>
    <xf numFmtId="0" fontId="12" fillId="2" borderId="56" xfId="0" applyFont="1" applyFill="1" applyBorder="1" applyAlignment="1">
      <alignment horizontal="left" vertical="top"/>
    </xf>
    <xf numFmtId="0" fontId="0" fillId="6" borderId="52" xfId="0" applyFill="1" applyBorder="1"/>
    <xf numFmtId="0" fontId="12" fillId="2" borderId="57" xfId="0" applyFont="1" applyFill="1" applyBorder="1" applyAlignment="1">
      <alignment horizontal="left" vertical="center"/>
    </xf>
    <xf numFmtId="0" fontId="12" fillId="2" borderId="51" xfId="0" applyFont="1" applyFill="1" applyBorder="1" applyAlignment="1">
      <alignment horizontal="left" vertical="center"/>
    </xf>
    <xf numFmtId="0" fontId="13" fillId="3" borderId="52" xfId="0" applyFont="1" applyFill="1" applyBorder="1" applyAlignment="1">
      <alignment horizontal="right"/>
    </xf>
    <xf numFmtId="164" fontId="13" fillId="3" borderId="52" xfId="0" applyNumberFormat="1" applyFont="1" applyFill="1" applyBorder="1" applyAlignment="1">
      <alignment horizontal="right"/>
    </xf>
    <xf numFmtId="0" fontId="12" fillId="2" borderId="51" xfId="0" applyFont="1" applyFill="1" applyBorder="1" applyAlignment="1">
      <alignment horizontal="left" vertical="center" wrapText="1"/>
    </xf>
    <xf numFmtId="0" fontId="13" fillId="3" borderId="52" xfId="0" applyFont="1" applyFill="1" applyBorder="1" applyAlignment="1">
      <alignment horizontal="right" wrapText="1"/>
    </xf>
    <xf numFmtId="0" fontId="12" fillId="2" borderId="59" xfId="0" applyFont="1" applyFill="1" applyBorder="1" applyAlignment="1">
      <alignment horizontal="left" vertical="center" wrapText="1"/>
    </xf>
    <xf numFmtId="0" fontId="13" fillId="3" borderId="60" xfId="0" applyFont="1" applyFill="1" applyBorder="1" applyAlignment="1">
      <alignment horizontal="right"/>
    </xf>
    <xf numFmtId="0" fontId="12" fillId="2" borderId="54" xfId="0" applyFont="1" applyFill="1" applyBorder="1" applyAlignment="1">
      <alignment vertical="top"/>
    </xf>
    <xf numFmtId="0" fontId="12" fillId="2" borderId="55" xfId="0" applyFont="1" applyFill="1" applyBorder="1" applyAlignment="1">
      <alignment vertical="top"/>
    </xf>
    <xf numFmtId="0" fontId="12" fillId="2" borderId="56" xfId="0" applyFont="1" applyFill="1" applyBorder="1" applyAlignment="1">
      <alignment vertical="top"/>
    </xf>
    <xf numFmtId="0" fontId="12" fillId="2" borderId="53" xfId="0" applyFont="1" applyFill="1" applyBorder="1" applyAlignment="1">
      <alignment horizontal="left" vertical="top"/>
    </xf>
    <xf numFmtId="0" fontId="12" fillId="2" borderId="61" xfId="0" applyFont="1" applyFill="1" applyBorder="1" applyAlignment="1">
      <alignment horizontal="left" vertical="top"/>
    </xf>
    <xf numFmtId="0" fontId="13" fillId="2" borderId="45" xfId="0" applyFont="1" applyFill="1" applyBorder="1" applyAlignment="1">
      <alignment horizontal="left" vertical="top"/>
    </xf>
    <xf numFmtId="0" fontId="10" fillId="2" borderId="2" xfId="0" applyFont="1" applyFill="1" applyBorder="1" applyAlignment="1">
      <alignment vertical="top"/>
    </xf>
    <xf numFmtId="0" fontId="10" fillId="2" borderId="2" xfId="0" applyFont="1" applyFill="1" applyBorder="1" applyAlignment="1" applyProtection="1">
      <alignment vertical="top"/>
      <protection locked="0"/>
    </xf>
    <xf numFmtId="0" fontId="0" fillId="0" borderId="0" xfId="0" applyProtection="1">
      <protection locked="0"/>
    </xf>
    <xf numFmtId="0" fontId="8" fillId="0" borderId="1" xfId="0" applyFont="1" applyBorder="1" applyAlignment="1" applyProtection="1">
      <alignment horizontal="left" vertical="top" wrapText="1"/>
      <protection locked="0"/>
    </xf>
    <xf numFmtId="0" fontId="7" fillId="0" borderId="1" xfId="0" applyFont="1" applyBorder="1" applyAlignment="1" applyProtection="1">
      <alignment horizontal="left" vertical="top" wrapText="1"/>
      <protection locked="0"/>
    </xf>
    <xf numFmtId="0" fontId="8" fillId="6" borderId="0" xfId="0" applyFont="1" applyFill="1" applyAlignment="1">
      <alignment horizontal="left" vertical="center"/>
    </xf>
    <xf numFmtId="0" fontId="6" fillId="6" borderId="0" xfId="0" applyFont="1" applyFill="1" applyAlignment="1">
      <alignment horizontal="left" vertical="center"/>
    </xf>
    <xf numFmtId="0" fontId="6" fillId="4" borderId="1" xfId="0" applyFont="1" applyFill="1" applyBorder="1"/>
    <xf numFmtId="0" fontId="13" fillId="3" borderId="54" xfId="0" applyFont="1" applyFill="1" applyBorder="1" applyAlignment="1">
      <alignment horizontal="right"/>
    </xf>
    <xf numFmtId="0" fontId="13" fillId="2" borderId="44" xfId="0" applyFont="1" applyFill="1" applyBorder="1" applyAlignment="1">
      <alignment horizontal="left" vertical="top"/>
    </xf>
    <xf numFmtId="0" fontId="13" fillId="2" borderId="62" xfId="0" applyFont="1" applyFill="1" applyBorder="1" applyAlignment="1">
      <alignment horizontal="left" vertical="top"/>
    </xf>
    <xf numFmtId="0" fontId="13" fillId="2" borderId="63" xfId="0" applyFont="1" applyFill="1" applyBorder="1" applyAlignment="1">
      <alignment horizontal="left" vertical="top"/>
    </xf>
    <xf numFmtId="0" fontId="13" fillId="2" borderId="64" xfId="0" applyFont="1" applyFill="1" applyBorder="1" applyAlignment="1">
      <alignment horizontal="left" vertical="top"/>
    </xf>
    <xf numFmtId="0" fontId="13" fillId="2" borderId="65" xfId="0" applyFont="1" applyFill="1" applyBorder="1" applyAlignment="1">
      <alignment horizontal="left" vertical="top"/>
    </xf>
    <xf numFmtId="0" fontId="12" fillId="5" borderId="57" xfId="0" applyFont="1" applyFill="1" applyBorder="1" applyAlignment="1">
      <alignment horizontal="left" vertical="top"/>
    </xf>
    <xf numFmtId="0" fontId="12" fillId="5" borderId="58" xfId="0" applyFont="1" applyFill="1" applyBorder="1" applyAlignment="1">
      <alignment horizontal="left" vertical="top"/>
    </xf>
    <xf numFmtId="0" fontId="13" fillId="3" borderId="56" xfId="0" applyFont="1" applyFill="1" applyBorder="1" applyAlignment="1">
      <alignment horizontal="right"/>
    </xf>
    <xf numFmtId="0" fontId="13" fillId="3" borderId="55" xfId="0" applyFont="1" applyFill="1" applyBorder="1" applyAlignment="1">
      <alignment horizontal="right"/>
    </xf>
    <xf numFmtId="0" fontId="13" fillId="3" borderId="46" xfId="0" applyFont="1" applyFill="1" applyBorder="1" applyAlignment="1">
      <alignment horizontal="center"/>
    </xf>
    <xf numFmtId="0" fontId="0" fillId="7" borderId="46" xfId="0" applyFill="1" applyBorder="1"/>
    <xf numFmtId="0" fontId="0" fillId="0" borderId="46" xfId="0" applyBorder="1"/>
    <xf numFmtId="2" fontId="14" fillId="6" borderId="55" xfId="0" applyNumberFormat="1" applyFont="1" applyFill="1" applyBorder="1" applyAlignment="1">
      <alignment horizontal="right"/>
    </xf>
    <xf numFmtId="0" fontId="14" fillId="6" borderId="54" xfId="0" applyFont="1" applyFill="1" applyBorder="1" applyAlignment="1">
      <alignment horizontal="right"/>
    </xf>
    <xf numFmtId="0" fontId="14" fillId="6" borderId="56" xfId="0" applyFont="1" applyFill="1" applyBorder="1" applyAlignment="1">
      <alignment horizontal="right"/>
    </xf>
    <xf numFmtId="0" fontId="13" fillId="2" borderId="43" xfId="0" applyFont="1" applyFill="1" applyBorder="1" applyAlignment="1">
      <alignment horizontal="left" vertical="top"/>
    </xf>
    <xf numFmtId="0" fontId="0" fillId="7" borderId="54" xfId="0" applyFill="1" applyBorder="1" applyAlignment="1">
      <alignment horizontal="right"/>
    </xf>
    <xf numFmtId="0" fontId="8" fillId="7" borderId="55" xfId="0" applyFont="1" applyFill="1" applyBorder="1" applyAlignment="1">
      <alignment horizontal="right"/>
    </xf>
    <xf numFmtId="14" fontId="0" fillId="7" borderId="56" xfId="0" applyNumberFormat="1" applyFill="1" applyBorder="1" applyAlignment="1">
      <alignment horizontal="right"/>
    </xf>
    <xf numFmtId="164" fontId="8" fillId="7" borderId="54" xfId="0" applyNumberFormat="1" applyFont="1" applyFill="1" applyBorder="1" applyAlignment="1">
      <alignment horizontal="right"/>
    </xf>
    <xf numFmtId="14" fontId="0" fillId="7" borderId="55" xfId="0" applyNumberFormat="1" applyFill="1" applyBorder="1" applyAlignment="1">
      <alignment horizontal="right"/>
    </xf>
    <xf numFmtId="0" fontId="8" fillId="7" borderId="56" xfId="0" applyFont="1" applyFill="1" applyBorder="1" applyAlignment="1">
      <alignment horizontal="right"/>
    </xf>
    <xf numFmtId="14" fontId="13" fillId="3" borderId="52" xfId="0" applyNumberFormat="1" applyFont="1" applyFill="1" applyBorder="1" applyAlignment="1">
      <alignment horizontal="right"/>
    </xf>
    <xf numFmtId="0" fontId="13" fillId="4" borderId="46" xfId="0" applyFont="1" applyFill="1" applyBorder="1" applyAlignment="1">
      <alignment horizontal="center"/>
    </xf>
    <xf numFmtId="0" fontId="13" fillId="9" borderId="58" xfId="0" applyFont="1" applyFill="1" applyBorder="1" applyAlignment="1">
      <alignment horizontal="right"/>
    </xf>
    <xf numFmtId="0" fontId="13" fillId="9" borderId="52" xfId="0" applyFont="1" applyFill="1" applyBorder="1" applyAlignment="1">
      <alignment horizontal="right" vertical="center"/>
    </xf>
    <xf numFmtId="0" fontId="0" fillId="10" borderId="52" xfId="0" applyFill="1" applyBorder="1" applyAlignment="1">
      <alignment horizontal="right"/>
    </xf>
    <xf numFmtId="0" fontId="13" fillId="0" borderId="46" xfId="0" applyFont="1" applyBorder="1" applyAlignment="1">
      <alignment horizontal="right"/>
    </xf>
    <xf numFmtId="0" fontId="14" fillId="0" borderId="46" xfId="0" applyFont="1" applyBorder="1" applyAlignment="1">
      <alignment horizontal="right"/>
    </xf>
    <xf numFmtId="0" fontId="5" fillId="0" borderId="46" xfId="0" applyFont="1" applyBorder="1" applyAlignment="1">
      <alignment horizontal="right"/>
    </xf>
    <xf numFmtId="0" fontId="13" fillId="0" borderId="46" xfId="0" quotePrefix="1" applyFont="1" applyBorder="1" applyAlignment="1">
      <alignment horizontal="right"/>
    </xf>
    <xf numFmtId="0" fontId="13" fillId="2" borderId="57" xfId="0" applyFont="1" applyFill="1" applyBorder="1" applyAlignment="1">
      <alignment horizontal="left" vertical="top"/>
    </xf>
    <xf numFmtId="0" fontId="13" fillId="2" borderId="66" xfId="0" applyFont="1" applyFill="1" applyBorder="1" applyAlignment="1">
      <alignment horizontal="left" vertical="top"/>
    </xf>
    <xf numFmtId="0" fontId="8" fillId="2" borderId="66" xfId="0" applyFont="1" applyFill="1" applyBorder="1" applyAlignment="1">
      <alignment horizontal="left" vertical="top"/>
    </xf>
    <xf numFmtId="0" fontId="13" fillId="2" borderId="58" xfId="0" applyFont="1" applyFill="1" applyBorder="1" applyAlignment="1">
      <alignment horizontal="left" vertical="top"/>
    </xf>
    <xf numFmtId="0" fontId="14" fillId="0" borderId="69" xfId="0" applyFont="1" applyBorder="1" applyAlignment="1">
      <alignment horizontal="right"/>
    </xf>
    <xf numFmtId="0" fontId="13" fillId="0" borderId="69" xfId="0" applyFont="1" applyBorder="1" applyAlignment="1">
      <alignment horizontal="right"/>
    </xf>
    <xf numFmtId="0" fontId="5" fillId="0" borderId="69" xfId="0" applyFont="1" applyBorder="1" applyAlignment="1">
      <alignment horizontal="right"/>
    </xf>
    <xf numFmtId="0" fontId="13" fillId="0" borderId="72" xfId="0" applyFont="1" applyBorder="1" applyAlignment="1">
      <alignment horizontal="right"/>
    </xf>
    <xf numFmtId="0" fontId="13" fillId="0" borderId="75" xfId="0" applyFont="1" applyBorder="1" applyAlignment="1">
      <alignment horizontal="right"/>
    </xf>
    <xf numFmtId="0" fontId="13" fillId="3" borderId="46" xfId="0" applyFont="1" applyFill="1" applyBorder="1"/>
    <xf numFmtId="0" fontId="13" fillId="4" borderId="36" xfId="0" applyFont="1" applyFill="1" applyBorder="1"/>
    <xf numFmtId="0" fontId="10" fillId="4" borderId="36" xfId="0" applyFont="1" applyFill="1" applyBorder="1"/>
    <xf numFmtId="0" fontId="10" fillId="0" borderId="77" xfId="0" applyFont="1" applyBorder="1" applyAlignment="1">
      <alignment horizontal="right"/>
    </xf>
    <xf numFmtId="0" fontId="10" fillId="0" borderId="78" xfId="0" applyFont="1" applyBorder="1" applyAlignment="1">
      <alignment horizontal="right" vertical="center"/>
    </xf>
    <xf numFmtId="0" fontId="13" fillId="0" borderId="78" xfId="0" applyFont="1" applyBorder="1" applyAlignment="1">
      <alignment horizontal="right" vertical="center"/>
    </xf>
    <xf numFmtId="0" fontId="8" fillId="0" borderId="78" xfId="0" applyFont="1" applyBorder="1" applyAlignment="1">
      <alignment horizontal="right" vertical="center"/>
    </xf>
    <xf numFmtId="0" fontId="10" fillId="0" borderId="78" xfId="0" applyFont="1" applyBorder="1" applyAlignment="1">
      <alignment horizontal="right"/>
    </xf>
    <xf numFmtId="0" fontId="13" fillId="0" borderId="79" xfId="0" applyFont="1" applyBorder="1" applyAlignment="1">
      <alignment horizontal="right"/>
    </xf>
    <xf numFmtId="0" fontId="13" fillId="10" borderId="69" xfId="0" applyFont="1" applyFill="1" applyBorder="1" applyAlignment="1">
      <alignment horizontal="right"/>
    </xf>
    <xf numFmtId="0" fontId="13" fillId="10" borderId="72" xfId="0" applyFont="1" applyFill="1" applyBorder="1" applyAlignment="1">
      <alignment horizontal="right"/>
    </xf>
    <xf numFmtId="0" fontId="8" fillId="0" borderId="68" xfId="0" applyFont="1" applyBorder="1" applyAlignment="1">
      <alignment horizontal="right"/>
    </xf>
    <xf numFmtId="2" fontId="13" fillId="0" borderId="69" xfId="0" applyNumberFormat="1" applyFont="1" applyBorder="1" applyAlignment="1">
      <alignment horizontal="right"/>
    </xf>
    <xf numFmtId="0" fontId="16" fillId="0" borderId="69" xfId="0" applyFont="1" applyBorder="1" applyAlignment="1">
      <alignment horizontal="right"/>
    </xf>
    <xf numFmtId="0" fontId="8" fillId="0" borderId="74" xfId="0" applyFont="1" applyBorder="1" applyAlignment="1">
      <alignment horizontal="right"/>
    </xf>
    <xf numFmtId="2" fontId="13" fillId="0" borderId="75" xfId="0" applyNumberFormat="1" applyFont="1" applyBorder="1" applyAlignment="1">
      <alignment horizontal="right"/>
    </xf>
    <xf numFmtId="0" fontId="16" fillId="0" borderId="75" xfId="0" applyFont="1" applyBorder="1" applyAlignment="1">
      <alignment horizontal="right"/>
    </xf>
    <xf numFmtId="0" fontId="8" fillId="0" borderId="71" xfId="0" applyFont="1" applyBorder="1" applyAlignment="1">
      <alignment horizontal="right"/>
    </xf>
    <xf numFmtId="2" fontId="13" fillId="0" borderId="72" xfId="0" applyNumberFormat="1" applyFont="1" applyBorder="1" applyAlignment="1">
      <alignment horizontal="right"/>
    </xf>
    <xf numFmtId="0" fontId="16" fillId="0" borderId="72" xfId="0" applyFont="1" applyBorder="1" applyAlignment="1">
      <alignment horizontal="right"/>
    </xf>
    <xf numFmtId="0" fontId="13" fillId="0" borderId="76" xfId="0" applyFont="1" applyBorder="1" applyAlignment="1">
      <alignment horizontal="right"/>
    </xf>
    <xf numFmtId="0" fontId="13" fillId="0" borderId="70" xfId="0" applyFont="1" applyBorder="1" applyAlignment="1">
      <alignment horizontal="right"/>
    </xf>
    <xf numFmtId="0" fontId="13" fillId="0" borderId="73" xfId="0" applyFont="1" applyBorder="1" applyAlignment="1">
      <alignment horizontal="right"/>
    </xf>
    <xf numFmtId="0" fontId="4" fillId="0" borderId="68" xfId="0" applyFont="1" applyBorder="1" applyAlignment="1">
      <alignment horizontal="right"/>
    </xf>
    <xf numFmtId="0" fontId="13" fillId="0" borderId="80" xfId="0" applyFont="1" applyBorder="1" applyAlignment="1">
      <alignment horizontal="right"/>
    </xf>
    <xf numFmtId="0" fontId="14" fillId="0" borderId="81" xfId="0" applyFont="1" applyBorder="1" applyAlignment="1">
      <alignment horizontal="right"/>
    </xf>
    <xf numFmtId="0" fontId="13" fillId="0" borderId="81" xfId="0" applyFont="1" applyBorder="1" applyAlignment="1">
      <alignment horizontal="right"/>
    </xf>
    <xf numFmtId="0" fontId="5" fillId="0" borderId="81" xfId="0" applyFont="1" applyBorder="1" applyAlignment="1">
      <alignment horizontal="right"/>
    </xf>
    <xf numFmtId="0" fontId="13" fillId="10" borderId="82" xfId="0" quotePrefix="1" applyFont="1" applyFill="1" applyBorder="1" applyAlignment="1">
      <alignment horizontal="right"/>
    </xf>
    <xf numFmtId="0" fontId="13" fillId="0" borderId="83" xfId="0" applyFont="1" applyBorder="1" applyAlignment="1">
      <alignment horizontal="right"/>
    </xf>
    <xf numFmtId="0" fontId="13" fillId="10" borderId="84" xfId="0" quotePrefix="1" applyFont="1" applyFill="1" applyBorder="1" applyAlignment="1">
      <alignment horizontal="right"/>
    </xf>
    <xf numFmtId="0" fontId="13" fillId="0" borderId="85" xfId="0" applyFont="1" applyBorder="1" applyAlignment="1">
      <alignment horizontal="right"/>
    </xf>
    <xf numFmtId="0" fontId="14" fillId="0" borderId="86" xfId="0" applyFont="1" applyBorder="1" applyAlignment="1">
      <alignment horizontal="right"/>
    </xf>
    <xf numFmtId="0" fontId="13" fillId="0" borderId="86" xfId="0" applyFont="1" applyBorder="1" applyAlignment="1">
      <alignment horizontal="right"/>
    </xf>
    <xf numFmtId="0" fontId="5" fillId="0" borderId="86" xfId="0" applyFont="1" applyBorder="1" applyAlignment="1">
      <alignment horizontal="right"/>
    </xf>
    <xf numFmtId="0" fontId="13" fillId="10" borderId="87" xfId="0" quotePrefix="1" applyFont="1" applyFill="1" applyBorder="1" applyAlignment="1">
      <alignment horizontal="right"/>
    </xf>
    <xf numFmtId="2" fontId="13" fillId="10" borderId="75" xfId="0" applyNumberFormat="1" applyFont="1" applyFill="1" applyBorder="1" applyAlignment="1">
      <alignment horizontal="right"/>
    </xf>
    <xf numFmtId="2" fontId="13" fillId="10" borderId="69" xfId="0" applyNumberFormat="1" applyFont="1" applyFill="1" applyBorder="1" applyAlignment="1">
      <alignment horizontal="right"/>
    </xf>
    <xf numFmtId="2" fontId="13" fillId="10" borderId="72" xfId="0" applyNumberFormat="1" applyFont="1" applyFill="1" applyBorder="1" applyAlignment="1">
      <alignment horizontal="right"/>
    </xf>
    <xf numFmtId="0" fontId="13" fillId="10" borderId="75" xfId="0" applyFont="1" applyFill="1" applyBorder="1" applyAlignment="1">
      <alignment horizontal="right"/>
    </xf>
    <xf numFmtId="0" fontId="13" fillId="3" borderId="46" xfId="0" applyFont="1" applyFill="1" applyBorder="1" applyAlignment="1">
      <alignment horizontal="center" vertical="center"/>
    </xf>
    <xf numFmtId="0" fontId="10" fillId="0" borderId="68" xfId="0" applyFont="1" applyBorder="1" applyAlignment="1">
      <alignment horizontal="right"/>
    </xf>
    <xf numFmtId="2" fontId="10" fillId="0" borderId="69" xfId="0" applyNumberFormat="1" applyFont="1" applyBorder="1" applyAlignment="1">
      <alignment horizontal="right"/>
    </xf>
    <xf numFmtId="0" fontId="10" fillId="0" borderId="69" xfId="0" applyFont="1" applyBorder="1" applyAlignment="1">
      <alignment horizontal="right"/>
    </xf>
    <xf numFmtId="0" fontId="7" fillId="0" borderId="69" xfId="0" applyFont="1" applyBorder="1" applyAlignment="1">
      <alignment horizontal="right"/>
    </xf>
    <xf numFmtId="2" fontId="10" fillId="0" borderId="75" xfId="0" applyNumberFormat="1" applyFont="1" applyBorder="1" applyAlignment="1">
      <alignment horizontal="right"/>
    </xf>
    <xf numFmtId="0" fontId="10" fillId="0" borderId="75" xfId="0" applyFont="1" applyBorder="1" applyAlignment="1">
      <alignment horizontal="right"/>
    </xf>
    <xf numFmtId="0" fontId="7" fillId="0" borderId="75" xfId="0" applyFont="1" applyBorder="1" applyAlignment="1">
      <alignment horizontal="right"/>
    </xf>
    <xf numFmtId="0" fontId="10" fillId="0" borderId="71" xfId="0" applyFont="1" applyBorder="1" applyAlignment="1">
      <alignment horizontal="right"/>
    </xf>
    <xf numFmtId="2" fontId="10" fillId="0" borderId="72" xfId="0" applyNumberFormat="1" applyFont="1" applyBorder="1" applyAlignment="1">
      <alignment horizontal="right"/>
    </xf>
    <xf numFmtId="0" fontId="10" fillId="0" borderId="72" xfId="0" applyFont="1" applyBorder="1" applyAlignment="1">
      <alignment horizontal="right"/>
    </xf>
    <xf numFmtId="0" fontId="7" fillId="0" borderId="72" xfId="0" applyFont="1" applyBorder="1" applyAlignment="1">
      <alignment horizontal="right"/>
    </xf>
    <xf numFmtId="0" fontId="13" fillId="0" borderId="68" xfId="0" applyFont="1" applyBorder="1" applyAlignment="1">
      <alignment horizontal="right" vertical="top"/>
    </xf>
    <xf numFmtId="164" fontId="13" fillId="0" borderId="69" xfId="0" applyNumberFormat="1" applyFont="1" applyBorder="1" applyAlignment="1">
      <alignment horizontal="right"/>
    </xf>
    <xf numFmtId="0" fontId="0" fillId="0" borderId="69" xfId="0" applyBorder="1" applyAlignment="1">
      <alignment horizontal="right"/>
    </xf>
    <xf numFmtId="0" fontId="13" fillId="0" borderId="74" xfId="0" applyFont="1" applyBorder="1" applyAlignment="1">
      <alignment horizontal="right" vertical="top"/>
    </xf>
    <xf numFmtId="164" fontId="13" fillId="0" borderId="75" xfId="0" applyNumberFormat="1" applyFont="1" applyBorder="1" applyAlignment="1">
      <alignment horizontal="right"/>
    </xf>
    <xf numFmtId="0" fontId="0" fillId="0" borderId="75" xfId="0" applyBorder="1" applyAlignment="1">
      <alignment horizontal="right"/>
    </xf>
    <xf numFmtId="0" fontId="13" fillId="0" borderId="71" xfId="0" applyFont="1" applyBorder="1" applyAlignment="1">
      <alignment horizontal="right" vertical="top"/>
    </xf>
    <xf numFmtId="164" fontId="13" fillId="0" borderId="72" xfId="0" applyNumberFormat="1" applyFont="1" applyBorder="1" applyAlignment="1">
      <alignment horizontal="right"/>
    </xf>
    <xf numFmtId="0" fontId="0" fillId="0" borderId="72" xfId="0" applyBorder="1" applyAlignment="1">
      <alignment horizontal="right"/>
    </xf>
    <xf numFmtId="0" fontId="3" fillId="0" borderId="68" xfId="0" applyFont="1" applyBorder="1" applyAlignment="1">
      <alignment horizontal="right"/>
    </xf>
    <xf numFmtId="0" fontId="3" fillId="0" borderId="74" xfId="0" applyFont="1" applyBorder="1" applyAlignment="1">
      <alignment horizontal="right"/>
    </xf>
    <xf numFmtId="0" fontId="3" fillId="0" borderId="75" xfId="0" applyFont="1" applyBorder="1" applyAlignment="1">
      <alignment horizontal="right"/>
    </xf>
    <xf numFmtId="0" fontId="3" fillId="0" borderId="69" xfId="0" applyFont="1" applyBorder="1" applyAlignment="1">
      <alignment horizontal="right"/>
    </xf>
    <xf numFmtId="0" fontId="3" fillId="0" borderId="72" xfId="0" applyFont="1" applyBorder="1" applyAlignment="1">
      <alignment horizontal="right"/>
    </xf>
    <xf numFmtId="0" fontId="13" fillId="10" borderId="76" xfId="0" applyFont="1" applyFill="1" applyBorder="1" applyAlignment="1">
      <alignment horizontal="right"/>
    </xf>
    <xf numFmtId="0" fontId="13" fillId="10" borderId="70" xfId="0" applyFont="1" applyFill="1" applyBorder="1" applyAlignment="1">
      <alignment horizontal="right"/>
    </xf>
    <xf numFmtId="0" fontId="13" fillId="10" borderId="73" xfId="0" applyFont="1" applyFill="1" applyBorder="1" applyAlignment="1">
      <alignment horizontal="right"/>
    </xf>
    <xf numFmtId="0" fontId="13" fillId="11" borderId="49" xfId="0" applyFont="1" applyFill="1" applyBorder="1" applyAlignment="1">
      <alignment vertical="top" wrapText="1"/>
    </xf>
    <xf numFmtId="0" fontId="13" fillId="11" borderId="49" xfId="0" applyFont="1" applyFill="1" applyBorder="1" applyAlignment="1">
      <alignment horizontal="left" vertical="top" wrapText="1"/>
    </xf>
    <xf numFmtId="0" fontId="0" fillId="10" borderId="75" xfId="0" applyFill="1" applyBorder="1" applyAlignment="1">
      <alignment horizontal="right"/>
    </xf>
    <xf numFmtId="0" fontId="7" fillId="10" borderId="75" xfId="0" applyFont="1" applyFill="1" applyBorder="1" applyAlignment="1">
      <alignment horizontal="right"/>
    </xf>
    <xf numFmtId="0" fontId="0" fillId="10" borderId="69" xfId="0" applyFill="1" applyBorder="1" applyAlignment="1">
      <alignment horizontal="right"/>
    </xf>
    <xf numFmtId="0" fontId="7" fillId="10" borderId="69" xfId="0" applyFont="1" applyFill="1" applyBorder="1" applyAlignment="1">
      <alignment horizontal="right"/>
    </xf>
    <xf numFmtId="0" fontId="0" fillId="10" borderId="72" xfId="0" applyFill="1" applyBorder="1" applyAlignment="1">
      <alignment horizontal="right"/>
    </xf>
    <xf numFmtId="0" fontId="7" fillId="10" borderId="72" xfId="0" applyFont="1" applyFill="1" applyBorder="1" applyAlignment="1">
      <alignment horizontal="right"/>
    </xf>
    <xf numFmtId="0" fontId="13" fillId="10" borderId="57" xfId="0" applyFont="1" applyFill="1" applyBorder="1" applyAlignment="1">
      <alignment horizontal="right" vertical="top"/>
    </xf>
    <xf numFmtId="0" fontId="13" fillId="10" borderId="66" xfId="0" applyFont="1" applyFill="1" applyBorder="1" applyAlignment="1">
      <alignment horizontal="right" vertical="top"/>
    </xf>
    <xf numFmtId="0" fontId="13" fillId="10" borderId="58" xfId="0" applyFont="1" applyFill="1" applyBorder="1" applyAlignment="1">
      <alignment horizontal="right" vertical="top"/>
    </xf>
    <xf numFmtId="0" fontId="13" fillId="10" borderId="51" xfId="0" applyFont="1" applyFill="1" applyBorder="1" applyAlignment="1">
      <alignment horizontal="right" vertical="top"/>
    </xf>
    <xf numFmtId="0" fontId="13" fillId="10" borderId="46" xfId="0" applyFont="1" applyFill="1" applyBorder="1" applyAlignment="1">
      <alignment horizontal="right" vertical="top"/>
    </xf>
    <xf numFmtId="0" fontId="13" fillId="10" borderId="52" xfId="0" applyFont="1" applyFill="1" applyBorder="1" applyAlignment="1">
      <alignment horizontal="right" vertical="top"/>
    </xf>
    <xf numFmtId="0" fontId="13" fillId="10" borderId="59" xfId="0" applyFont="1" applyFill="1" applyBorder="1" applyAlignment="1">
      <alignment horizontal="right" vertical="top"/>
    </xf>
    <xf numFmtId="0" fontId="13" fillId="10" borderId="67" xfId="0" applyFont="1" applyFill="1" applyBorder="1" applyAlignment="1">
      <alignment horizontal="right" vertical="top"/>
    </xf>
    <xf numFmtId="0" fontId="13" fillId="10" borderId="60" xfId="0" applyFont="1" applyFill="1" applyBorder="1" applyAlignment="1">
      <alignment horizontal="right" vertical="top"/>
    </xf>
    <xf numFmtId="0" fontId="13" fillId="10" borderId="76" xfId="0" applyFont="1" applyFill="1" applyBorder="1" applyAlignment="1">
      <alignment horizontal="right" vertical="top"/>
    </xf>
    <xf numFmtId="0" fontId="13" fillId="10" borderId="70" xfId="0" applyFont="1" applyFill="1" applyBorder="1" applyAlignment="1">
      <alignment horizontal="right" vertical="top"/>
    </xf>
    <xf numFmtId="0" fontId="13" fillId="10" borderId="73" xfId="0" applyFont="1" applyFill="1" applyBorder="1" applyAlignment="1">
      <alignment horizontal="right" vertical="top"/>
    </xf>
    <xf numFmtId="0" fontId="2" fillId="7" borderId="55" xfId="0" applyFont="1" applyFill="1" applyBorder="1" applyAlignment="1">
      <alignment horizontal="right"/>
    </xf>
    <xf numFmtId="0" fontId="13" fillId="10" borderId="52" xfId="0" applyFont="1" applyFill="1" applyBorder="1" applyAlignment="1">
      <alignment horizontal="right"/>
    </xf>
    <xf numFmtId="0" fontId="13" fillId="9" borderId="52" xfId="0" applyFont="1" applyFill="1" applyBorder="1" applyAlignment="1">
      <alignment horizontal="right" wrapText="1"/>
    </xf>
    <xf numFmtId="0" fontId="9" fillId="12" borderId="88" xfId="0" applyFont="1" applyFill="1" applyBorder="1" applyAlignment="1">
      <alignment wrapText="1"/>
    </xf>
    <xf numFmtId="0" fontId="1" fillId="0" borderId="0" xfId="0" applyFont="1" applyAlignment="1">
      <alignment wrapText="1"/>
    </xf>
  </cellXfs>
  <cellStyles count="3">
    <cellStyle name="Normal" xfId="0" builtinId="0"/>
    <cellStyle name="Normal 2" xfId="1" xr:uid="{15B5984B-4EE4-4A35-88CA-1D33B63AE2B6}"/>
    <cellStyle name="Normal 3" xfId="2" xr:uid="{D24EC48C-1E0B-4C3D-8F2E-6809851F0DB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customschemas.google.com/relationships/workbookmetadata" Target="metadata"/><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10</xdr:col>
      <xdr:colOff>1039091</xdr:colOff>
      <xdr:row>35</xdr:row>
      <xdr:rowOff>96982</xdr:rowOff>
    </xdr:from>
    <xdr:to>
      <xdr:col>12</xdr:col>
      <xdr:colOff>1832264</xdr:colOff>
      <xdr:row>50</xdr:row>
      <xdr:rowOff>188768</xdr:rowOff>
    </xdr:to>
    <xdr:pic>
      <xdr:nvPicPr>
        <xdr:cNvPr id="3" name="Graphic 2">
          <a:extLst>
            <a:ext uri="{FF2B5EF4-FFF2-40B4-BE49-F238E27FC236}">
              <a16:creationId xmlns:a16="http://schemas.microsoft.com/office/drawing/2014/main" id="{E939737E-CCB6-52F3-05EE-E8DC532469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9898109" y="8257309"/>
          <a:ext cx="6667500" cy="4095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6513022</xdr:colOff>
      <xdr:row>22</xdr:row>
      <xdr:rowOff>68580</xdr:rowOff>
    </xdr:from>
    <xdr:to>
      <xdr:col>0</xdr:col>
      <xdr:colOff>9439101</xdr:colOff>
      <xdr:row>30</xdr:row>
      <xdr:rowOff>106680</xdr:rowOff>
    </xdr:to>
    <xdr:pic>
      <xdr:nvPicPr>
        <xdr:cNvPr id="2" name="Picture 1">
          <a:extLst>
            <a:ext uri="{FF2B5EF4-FFF2-40B4-BE49-F238E27FC236}">
              <a16:creationId xmlns:a16="http://schemas.microsoft.com/office/drawing/2014/main" id="{0DEFF9DE-9BD9-57C7-B1CC-6F9F0D36CC26}"/>
            </a:ext>
          </a:extLst>
        </xdr:cNvPr>
        <xdr:cNvPicPr>
          <a:picLocks noChangeAspect="1"/>
        </xdr:cNvPicPr>
      </xdr:nvPicPr>
      <xdr:blipFill>
        <a:blip xmlns:r="http://schemas.openxmlformats.org/officeDocument/2006/relationships" r:embed="rId1"/>
        <a:stretch>
          <a:fillRect/>
        </a:stretch>
      </xdr:blipFill>
      <xdr:spPr>
        <a:xfrm>
          <a:off x="6513022" y="4411980"/>
          <a:ext cx="2926079" cy="150876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baptiste mabboux" id="{95665E31-732C-49C1-A46E-EDB6997866C0}" userId="f3aee38b355b722b" providerId="Windows Liv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K26" dT="2026-05-06T11:31:16.97" personId="{95665E31-732C-49C1-A46E-EDB6997866C0}" id="{337CA021-9AC0-4AD9-A57E-506D35A7B8D0}">
    <text>Computed from Q = m*cp*dT</text>
  </threadedComment>
  <threadedComment ref="K32" dT="2026-05-06T11:26:41.15" personId="{95665E31-732C-49C1-A46E-EDB6997866C0}" id="{1BC422D8-865C-420A-8F81-F4C46D0FE2CC}">
    <text>Assumed pure co2 with constant cp</text>
  </threadedComment>
  <threadedComment ref="K33" dT="2026-05-06T11:28:32.27" personId="{95665E31-732C-49C1-A46E-EDB6997866C0}" id="{13A20CB4-FC14-4090-A17B-0D907B3E1E80}">
    <text>Recalculated from mass flow</text>
  </threadedComment>
</ThreadedComment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2:B10"/>
  <sheetViews>
    <sheetView showGridLines="0" zoomScale="55" zoomScaleNormal="55" workbookViewId="0">
      <selection activeCell="B16" sqref="B16"/>
    </sheetView>
  </sheetViews>
  <sheetFormatPr defaultColWidth="14.44140625" defaultRowHeight="15" customHeight="1" x14ac:dyDescent="0.3"/>
  <cols>
    <col min="1" max="1" width="18.109375" bestFit="1" customWidth="1"/>
    <col min="2" max="2" width="255.77734375" style="133" customWidth="1"/>
    <col min="3" max="3" width="29.44140625" customWidth="1"/>
  </cols>
  <sheetData>
    <row r="2" spans="1:2" ht="37.799999999999997" customHeight="1" x14ac:dyDescent="0.3">
      <c r="A2" s="82" t="s">
        <v>0</v>
      </c>
      <c r="B2" s="134" t="s">
        <v>1</v>
      </c>
    </row>
    <row r="3" spans="1:2" ht="15" customHeight="1" x14ac:dyDescent="0.3">
      <c r="A3" s="131"/>
      <c r="B3" s="132"/>
    </row>
    <row r="4" spans="1:2" ht="23.55" customHeight="1" x14ac:dyDescent="0.3">
      <c r="A4" s="82" t="s">
        <v>123</v>
      </c>
      <c r="B4" s="135" t="s">
        <v>124</v>
      </c>
    </row>
    <row r="5" spans="1:2" ht="14.4" x14ac:dyDescent="0.3">
      <c r="A5" s="131"/>
      <c r="B5" s="132"/>
    </row>
    <row r="6" spans="1:2" ht="72.45" customHeight="1" x14ac:dyDescent="0.3">
      <c r="A6" s="82" t="s">
        <v>2</v>
      </c>
      <c r="B6" s="135" t="s">
        <v>125</v>
      </c>
    </row>
    <row r="7" spans="1:2" ht="14.4" x14ac:dyDescent="0.3">
      <c r="A7" s="131"/>
      <c r="B7" s="132"/>
    </row>
    <row r="8" spans="1:2" ht="39.450000000000003" customHeight="1" x14ac:dyDescent="0.3">
      <c r="A8" s="82" t="s">
        <v>3</v>
      </c>
      <c r="B8" s="134" t="s">
        <v>4</v>
      </c>
    </row>
    <row r="9" spans="1:2" ht="14.4" x14ac:dyDescent="0.3">
      <c r="A9" s="131"/>
      <c r="B9" s="132"/>
    </row>
    <row r="10" spans="1:2" ht="55.8" customHeight="1" x14ac:dyDescent="0.3">
      <c r="A10" s="82" t="s">
        <v>5</v>
      </c>
      <c r="B10" s="135" t="s">
        <v>126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23"/>
  <sheetViews>
    <sheetView showGridLines="0" zoomScale="85" zoomScaleNormal="85" workbookViewId="0">
      <selection activeCell="B18" sqref="B18"/>
    </sheetView>
  </sheetViews>
  <sheetFormatPr defaultColWidth="14.44140625" defaultRowHeight="15" customHeight="1" x14ac:dyDescent="0.3"/>
  <cols>
    <col min="1" max="1" width="59" bestFit="1" customWidth="1"/>
    <col min="2" max="2" width="90.77734375" bestFit="1" customWidth="1"/>
    <col min="3" max="3" width="17.77734375" customWidth="1"/>
    <col min="4" max="4" width="12.6640625" customWidth="1"/>
    <col min="5" max="5" width="4.6640625" customWidth="1"/>
    <col min="6" max="6" width="7" customWidth="1"/>
    <col min="7" max="26" width="10.6640625" customWidth="1"/>
    <col min="27" max="16384" width="14.44140625" style="84"/>
  </cols>
  <sheetData>
    <row r="1" spans="1:4" ht="14.4" x14ac:dyDescent="0.3">
      <c r="A1" s="117" t="s">
        <v>66</v>
      </c>
      <c r="B1" s="164"/>
      <c r="C1" s="2"/>
      <c r="D1" s="11" t="s">
        <v>101</v>
      </c>
    </row>
    <row r="2" spans="1:4" ht="14.4" x14ac:dyDescent="0.3">
      <c r="A2" s="118" t="s">
        <v>67</v>
      </c>
      <c r="B2" s="119" t="s">
        <v>157</v>
      </c>
      <c r="D2" s="136" t="s">
        <v>6</v>
      </c>
    </row>
    <row r="3" spans="1:4" ht="14.4" x14ac:dyDescent="0.3">
      <c r="A3" s="118" t="s">
        <v>68</v>
      </c>
      <c r="B3" s="119" t="s">
        <v>158</v>
      </c>
      <c r="C3" s="84"/>
      <c r="D3" s="137" t="s">
        <v>132</v>
      </c>
    </row>
    <row r="4" spans="1:4" ht="14.4" x14ac:dyDescent="0.3">
      <c r="A4" s="118" t="s">
        <v>80</v>
      </c>
      <c r="B4" s="119" t="s">
        <v>81</v>
      </c>
      <c r="C4" s="84"/>
      <c r="D4" s="137" t="s">
        <v>133</v>
      </c>
    </row>
    <row r="5" spans="1:4" ht="14.4" x14ac:dyDescent="0.3">
      <c r="A5" s="118" t="s">
        <v>71</v>
      </c>
      <c r="B5" s="162">
        <v>46133</v>
      </c>
      <c r="C5" s="84"/>
      <c r="D5" s="136" t="s">
        <v>9</v>
      </c>
    </row>
    <row r="6" spans="1:4" ht="14.4" x14ac:dyDescent="0.3">
      <c r="A6" s="118" t="s">
        <v>75</v>
      </c>
      <c r="B6" s="162">
        <v>46133</v>
      </c>
      <c r="C6" s="84"/>
      <c r="D6" s="136" t="s">
        <v>13</v>
      </c>
    </row>
    <row r="7" spans="1:4" ht="14.4" x14ac:dyDescent="0.3">
      <c r="A7" s="118" t="s">
        <v>83</v>
      </c>
      <c r="B7" s="119" t="s">
        <v>84</v>
      </c>
      <c r="D7" s="137" t="s">
        <v>134</v>
      </c>
    </row>
    <row r="8" spans="1:4" ht="14.4" x14ac:dyDescent="0.3">
      <c r="A8" s="118" t="s">
        <v>69</v>
      </c>
      <c r="B8" s="120" t="s">
        <v>94</v>
      </c>
      <c r="C8" s="84"/>
      <c r="D8" s="137" t="s">
        <v>130</v>
      </c>
    </row>
    <row r="9" spans="1:4" ht="14.4" x14ac:dyDescent="0.3">
      <c r="A9" s="118" t="s">
        <v>70</v>
      </c>
      <c r="B9" s="119" t="s">
        <v>8</v>
      </c>
      <c r="C9" s="84"/>
      <c r="D9" s="137" t="s">
        <v>131</v>
      </c>
    </row>
    <row r="10" spans="1:4" ht="14.4" x14ac:dyDescent="0.3">
      <c r="A10" s="118" t="s">
        <v>102</v>
      </c>
      <c r="B10" s="116">
        <v>1</v>
      </c>
      <c r="D10" s="137" t="s">
        <v>135</v>
      </c>
    </row>
    <row r="11" spans="1:4" ht="14.4" x14ac:dyDescent="0.3">
      <c r="A11" s="118" t="s">
        <v>73</v>
      </c>
      <c r="B11" s="119" t="s">
        <v>10</v>
      </c>
      <c r="C11" s="84"/>
      <c r="D11" s="137" t="s">
        <v>136</v>
      </c>
    </row>
    <row r="12" spans="1:4" ht="28.8" x14ac:dyDescent="0.3">
      <c r="A12" s="121" t="s">
        <v>77</v>
      </c>
      <c r="B12" s="165" t="str">
        <f>TEXT(Syngas_ouput,"0")&amp;"kg/h of produced syngas"</f>
        <v>46069kg/h of produced syngas</v>
      </c>
      <c r="C12" s="1"/>
      <c r="D12" s="137" t="s">
        <v>137</v>
      </c>
    </row>
    <row r="13" spans="1:4" ht="21.45" customHeight="1" x14ac:dyDescent="0.3">
      <c r="A13" s="121" t="s">
        <v>43</v>
      </c>
      <c r="B13" s="119">
        <v>9</v>
      </c>
      <c r="C13" s="1"/>
      <c r="D13" s="137" t="s">
        <v>138</v>
      </c>
    </row>
    <row r="14" spans="1:4" ht="14.4" x14ac:dyDescent="0.3">
      <c r="A14" s="118" t="s">
        <v>76</v>
      </c>
      <c r="B14" s="270" t="s">
        <v>160</v>
      </c>
      <c r="C14" s="83"/>
      <c r="D14" s="136" t="s">
        <v>14</v>
      </c>
    </row>
    <row r="15" spans="1:4" ht="14.4" x14ac:dyDescent="0.3">
      <c r="A15" s="121" t="s">
        <v>15</v>
      </c>
      <c r="B15" s="122" t="s">
        <v>157</v>
      </c>
      <c r="C15" s="1"/>
      <c r="D15" s="136" t="s">
        <v>128</v>
      </c>
    </row>
    <row r="16" spans="1:4" ht="14.4" x14ac:dyDescent="0.3">
      <c r="A16" s="121" t="s">
        <v>78</v>
      </c>
      <c r="B16" s="166"/>
      <c r="C16" s="1"/>
      <c r="D16" s="136" t="s">
        <v>127</v>
      </c>
    </row>
    <row r="17" spans="1:4" ht="14.4" x14ac:dyDescent="0.3">
      <c r="A17" s="121" t="s">
        <v>82</v>
      </c>
      <c r="B17" s="166"/>
      <c r="C17" s="1"/>
      <c r="D17" s="137" t="s">
        <v>139</v>
      </c>
    </row>
    <row r="18" spans="1:4" ht="20.55" customHeight="1" x14ac:dyDescent="0.3">
      <c r="A18" s="118" t="s">
        <v>72</v>
      </c>
      <c r="B18" s="271" t="s">
        <v>399</v>
      </c>
      <c r="C18" s="84"/>
      <c r="D18" s="137" t="s">
        <v>140</v>
      </c>
    </row>
    <row r="19" spans="1:4" ht="14.4" x14ac:dyDescent="0.3">
      <c r="A19" s="118" t="s">
        <v>74</v>
      </c>
      <c r="B19" s="119" t="s">
        <v>153</v>
      </c>
      <c r="C19" s="84"/>
      <c r="D19" s="136" t="s">
        <v>11</v>
      </c>
    </row>
    <row r="20" spans="1:4" ht="14.4" x14ac:dyDescent="0.3">
      <c r="A20" s="118" t="s">
        <v>99</v>
      </c>
      <c r="B20" s="119" t="s">
        <v>153</v>
      </c>
      <c r="C20" s="84"/>
      <c r="D20" s="137" t="s">
        <v>141</v>
      </c>
    </row>
    <row r="21" spans="1:4" ht="15.75" customHeight="1" x14ac:dyDescent="0.3">
      <c r="A21" s="121" t="s">
        <v>79</v>
      </c>
      <c r="B21" s="119" t="s">
        <v>159</v>
      </c>
      <c r="C21" s="1"/>
      <c r="D21" s="137" t="s">
        <v>142</v>
      </c>
    </row>
    <row r="22" spans="1:4" ht="14.4" x14ac:dyDescent="0.3">
      <c r="A22" s="118" t="s">
        <v>12</v>
      </c>
      <c r="B22" s="166"/>
      <c r="C22" s="84"/>
      <c r="D22" s="137" t="s">
        <v>143</v>
      </c>
    </row>
    <row r="23" spans="1:4" ht="15.75" customHeight="1" thickBot="1" x14ac:dyDescent="0.35">
      <c r="A23" s="123" t="s">
        <v>85</v>
      </c>
      <c r="B23" s="124" t="s">
        <v>97</v>
      </c>
      <c r="C23" s="1"/>
      <c r="D23" s="137" t="s">
        <v>129</v>
      </c>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58"/>
  <sheetViews>
    <sheetView showGridLines="0" zoomScale="58" zoomScaleNormal="55" workbookViewId="0">
      <selection activeCell="K9" sqref="K9"/>
    </sheetView>
  </sheetViews>
  <sheetFormatPr defaultColWidth="14.44140625" defaultRowHeight="15" customHeight="1" x14ac:dyDescent="0.3"/>
  <cols>
    <col min="1" max="1" width="42.6640625" style="81" customWidth="1"/>
    <col min="2" max="2" width="19.44140625" style="81" bestFit="1" customWidth="1"/>
    <col min="3" max="3" width="17.33203125" style="81" customWidth="1"/>
    <col min="4" max="4" width="20.109375" style="81" bestFit="1" customWidth="1"/>
    <col min="5" max="5" width="19.44140625" style="81" bestFit="1" customWidth="1"/>
    <col min="6" max="6" width="23.44140625" style="81" customWidth="1"/>
    <col min="7" max="7" width="27" style="81" customWidth="1"/>
    <col min="8" max="8" width="23.44140625" style="81" customWidth="1"/>
    <col min="9" max="9" width="33.109375" style="81" bestFit="1" customWidth="1"/>
    <col min="10" max="10" width="27" style="81" customWidth="1"/>
    <col min="11" max="11" width="54.77734375" bestFit="1" customWidth="1"/>
    <col min="12" max="12" width="61.33203125" customWidth="1"/>
    <col min="13" max="13" width="16" customWidth="1"/>
    <col min="14" max="14" width="18.44140625" customWidth="1"/>
    <col min="15" max="15" width="14.33203125" customWidth="1"/>
    <col min="16" max="16" width="5.109375" customWidth="1"/>
  </cols>
  <sheetData>
    <row r="1" spans="1:16" ht="15" customHeight="1" thickBot="1" x14ac:dyDescent="0.35"/>
    <row r="2" spans="1:16" thickBot="1" x14ac:dyDescent="0.35">
      <c r="A2" s="11" t="s">
        <v>65</v>
      </c>
      <c r="B2" s="4"/>
      <c r="C2" s="4"/>
      <c r="D2" s="4"/>
      <c r="E2" s="4"/>
      <c r="F2" s="4"/>
      <c r="G2" s="4"/>
      <c r="H2" s="4"/>
      <c r="I2" s="4"/>
      <c r="J2" s="4"/>
      <c r="K2" s="3"/>
      <c r="L2" s="5"/>
      <c r="M2" s="6"/>
      <c r="N2" s="6"/>
      <c r="O2" s="6"/>
      <c r="P2" s="6"/>
    </row>
    <row r="3" spans="1:16" thickBot="1" x14ac:dyDescent="0.35">
      <c r="A3" s="97" t="s">
        <v>16</v>
      </c>
      <c r="B3" s="98"/>
      <c r="C3" s="98"/>
      <c r="D3" s="98"/>
      <c r="E3" s="98"/>
      <c r="F3" s="98"/>
      <c r="G3" s="98"/>
      <c r="H3" s="98"/>
      <c r="I3" s="98"/>
      <c r="J3" s="98"/>
      <c r="K3" s="128"/>
      <c r="L3" s="129"/>
      <c r="M3" s="6"/>
      <c r="N3" s="6"/>
      <c r="O3" s="6"/>
      <c r="P3" s="6"/>
    </row>
    <row r="4" spans="1:16" thickBot="1" x14ac:dyDescent="0.35">
      <c r="A4" s="171" t="s">
        <v>100</v>
      </c>
      <c r="B4" s="172" t="s">
        <v>17</v>
      </c>
      <c r="C4" s="172" t="s">
        <v>18</v>
      </c>
      <c r="D4" s="172" t="s">
        <v>148</v>
      </c>
      <c r="E4" s="172" t="s">
        <v>20</v>
      </c>
      <c r="F4" s="173" t="s">
        <v>21</v>
      </c>
      <c r="G4" s="172" t="s">
        <v>22</v>
      </c>
      <c r="H4" s="172" t="s">
        <v>23</v>
      </c>
      <c r="I4" s="172" t="s">
        <v>24</v>
      </c>
      <c r="J4" s="172" t="s">
        <v>25</v>
      </c>
      <c r="K4" s="172" t="s">
        <v>26</v>
      </c>
      <c r="L4" s="174" t="s">
        <v>15</v>
      </c>
      <c r="M4" s="5"/>
      <c r="N4" s="6"/>
      <c r="O4" s="6"/>
      <c r="P4" s="6"/>
    </row>
    <row r="5" spans="1:16" thickBot="1" x14ac:dyDescent="0.35">
      <c r="A5" s="204" t="s">
        <v>324</v>
      </c>
      <c r="B5" s="205" t="s">
        <v>325</v>
      </c>
      <c r="C5" s="205" t="s">
        <v>324</v>
      </c>
      <c r="D5" s="205" t="s">
        <v>183</v>
      </c>
      <c r="E5" s="206" t="s">
        <v>27</v>
      </c>
      <c r="F5" s="207" t="s">
        <v>27</v>
      </c>
      <c r="G5" s="206" t="s">
        <v>27</v>
      </c>
      <c r="H5" s="206" t="s">
        <v>27</v>
      </c>
      <c r="I5" s="206" t="s">
        <v>27</v>
      </c>
      <c r="J5" s="206" t="s">
        <v>27</v>
      </c>
      <c r="K5" s="206" t="s">
        <v>27</v>
      </c>
      <c r="L5" s="208" t="s">
        <v>349</v>
      </c>
      <c r="M5" s="81"/>
      <c r="N5" s="6"/>
      <c r="O5" s="6"/>
      <c r="P5" s="6"/>
    </row>
    <row r="6" spans="1:16" thickBot="1" x14ac:dyDescent="0.35">
      <c r="A6" s="209" t="s">
        <v>326</v>
      </c>
      <c r="B6" s="175" t="s">
        <v>327</v>
      </c>
      <c r="C6" s="175" t="s">
        <v>328</v>
      </c>
      <c r="D6" s="175" t="s">
        <v>175</v>
      </c>
      <c r="E6" s="176">
        <v>25</v>
      </c>
      <c r="F6" s="177" t="s">
        <v>354</v>
      </c>
      <c r="G6" s="176">
        <v>1</v>
      </c>
      <c r="H6" s="176" t="s">
        <v>329</v>
      </c>
      <c r="I6" s="176">
        <v>-1</v>
      </c>
      <c r="J6" s="176" t="s">
        <v>330</v>
      </c>
      <c r="K6" s="176" t="s">
        <v>331</v>
      </c>
      <c r="L6" s="210" t="s">
        <v>350</v>
      </c>
      <c r="M6" s="81"/>
      <c r="N6" s="6"/>
      <c r="O6" s="6"/>
      <c r="P6" s="6"/>
    </row>
    <row r="7" spans="1:16" thickBot="1" x14ac:dyDescent="0.35">
      <c r="A7" s="209" t="s">
        <v>332</v>
      </c>
      <c r="B7" s="175" t="s">
        <v>332</v>
      </c>
      <c r="C7" s="175" t="s">
        <v>328</v>
      </c>
      <c r="D7" s="175" t="s">
        <v>165</v>
      </c>
      <c r="E7" s="176">
        <v>30</v>
      </c>
      <c r="F7" s="177" t="s">
        <v>354</v>
      </c>
      <c r="G7" s="176">
        <v>1</v>
      </c>
      <c r="H7" s="176" t="s">
        <v>329</v>
      </c>
      <c r="I7" s="176">
        <v>-1</v>
      </c>
      <c r="J7" s="176" t="s">
        <v>355</v>
      </c>
      <c r="K7" s="176" t="s">
        <v>357</v>
      </c>
      <c r="L7" s="210" t="s">
        <v>351</v>
      </c>
      <c r="M7" s="81"/>
      <c r="N7" s="6"/>
      <c r="O7" s="6"/>
      <c r="P7" s="6"/>
    </row>
    <row r="8" spans="1:16" thickBot="1" x14ac:dyDescent="0.35">
      <c r="A8" s="209" t="s">
        <v>333</v>
      </c>
      <c r="B8" s="175" t="s">
        <v>333</v>
      </c>
      <c r="C8" s="175" t="s">
        <v>328</v>
      </c>
      <c r="D8" s="175" t="s">
        <v>165</v>
      </c>
      <c r="E8" s="176">
        <v>30</v>
      </c>
      <c r="F8" s="177" t="s">
        <v>354</v>
      </c>
      <c r="G8" s="176">
        <v>1</v>
      </c>
      <c r="H8" s="176" t="s">
        <v>329</v>
      </c>
      <c r="I8" s="176">
        <v>-1</v>
      </c>
      <c r="J8" s="176" t="s">
        <v>355</v>
      </c>
      <c r="K8" s="176" t="s">
        <v>358</v>
      </c>
      <c r="L8" s="210" t="s">
        <v>352</v>
      </c>
      <c r="M8" s="81"/>
      <c r="N8" s="6"/>
      <c r="O8" s="6"/>
      <c r="P8" s="6"/>
    </row>
    <row r="9" spans="1:16" thickBot="1" x14ac:dyDescent="0.35">
      <c r="A9" s="211" t="s">
        <v>334</v>
      </c>
      <c r="B9" s="212" t="s">
        <v>334</v>
      </c>
      <c r="C9" s="212" t="s">
        <v>328</v>
      </c>
      <c r="D9" s="212" t="s">
        <v>165</v>
      </c>
      <c r="E9" s="213">
        <v>30</v>
      </c>
      <c r="F9" s="214" t="s">
        <v>354</v>
      </c>
      <c r="G9" s="213">
        <v>1</v>
      </c>
      <c r="H9" s="213" t="s">
        <v>329</v>
      </c>
      <c r="I9" s="213">
        <v>-1</v>
      </c>
      <c r="J9" s="213" t="s">
        <v>355</v>
      </c>
      <c r="K9" s="213" t="s">
        <v>356</v>
      </c>
      <c r="L9" s="215" t="s">
        <v>353</v>
      </c>
      <c r="M9" s="81"/>
      <c r="N9" s="6"/>
      <c r="O9" s="6"/>
      <c r="P9" s="6"/>
    </row>
    <row r="10" spans="1:16" thickBot="1" x14ac:dyDescent="0.35">
      <c r="A10" s="167"/>
      <c r="B10" s="168"/>
      <c r="C10" s="168"/>
      <c r="D10" s="168"/>
      <c r="E10" s="167"/>
      <c r="F10" s="169"/>
      <c r="G10" s="167"/>
      <c r="H10" s="167"/>
      <c r="I10" s="167"/>
      <c r="J10" s="167"/>
      <c r="K10" s="167"/>
      <c r="L10" s="170"/>
      <c r="M10" s="81"/>
      <c r="N10" s="6"/>
      <c r="O10" s="6"/>
      <c r="P10" s="6"/>
    </row>
    <row r="11" spans="1:16" thickBot="1" x14ac:dyDescent="0.35">
      <c r="A11" s="8"/>
      <c r="B11" s="8"/>
      <c r="C11" s="8"/>
      <c r="D11" s="8"/>
      <c r="E11" s="8"/>
      <c r="F11" s="8"/>
      <c r="G11" s="8"/>
      <c r="H11" s="8"/>
      <c r="I11" s="9"/>
      <c r="J11" s="10"/>
      <c r="K11" s="10"/>
      <c r="L11" s="10"/>
      <c r="N11" s="6"/>
      <c r="O11" s="6"/>
      <c r="P11" s="6"/>
    </row>
    <row r="12" spans="1:16" thickBot="1" x14ac:dyDescent="0.35">
      <c r="A12" s="11" t="s">
        <v>64</v>
      </c>
      <c r="B12" s="12"/>
      <c r="C12" s="12"/>
      <c r="D12" s="12"/>
      <c r="E12" s="12"/>
      <c r="F12" s="12"/>
      <c r="G12" s="12"/>
      <c r="H12" s="12"/>
      <c r="I12" s="13"/>
      <c r="J12" s="14"/>
      <c r="K12" s="14"/>
      <c r="L12" s="14"/>
      <c r="M12" s="6"/>
      <c r="N12" s="6"/>
      <c r="O12" s="6"/>
      <c r="P12" s="6"/>
    </row>
    <row r="13" spans="1:16" thickBot="1" x14ac:dyDescent="0.35">
      <c r="A13" s="97" t="s">
        <v>28</v>
      </c>
      <c r="B13" s="98"/>
      <c r="C13" s="98"/>
      <c r="D13" s="98"/>
      <c r="E13" s="98"/>
      <c r="F13" s="98"/>
      <c r="G13" s="98"/>
      <c r="H13" s="98"/>
      <c r="I13" s="98"/>
      <c r="J13" s="98"/>
      <c r="K13" s="128"/>
      <c r="L13" s="129"/>
      <c r="M13" s="5"/>
      <c r="N13" s="6"/>
      <c r="O13" s="6"/>
      <c r="P13" s="6"/>
    </row>
    <row r="14" spans="1:16" thickBot="1" x14ac:dyDescent="0.35">
      <c r="A14" s="171" t="s">
        <v>100</v>
      </c>
      <c r="B14" s="172" t="s">
        <v>17</v>
      </c>
      <c r="C14" s="172" t="s">
        <v>18</v>
      </c>
      <c r="D14" s="172" t="s">
        <v>148</v>
      </c>
      <c r="E14" s="172" t="s">
        <v>20</v>
      </c>
      <c r="F14" s="173" t="s">
        <v>21</v>
      </c>
      <c r="G14" s="172" t="s">
        <v>22</v>
      </c>
      <c r="H14" s="172" t="s">
        <v>23</v>
      </c>
      <c r="I14" s="172" t="s">
        <v>24</v>
      </c>
      <c r="J14" s="172" t="s">
        <v>25</v>
      </c>
      <c r="K14" s="172" t="s">
        <v>26</v>
      </c>
      <c r="L14" s="174" t="s">
        <v>15</v>
      </c>
      <c r="M14" s="5"/>
      <c r="N14" s="6"/>
      <c r="O14" s="6"/>
      <c r="P14" s="6"/>
    </row>
    <row r="15" spans="1:16" thickBot="1" x14ac:dyDescent="0.35">
      <c r="A15" s="183" t="s">
        <v>27</v>
      </c>
      <c r="B15" s="184" t="s">
        <v>27</v>
      </c>
      <c r="C15" s="185" t="s">
        <v>27</v>
      </c>
      <c r="D15" s="185" t="s">
        <v>27</v>
      </c>
      <c r="E15" s="184" t="s">
        <v>27</v>
      </c>
      <c r="F15" s="186" t="s">
        <v>27</v>
      </c>
      <c r="G15" s="184" t="s">
        <v>27</v>
      </c>
      <c r="H15" s="187" t="s">
        <v>27</v>
      </c>
      <c r="I15" s="184" t="s">
        <v>27</v>
      </c>
      <c r="J15" s="184" t="s">
        <v>27</v>
      </c>
      <c r="K15" s="185" t="s">
        <v>27</v>
      </c>
      <c r="L15" s="188" t="s">
        <v>27</v>
      </c>
      <c r="M15" s="15"/>
      <c r="N15" s="6"/>
      <c r="O15" s="6"/>
      <c r="P15" s="6"/>
    </row>
    <row r="16" spans="1:16" ht="15.75" customHeight="1" thickBot="1" x14ac:dyDescent="0.35">
      <c r="A16" s="16"/>
      <c r="B16" s="16"/>
      <c r="C16" s="16"/>
      <c r="D16" s="16"/>
      <c r="E16" s="16"/>
      <c r="F16" s="16"/>
      <c r="G16" s="17"/>
      <c r="H16" s="180"/>
      <c r="I16" s="180"/>
      <c r="J16" s="181"/>
      <c r="K16" s="182"/>
      <c r="L16" s="182"/>
      <c r="M16" s="6"/>
      <c r="N16" s="6"/>
      <c r="O16" s="6"/>
      <c r="P16" s="6"/>
    </row>
    <row r="17" spans="1:16" ht="15.75" customHeight="1" thickBot="1" x14ac:dyDescent="0.35">
      <c r="A17" s="18"/>
      <c r="B17" s="18"/>
      <c r="C17" s="18"/>
      <c r="D17" s="18"/>
      <c r="E17" s="18"/>
      <c r="F17" s="19"/>
      <c r="G17" s="20"/>
      <c r="H17" s="21"/>
      <c r="I17" s="20"/>
      <c r="J17" s="14"/>
      <c r="K17" s="22"/>
      <c r="L17" s="6"/>
      <c r="M17" s="6"/>
      <c r="N17" s="6"/>
      <c r="O17" s="6"/>
      <c r="P17" s="6"/>
    </row>
    <row r="18" spans="1:16" ht="15.75" customHeight="1" thickBot="1" x14ac:dyDescent="0.35">
      <c r="K18" s="15"/>
      <c r="L18" s="15"/>
      <c r="M18" s="6"/>
      <c r="N18" s="6"/>
      <c r="O18" s="6"/>
      <c r="P18" s="6"/>
    </row>
    <row r="19" spans="1:16" ht="15.75" customHeight="1" thickBot="1" x14ac:dyDescent="0.35">
      <c r="L19" s="15"/>
      <c r="M19" s="6"/>
      <c r="N19" s="6"/>
      <c r="O19" s="6"/>
      <c r="P19" s="6"/>
    </row>
    <row r="20" spans="1:16" ht="15.75" customHeight="1" thickBot="1" x14ac:dyDescent="0.35">
      <c r="J20" s="84"/>
      <c r="K20" s="84"/>
      <c r="L20" s="99"/>
      <c r="M20" s="6"/>
      <c r="N20" s="6"/>
      <c r="O20" s="6"/>
      <c r="P20" s="6"/>
    </row>
    <row r="21" spans="1:16" ht="15.75" customHeight="1" thickBot="1" x14ac:dyDescent="0.35">
      <c r="J21" s="84"/>
      <c r="K21" s="84"/>
      <c r="L21" s="100"/>
      <c r="M21" s="6"/>
      <c r="N21" s="6"/>
      <c r="O21" s="6"/>
      <c r="P21" s="6"/>
    </row>
    <row r="22" spans="1:16" ht="15.75" customHeight="1" thickBot="1" x14ac:dyDescent="0.35">
      <c r="J22" s="84"/>
      <c r="K22" s="84"/>
      <c r="L22" s="81"/>
      <c r="M22" s="6"/>
      <c r="N22" s="6"/>
      <c r="O22" s="6"/>
      <c r="P22" s="6"/>
    </row>
    <row r="23" spans="1:16" ht="15.75" customHeight="1" thickBot="1" x14ac:dyDescent="0.35">
      <c r="J23" s="84"/>
      <c r="K23" s="84"/>
      <c r="L23" s="81"/>
      <c r="M23" s="6"/>
      <c r="N23" s="6"/>
      <c r="O23" s="6"/>
      <c r="P23" s="6"/>
    </row>
    <row r="24" spans="1:16" ht="15.75" customHeight="1" thickBot="1" x14ac:dyDescent="0.35">
      <c r="J24" s="84"/>
      <c r="K24" s="84"/>
      <c r="L24" s="81"/>
      <c r="M24" s="6"/>
      <c r="N24" s="6"/>
      <c r="O24" s="6"/>
      <c r="P24" s="6"/>
    </row>
    <row r="25" spans="1:16" ht="15.75" customHeight="1" thickBot="1" x14ac:dyDescent="0.35">
      <c r="J25" s="84"/>
      <c r="K25" s="84"/>
      <c r="L25" s="81"/>
      <c r="M25" s="6"/>
      <c r="N25" s="6"/>
      <c r="O25" s="6"/>
      <c r="P25" s="6"/>
    </row>
    <row r="26" spans="1:16" ht="15.75" customHeight="1" thickBot="1" x14ac:dyDescent="0.35">
      <c r="J26" s="84"/>
      <c r="K26" s="84"/>
      <c r="L26" s="81"/>
      <c r="M26" s="6"/>
      <c r="N26" s="6"/>
      <c r="O26" s="6"/>
      <c r="P26" s="6"/>
    </row>
    <row r="27" spans="1:16" ht="15.75" customHeight="1" x14ac:dyDescent="0.3"/>
    <row r="28" spans="1:16" ht="15.75" customHeight="1" x14ac:dyDescent="0.3"/>
    <row r="29" spans="1:16" ht="15.75" customHeight="1" x14ac:dyDescent="0.3"/>
    <row r="30" spans="1:16" ht="15.75" customHeight="1" x14ac:dyDescent="0.3"/>
    <row r="31" spans="1:16" ht="15.75" customHeight="1" x14ac:dyDescent="0.3"/>
    <row r="32" spans="1:16"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sheetData>
  <dataValidations count="3">
    <dataValidation type="list" allowBlank="1" showErrorMessage="1" sqref="C15" xr:uid="{00000000-0002-0000-0200-000001000000}">
      <formula1>"MASS,ELECTRICITY,EMISSIONS,ENERGY"</formula1>
    </dataValidation>
    <dataValidation type="list" errorStyle="information" allowBlank="1" showInputMessage="1" showErrorMessage="1" sqref="F15 D5:D9 F5:F9 H5:H9 D15 H15" xr:uid="{3AA66CBB-E49D-4AF6-AE3F-FB01AA5142E9}">
      <formula1>"-,kg,s,m,K,°C,W,bar,kg/h,t/h,kW,kW/m2K,W/m2K,kJ/kgK,kJ/kg,m3/h,Nm3/t,kWh/Nm3,Nm3/h,%,kg/kmol,eur,eur/year,eur/kW,kWel/kWth,year, days"</formula1>
    </dataValidation>
    <dataValidation type="list" allowBlank="1" showErrorMessage="1" sqref="C5:C10" xr:uid="{00000000-0002-0000-0200-000000000000}">
      <formula1>"ELECTRICITY,EMISSIONS,MASS"</formula1>
    </dataValidation>
  </dataValidation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68"/>
  <sheetViews>
    <sheetView showGridLines="0" topLeftCell="A8" zoomScale="40" zoomScaleNormal="40" workbookViewId="0">
      <selection activeCell="G40" sqref="G40"/>
    </sheetView>
  </sheetViews>
  <sheetFormatPr defaultColWidth="14.44140625" defaultRowHeight="15" customHeight="1" x14ac:dyDescent="0.3"/>
  <cols>
    <col min="1" max="1" width="153.33203125" style="81" bestFit="1" customWidth="1"/>
    <col min="2" max="2" width="13.6640625" style="81" customWidth="1"/>
    <col min="3" max="3" width="36.44140625" style="81" customWidth="1"/>
    <col min="4" max="4" width="14" style="81" customWidth="1"/>
    <col min="5" max="5" width="17.6640625" style="81" bestFit="1" customWidth="1"/>
    <col min="6" max="6" width="13.109375" style="81" bestFit="1" customWidth="1"/>
    <col min="7" max="7" width="97.44140625" style="81" bestFit="1" customWidth="1"/>
    <col min="8" max="8" width="10.33203125" style="81" bestFit="1" customWidth="1"/>
    <col min="9" max="9" width="10.6640625" style="81" bestFit="1" customWidth="1"/>
    <col min="10" max="10" width="24.33203125" style="81" bestFit="1" customWidth="1"/>
    <col min="11" max="11" width="20.109375" style="81" bestFit="1" customWidth="1"/>
    <col min="12" max="12" width="96" style="81" bestFit="1" customWidth="1"/>
    <col min="13" max="13" width="29.77734375" style="81" customWidth="1"/>
    <col min="14" max="39" width="10.6640625" style="81" customWidth="1"/>
    <col min="40" max="16384" width="14.44140625" style="81"/>
  </cols>
  <sheetData>
    <row r="1" spans="1:12" customFormat="1" ht="14.4" x14ac:dyDescent="0.3">
      <c r="A1" s="23" t="s">
        <v>29</v>
      </c>
      <c r="B1" s="24"/>
      <c r="C1" s="24"/>
      <c r="D1" s="24"/>
      <c r="E1" s="24"/>
      <c r="F1" s="24"/>
      <c r="G1" s="24"/>
      <c r="H1" s="24"/>
      <c r="I1" s="24"/>
      <c r="J1" s="24"/>
      <c r="K1" s="24"/>
      <c r="L1" s="24"/>
    </row>
    <row r="2" spans="1:12" ht="14.4" x14ac:dyDescent="0.3">
      <c r="A2" s="25" t="s">
        <v>30</v>
      </c>
      <c r="B2" s="24"/>
      <c r="C2" s="24"/>
      <c r="D2" s="24"/>
      <c r="E2" s="24"/>
      <c r="F2" s="24"/>
      <c r="G2" s="24"/>
      <c r="H2" s="24"/>
      <c r="I2" s="24"/>
      <c r="J2" s="24"/>
      <c r="K2" s="24"/>
      <c r="L2" s="24"/>
    </row>
    <row r="3" spans="1:12" ht="14.4" x14ac:dyDescent="0.3">
      <c r="A3" s="26" t="s">
        <v>31</v>
      </c>
      <c r="B3" s="27"/>
      <c r="C3" s="27"/>
      <c r="D3" s="27"/>
      <c r="E3" s="27"/>
      <c r="F3" s="27"/>
      <c r="G3" s="27"/>
      <c r="H3" s="27"/>
      <c r="I3" s="27"/>
      <c r="J3" s="27"/>
      <c r="K3" s="24"/>
      <c r="L3" s="24"/>
    </row>
    <row r="4" spans="1:12" ht="14.4" x14ac:dyDescent="0.3">
      <c r="A4" s="26" t="s">
        <v>32</v>
      </c>
      <c r="B4" s="27"/>
      <c r="C4" s="27"/>
      <c r="D4" s="27"/>
      <c r="E4" s="27"/>
      <c r="F4" s="27"/>
      <c r="G4" s="27"/>
      <c r="H4" s="27"/>
      <c r="I4" s="27"/>
      <c r="J4" s="27"/>
      <c r="K4" s="24"/>
      <c r="L4" s="24"/>
    </row>
    <row r="5" spans="1:12" ht="14.4" x14ac:dyDescent="0.3">
      <c r="A5" s="26" t="s">
        <v>33</v>
      </c>
      <c r="B5" s="27"/>
      <c r="C5" s="27"/>
      <c r="D5" s="27"/>
      <c r="E5" s="27"/>
      <c r="F5" s="27"/>
      <c r="G5" s="27"/>
      <c r="H5" s="27"/>
      <c r="I5" s="27"/>
      <c r="J5" s="27"/>
      <c r="K5" s="24"/>
      <c r="L5" s="24"/>
    </row>
    <row r="6" spans="1:12" ht="14.4" x14ac:dyDescent="0.3">
      <c r="A6" s="138" t="s">
        <v>144</v>
      </c>
      <c r="B6" s="27"/>
      <c r="C6" s="27"/>
      <c r="D6" s="27"/>
      <c r="E6" s="27"/>
      <c r="F6" s="27"/>
      <c r="G6" s="27"/>
      <c r="H6" s="27"/>
      <c r="I6" s="27"/>
      <c r="J6" s="27"/>
      <c r="K6" s="24"/>
      <c r="L6" s="24"/>
    </row>
    <row r="7" spans="1:12" ht="14.4" x14ac:dyDescent="0.3">
      <c r="A7" s="28" t="s">
        <v>34</v>
      </c>
      <c r="B7" s="27"/>
      <c r="C7" s="27"/>
      <c r="D7" s="27"/>
      <c r="E7" s="27"/>
      <c r="F7" s="27"/>
      <c r="G7" s="27"/>
      <c r="H7" s="27"/>
      <c r="I7" s="27"/>
      <c r="J7" s="27"/>
      <c r="K7" s="24"/>
      <c r="L7" s="24"/>
    </row>
    <row r="8" spans="1:12" ht="14.4" x14ac:dyDescent="0.3">
      <c r="A8" s="27" t="s">
        <v>35</v>
      </c>
      <c r="B8" s="27"/>
      <c r="C8" s="27"/>
      <c r="D8" s="27"/>
      <c r="E8" s="27"/>
      <c r="F8" s="27"/>
      <c r="G8" s="27"/>
      <c r="H8" s="27"/>
      <c r="I8" s="27"/>
      <c r="J8" s="27"/>
      <c r="K8" s="24"/>
      <c r="L8" s="24"/>
    </row>
    <row r="9" spans="1:12" ht="14.4" x14ac:dyDescent="0.3">
      <c r="A9" s="29" t="s">
        <v>36</v>
      </c>
      <c r="B9" s="30"/>
      <c r="C9" s="30"/>
      <c r="D9" s="30"/>
      <c r="E9" s="30"/>
      <c r="F9" s="30"/>
      <c r="G9" s="30"/>
      <c r="H9" s="30"/>
      <c r="I9" s="30"/>
      <c r="J9" s="30"/>
      <c r="K9" s="31"/>
      <c r="L9" s="31"/>
    </row>
    <row r="10" spans="1:12" ht="14.4" x14ac:dyDescent="0.3">
      <c r="A10" s="32" t="s">
        <v>37</v>
      </c>
      <c r="B10" s="30"/>
      <c r="C10" s="30"/>
      <c r="D10" s="30"/>
      <c r="E10" s="30"/>
      <c r="F10" s="30"/>
      <c r="G10" s="30"/>
      <c r="H10" s="30"/>
      <c r="I10" s="30"/>
      <c r="J10" s="30"/>
      <c r="K10" s="31"/>
      <c r="L10" s="31"/>
    </row>
    <row r="11" spans="1:12" ht="14.4" x14ac:dyDescent="0.3">
      <c r="A11" s="27"/>
      <c r="B11" s="30"/>
      <c r="C11" s="30"/>
      <c r="D11" s="30"/>
      <c r="E11" s="30"/>
      <c r="F11" s="30"/>
      <c r="G11" s="30"/>
      <c r="H11" s="30"/>
      <c r="I11" s="30"/>
      <c r="J11" s="30"/>
      <c r="K11" s="31"/>
      <c r="L11" s="31"/>
    </row>
    <row r="12" spans="1:12" ht="17.25" customHeight="1" thickBot="1" x14ac:dyDescent="0.35">
      <c r="A12" s="33"/>
      <c r="B12" s="34"/>
      <c r="C12" s="34"/>
      <c r="D12" s="34"/>
      <c r="E12" s="34"/>
      <c r="F12" s="34"/>
      <c r="G12" s="79"/>
      <c r="H12" s="34"/>
      <c r="I12" s="34"/>
      <c r="J12" s="34"/>
      <c r="K12" s="34"/>
      <c r="L12" s="34"/>
    </row>
    <row r="13" spans="1:12" ht="14.4" x14ac:dyDescent="0.3">
      <c r="A13" s="35"/>
      <c r="B13" s="36"/>
      <c r="C13" s="36"/>
      <c r="D13" s="36"/>
      <c r="E13" s="36"/>
      <c r="F13" s="36"/>
      <c r="G13" s="80"/>
      <c r="H13" s="36"/>
      <c r="I13" s="36"/>
      <c r="J13" s="36"/>
      <c r="K13" s="36"/>
      <c r="L13" s="36"/>
    </row>
    <row r="14" spans="1:12" thickBot="1" x14ac:dyDescent="0.35">
      <c r="A14" s="87" t="s">
        <v>3</v>
      </c>
      <c r="B14" s="107"/>
      <c r="C14" s="107"/>
      <c r="D14" s="107"/>
      <c r="E14" s="107"/>
      <c r="F14" s="107"/>
      <c r="G14" s="96"/>
      <c r="H14" s="107"/>
      <c r="I14" s="107"/>
      <c r="J14" s="107"/>
      <c r="K14" s="107"/>
      <c r="L14" s="108"/>
    </row>
    <row r="15" spans="1:12" thickBot="1" x14ac:dyDescent="0.35">
      <c r="A15" s="109" t="s">
        <v>98</v>
      </c>
      <c r="B15" s="110" t="s">
        <v>18</v>
      </c>
      <c r="C15" s="110" t="s">
        <v>60</v>
      </c>
      <c r="D15" s="110" t="s">
        <v>34</v>
      </c>
      <c r="E15" s="110" t="s">
        <v>152</v>
      </c>
      <c r="F15" s="110" t="s">
        <v>19</v>
      </c>
      <c r="G15" s="110" t="s">
        <v>151</v>
      </c>
      <c r="H15" s="111" t="s">
        <v>61</v>
      </c>
      <c r="I15" s="110" t="s">
        <v>62</v>
      </c>
      <c r="J15" s="110" t="s">
        <v>63</v>
      </c>
      <c r="K15" s="140" t="s">
        <v>104</v>
      </c>
      <c r="L15" s="112" t="s">
        <v>15</v>
      </c>
    </row>
    <row r="16" spans="1:12" ht="14.4" x14ac:dyDescent="0.3">
      <c r="A16" s="194" t="s">
        <v>161</v>
      </c>
      <c r="B16" s="179" t="s">
        <v>162</v>
      </c>
      <c r="C16" s="179" t="s">
        <v>163</v>
      </c>
      <c r="D16" s="179" t="s">
        <v>164</v>
      </c>
      <c r="E16" s="195">
        <v>66014</v>
      </c>
      <c r="F16" s="179" t="s">
        <v>165</v>
      </c>
      <c r="G16" s="179" t="s">
        <v>27</v>
      </c>
      <c r="H16" s="219">
        <v>0</v>
      </c>
      <c r="I16" s="219">
        <v>1000000</v>
      </c>
      <c r="J16" s="196" t="s">
        <v>166</v>
      </c>
      <c r="K16" s="219" t="s">
        <v>398</v>
      </c>
      <c r="L16" s="200" t="s">
        <v>163</v>
      </c>
    </row>
    <row r="17" spans="1:12" ht="14.4" x14ac:dyDescent="0.3">
      <c r="A17" s="191" t="s">
        <v>167</v>
      </c>
      <c r="B17" s="176" t="s">
        <v>162</v>
      </c>
      <c r="C17" s="176" t="s">
        <v>168</v>
      </c>
      <c r="D17" s="176" t="s">
        <v>164</v>
      </c>
      <c r="E17" s="192">
        <v>9421</v>
      </c>
      <c r="F17" s="176" t="s">
        <v>165</v>
      </c>
      <c r="G17" s="176" t="s">
        <v>27</v>
      </c>
      <c r="H17" s="189">
        <v>0</v>
      </c>
      <c r="I17" s="189">
        <v>200000</v>
      </c>
      <c r="J17" s="193" t="s">
        <v>169</v>
      </c>
      <c r="K17" s="189" t="s">
        <v>398</v>
      </c>
      <c r="L17" s="201" t="s">
        <v>168</v>
      </c>
    </row>
    <row r="18" spans="1:12" ht="14.4" x14ac:dyDescent="0.3">
      <c r="A18" s="191" t="s">
        <v>170</v>
      </c>
      <c r="B18" s="176" t="s">
        <v>162</v>
      </c>
      <c r="C18" s="176" t="s">
        <v>171</v>
      </c>
      <c r="D18" s="176" t="s">
        <v>164</v>
      </c>
      <c r="E18" s="192">
        <v>46069</v>
      </c>
      <c r="F18" s="176" t="s">
        <v>165</v>
      </c>
      <c r="G18" s="176" t="s">
        <v>27</v>
      </c>
      <c r="H18" s="189">
        <v>0</v>
      </c>
      <c r="I18" s="189">
        <v>1000000</v>
      </c>
      <c r="J18" s="193" t="s">
        <v>172</v>
      </c>
      <c r="K18" s="189" t="s">
        <v>398</v>
      </c>
      <c r="L18" s="201" t="s">
        <v>171</v>
      </c>
    </row>
    <row r="19" spans="1:12" ht="14.4" x14ac:dyDescent="0.3">
      <c r="A19" s="191" t="s">
        <v>173</v>
      </c>
      <c r="B19" s="176" t="s">
        <v>162</v>
      </c>
      <c r="C19" s="176" t="s">
        <v>174</v>
      </c>
      <c r="D19" s="176" t="s">
        <v>164</v>
      </c>
      <c r="E19" s="192">
        <v>29.36</v>
      </c>
      <c r="F19" s="176" t="s">
        <v>175</v>
      </c>
      <c r="G19" s="176" t="s">
        <v>27</v>
      </c>
      <c r="H19" s="189">
        <v>0</v>
      </c>
      <c r="I19" s="189">
        <v>1000</v>
      </c>
      <c r="J19" s="193" t="s">
        <v>176</v>
      </c>
      <c r="K19" s="189" t="s">
        <v>398</v>
      </c>
      <c r="L19" s="201" t="s">
        <v>174</v>
      </c>
    </row>
    <row r="20" spans="1:12" ht="14.4" x14ac:dyDescent="0.3">
      <c r="A20" s="191" t="s">
        <v>177</v>
      </c>
      <c r="B20" s="176" t="s">
        <v>162</v>
      </c>
      <c r="C20" s="176" t="s">
        <v>178</v>
      </c>
      <c r="D20" s="176" t="s">
        <v>164</v>
      </c>
      <c r="E20" s="192">
        <v>25094</v>
      </c>
      <c r="F20" s="176" t="s">
        <v>179</v>
      </c>
      <c r="G20" s="176" t="s">
        <v>27</v>
      </c>
      <c r="H20" s="189">
        <v>5000</v>
      </c>
      <c r="I20" s="189">
        <v>40000</v>
      </c>
      <c r="J20" s="193" t="s">
        <v>180</v>
      </c>
      <c r="K20" s="189" t="s">
        <v>398</v>
      </c>
      <c r="L20" s="201" t="s">
        <v>178</v>
      </c>
    </row>
    <row r="21" spans="1:12" ht="14.4" x14ac:dyDescent="0.3">
      <c r="A21" s="191" t="s">
        <v>181</v>
      </c>
      <c r="B21" s="176" t="s">
        <v>162</v>
      </c>
      <c r="C21" s="176" t="s">
        <v>182</v>
      </c>
      <c r="D21" s="176" t="s">
        <v>164</v>
      </c>
      <c r="E21" s="192">
        <v>48387</v>
      </c>
      <c r="F21" s="176" t="s">
        <v>183</v>
      </c>
      <c r="G21" s="176" t="s">
        <v>27</v>
      </c>
      <c r="H21" s="189">
        <v>0</v>
      </c>
      <c r="I21" s="189">
        <v>1000000</v>
      </c>
      <c r="J21" s="193" t="s">
        <v>184</v>
      </c>
      <c r="K21" s="189" t="s">
        <v>398</v>
      </c>
      <c r="L21" s="201" t="s">
        <v>182</v>
      </c>
    </row>
    <row r="22" spans="1:12" ht="14.4" x14ac:dyDescent="0.3">
      <c r="A22" s="191" t="s">
        <v>185</v>
      </c>
      <c r="B22" s="176" t="s">
        <v>162</v>
      </c>
      <c r="C22" s="176" t="s">
        <v>186</v>
      </c>
      <c r="D22" s="176" t="s">
        <v>164</v>
      </c>
      <c r="E22" s="192">
        <v>7606</v>
      </c>
      <c r="F22" s="176" t="s">
        <v>183</v>
      </c>
      <c r="G22" s="176" t="s">
        <v>27</v>
      </c>
      <c r="H22" s="189">
        <v>0</v>
      </c>
      <c r="I22" s="189">
        <v>500000</v>
      </c>
      <c r="J22" s="193" t="s">
        <v>187</v>
      </c>
      <c r="K22" s="189" t="s">
        <v>398</v>
      </c>
      <c r="L22" s="201" t="s">
        <v>186</v>
      </c>
    </row>
    <row r="23" spans="1:12" ht="14.4" x14ac:dyDescent="0.3">
      <c r="A23" s="191" t="s">
        <v>188</v>
      </c>
      <c r="B23" s="176" t="s">
        <v>162</v>
      </c>
      <c r="C23" s="176" t="s">
        <v>189</v>
      </c>
      <c r="D23" s="176" t="s">
        <v>164</v>
      </c>
      <c r="E23" s="192">
        <v>5029</v>
      </c>
      <c r="F23" s="176" t="s">
        <v>183</v>
      </c>
      <c r="G23" s="176" t="s">
        <v>27</v>
      </c>
      <c r="H23" s="189">
        <v>0</v>
      </c>
      <c r="I23" s="189">
        <v>200000</v>
      </c>
      <c r="J23" s="193" t="s">
        <v>190</v>
      </c>
      <c r="K23" s="189" t="s">
        <v>398</v>
      </c>
      <c r="L23" s="201" t="s">
        <v>373</v>
      </c>
    </row>
    <row r="24" spans="1:12" ht="14.4" x14ac:dyDescent="0.3">
      <c r="A24" s="191" t="s">
        <v>191</v>
      </c>
      <c r="B24" s="176" t="s">
        <v>162</v>
      </c>
      <c r="C24" s="176" t="s">
        <v>192</v>
      </c>
      <c r="D24" s="176" t="s">
        <v>164</v>
      </c>
      <c r="E24" s="192">
        <v>2880</v>
      </c>
      <c r="F24" s="176" t="s">
        <v>183</v>
      </c>
      <c r="G24" s="176" t="s">
        <v>27</v>
      </c>
      <c r="H24" s="189">
        <v>0</v>
      </c>
      <c r="I24" s="189">
        <v>200000</v>
      </c>
      <c r="J24" s="193" t="s">
        <v>193</v>
      </c>
      <c r="K24" s="189" t="s">
        <v>398</v>
      </c>
      <c r="L24" s="201" t="s">
        <v>192</v>
      </c>
    </row>
    <row r="25" spans="1:12" ht="14.4" x14ac:dyDescent="0.3">
      <c r="A25" s="191" t="s">
        <v>194</v>
      </c>
      <c r="B25" s="176" t="s">
        <v>162</v>
      </c>
      <c r="C25" s="176" t="s">
        <v>195</v>
      </c>
      <c r="D25" s="176" t="s">
        <v>164</v>
      </c>
      <c r="E25" s="192">
        <v>1435</v>
      </c>
      <c r="F25" s="176" t="s">
        <v>183</v>
      </c>
      <c r="G25" s="176" t="s">
        <v>27</v>
      </c>
      <c r="H25" s="189">
        <v>0</v>
      </c>
      <c r="I25" s="189">
        <v>100000</v>
      </c>
      <c r="J25" s="193" t="s">
        <v>196</v>
      </c>
      <c r="K25" s="189" t="s">
        <v>398</v>
      </c>
      <c r="L25" s="201" t="s">
        <v>374</v>
      </c>
    </row>
    <row r="26" spans="1:12" ht="14.4" x14ac:dyDescent="0.3">
      <c r="A26" s="191" t="s">
        <v>197</v>
      </c>
      <c r="B26" s="176" t="s">
        <v>162</v>
      </c>
      <c r="C26" s="176" t="s">
        <v>198</v>
      </c>
      <c r="D26" s="176" t="s">
        <v>164</v>
      </c>
      <c r="E26" s="192">
        <v>1053</v>
      </c>
      <c r="F26" s="176" t="s">
        <v>183</v>
      </c>
      <c r="G26" s="176" t="s">
        <v>27</v>
      </c>
      <c r="H26" s="189">
        <v>0</v>
      </c>
      <c r="I26" s="189">
        <v>100000</v>
      </c>
      <c r="J26" s="193" t="s">
        <v>199</v>
      </c>
      <c r="K26" s="189" t="s">
        <v>398</v>
      </c>
      <c r="L26" s="201" t="s">
        <v>198</v>
      </c>
    </row>
    <row r="27" spans="1:12" ht="14.4" x14ac:dyDescent="0.3">
      <c r="A27" s="191" t="s">
        <v>200</v>
      </c>
      <c r="B27" s="176" t="s">
        <v>162</v>
      </c>
      <c r="C27" s="176" t="s">
        <v>201</v>
      </c>
      <c r="D27" s="176" t="s">
        <v>164</v>
      </c>
      <c r="E27" s="192">
        <v>48387</v>
      </c>
      <c r="F27" s="176" t="s">
        <v>183</v>
      </c>
      <c r="G27" s="176" t="s">
        <v>27</v>
      </c>
      <c r="H27" s="189">
        <v>0</v>
      </c>
      <c r="I27" s="189">
        <v>1000000</v>
      </c>
      <c r="J27" s="193" t="s">
        <v>202</v>
      </c>
      <c r="K27" s="189" t="s">
        <v>398</v>
      </c>
      <c r="L27" s="201" t="s">
        <v>201</v>
      </c>
    </row>
    <row r="28" spans="1:12" ht="14.4" x14ac:dyDescent="0.3">
      <c r="A28" s="191" t="s">
        <v>203</v>
      </c>
      <c r="B28" s="176" t="s">
        <v>162</v>
      </c>
      <c r="C28" s="176" t="s">
        <v>201</v>
      </c>
      <c r="D28" s="176" t="s">
        <v>164</v>
      </c>
      <c r="E28" s="192">
        <v>20310</v>
      </c>
      <c r="F28" s="176" t="s">
        <v>183</v>
      </c>
      <c r="G28" s="176" t="s">
        <v>27</v>
      </c>
      <c r="H28" s="189">
        <v>0</v>
      </c>
      <c r="I28" s="189">
        <v>500000</v>
      </c>
      <c r="J28" s="193" t="s">
        <v>204</v>
      </c>
      <c r="K28" s="189" t="s">
        <v>398</v>
      </c>
      <c r="L28" s="201" t="s">
        <v>201</v>
      </c>
    </row>
    <row r="29" spans="1:12" ht="14.4" x14ac:dyDescent="0.3">
      <c r="A29" s="191" t="s">
        <v>205</v>
      </c>
      <c r="B29" s="176" t="s">
        <v>162</v>
      </c>
      <c r="C29" s="176" t="s">
        <v>206</v>
      </c>
      <c r="D29" s="176" t="s">
        <v>164</v>
      </c>
      <c r="E29" s="192">
        <v>746.9</v>
      </c>
      <c r="F29" s="176" t="s">
        <v>183</v>
      </c>
      <c r="G29" s="176" t="s">
        <v>27</v>
      </c>
      <c r="H29" s="189">
        <v>0</v>
      </c>
      <c r="I29" s="189">
        <v>50000</v>
      </c>
      <c r="J29" s="193" t="s">
        <v>207</v>
      </c>
      <c r="K29" s="189" t="s">
        <v>398</v>
      </c>
      <c r="L29" s="201" t="s">
        <v>206</v>
      </c>
    </row>
    <row r="30" spans="1:12" ht="14.4" x14ac:dyDescent="0.3">
      <c r="A30" s="191" t="s">
        <v>208</v>
      </c>
      <c r="B30" s="176" t="s">
        <v>162</v>
      </c>
      <c r="C30" s="176" t="s">
        <v>206</v>
      </c>
      <c r="D30" s="176" t="s">
        <v>164</v>
      </c>
      <c r="E30" s="192">
        <v>1065</v>
      </c>
      <c r="F30" s="176" t="s">
        <v>183</v>
      </c>
      <c r="G30" s="176" t="s">
        <v>27</v>
      </c>
      <c r="H30" s="189">
        <v>0</v>
      </c>
      <c r="I30" s="189">
        <v>50000</v>
      </c>
      <c r="J30" s="193" t="s">
        <v>209</v>
      </c>
      <c r="K30" s="189" t="s">
        <v>398</v>
      </c>
      <c r="L30" s="201" t="s">
        <v>206</v>
      </c>
    </row>
    <row r="31" spans="1:12" ht="14.4" x14ac:dyDescent="0.3">
      <c r="A31" s="191" t="s">
        <v>210</v>
      </c>
      <c r="B31" s="176" t="s">
        <v>162</v>
      </c>
      <c r="C31" s="176" t="s">
        <v>211</v>
      </c>
      <c r="D31" s="176" t="s">
        <v>164</v>
      </c>
      <c r="E31" s="192">
        <v>28.87</v>
      </c>
      <c r="F31" s="176" t="s">
        <v>354</v>
      </c>
      <c r="G31" s="176" t="s">
        <v>27</v>
      </c>
      <c r="H31" s="189">
        <v>0</v>
      </c>
      <c r="I31" s="189">
        <v>150</v>
      </c>
      <c r="J31" s="193" t="s">
        <v>212</v>
      </c>
      <c r="K31" s="189" t="s">
        <v>398</v>
      </c>
      <c r="L31" s="201" t="s">
        <v>211</v>
      </c>
    </row>
    <row r="32" spans="1:12" ht="14.4" x14ac:dyDescent="0.3">
      <c r="A32" s="191" t="s">
        <v>213</v>
      </c>
      <c r="B32" s="176" t="s">
        <v>162</v>
      </c>
      <c r="C32" s="176" t="s">
        <v>214</v>
      </c>
      <c r="D32" s="176" t="s">
        <v>164</v>
      </c>
      <c r="E32" s="192">
        <v>700</v>
      </c>
      <c r="F32" s="176" t="s">
        <v>354</v>
      </c>
      <c r="G32" s="176" t="s">
        <v>27</v>
      </c>
      <c r="H32" s="189">
        <v>200</v>
      </c>
      <c r="I32" s="189">
        <v>1000</v>
      </c>
      <c r="J32" s="193" t="s">
        <v>215</v>
      </c>
      <c r="K32" s="189" t="s">
        <v>398</v>
      </c>
      <c r="L32" s="201" t="s">
        <v>214</v>
      </c>
    </row>
    <row r="33" spans="1:12" ht="14.4" x14ac:dyDescent="0.3">
      <c r="A33" s="191" t="s">
        <v>216</v>
      </c>
      <c r="B33" s="176" t="s">
        <v>162</v>
      </c>
      <c r="C33" s="176" t="s">
        <v>217</v>
      </c>
      <c r="D33" s="176" t="s">
        <v>164</v>
      </c>
      <c r="E33" s="192">
        <v>165.4</v>
      </c>
      <c r="F33" s="176" t="s">
        <v>354</v>
      </c>
      <c r="G33" s="176" t="s">
        <v>27</v>
      </c>
      <c r="H33" s="189">
        <v>30</v>
      </c>
      <c r="I33" s="189">
        <v>300</v>
      </c>
      <c r="J33" s="193" t="s">
        <v>218</v>
      </c>
      <c r="K33" s="189" t="s">
        <v>398</v>
      </c>
      <c r="L33" s="201" t="s">
        <v>217</v>
      </c>
    </row>
    <row r="34" spans="1:12" ht="14.4" x14ac:dyDescent="0.3">
      <c r="A34" s="191" t="s">
        <v>219</v>
      </c>
      <c r="B34" s="176" t="s">
        <v>162</v>
      </c>
      <c r="C34" s="176" t="s">
        <v>220</v>
      </c>
      <c r="D34" s="176" t="s">
        <v>164</v>
      </c>
      <c r="E34" s="192">
        <v>107.7</v>
      </c>
      <c r="F34" s="176" t="s">
        <v>354</v>
      </c>
      <c r="G34" s="176" t="s">
        <v>27</v>
      </c>
      <c r="H34" s="189">
        <v>30</v>
      </c>
      <c r="I34" s="189">
        <v>300</v>
      </c>
      <c r="J34" s="193" t="s">
        <v>221</v>
      </c>
      <c r="K34" s="189" t="s">
        <v>398</v>
      </c>
      <c r="L34" s="201" t="s">
        <v>220</v>
      </c>
    </row>
    <row r="35" spans="1:12" ht="14.4" x14ac:dyDescent="0.3">
      <c r="A35" s="191" t="s">
        <v>222</v>
      </c>
      <c r="B35" s="176" t="s">
        <v>162</v>
      </c>
      <c r="C35" s="176" t="s">
        <v>223</v>
      </c>
      <c r="D35" s="176" t="s">
        <v>164</v>
      </c>
      <c r="E35" s="192">
        <v>115.7</v>
      </c>
      <c r="F35" s="176" t="s">
        <v>354</v>
      </c>
      <c r="G35" s="176" t="s">
        <v>27</v>
      </c>
      <c r="H35" s="189">
        <v>30</v>
      </c>
      <c r="I35" s="189">
        <v>300</v>
      </c>
      <c r="J35" s="193" t="s">
        <v>224</v>
      </c>
      <c r="K35" s="189" t="s">
        <v>398</v>
      </c>
      <c r="L35" s="201" t="s">
        <v>223</v>
      </c>
    </row>
    <row r="36" spans="1:12" ht="14.4" x14ac:dyDescent="0.3">
      <c r="A36" s="191" t="s">
        <v>225</v>
      </c>
      <c r="B36" s="176" t="s">
        <v>162</v>
      </c>
      <c r="C36" s="176" t="s">
        <v>226</v>
      </c>
      <c r="D36" s="176" t="s">
        <v>164</v>
      </c>
      <c r="E36" s="192">
        <v>92.72</v>
      </c>
      <c r="F36" s="176" t="s">
        <v>354</v>
      </c>
      <c r="G36" s="176" t="s">
        <v>27</v>
      </c>
      <c r="H36" s="189">
        <v>30</v>
      </c>
      <c r="I36" s="189">
        <v>300</v>
      </c>
      <c r="J36" s="193" t="s">
        <v>227</v>
      </c>
      <c r="K36" s="189" t="s">
        <v>398</v>
      </c>
      <c r="L36" s="201" t="s">
        <v>226</v>
      </c>
    </row>
    <row r="37" spans="1:12" ht="14.4" x14ac:dyDescent="0.3">
      <c r="A37" s="191" t="s">
        <v>228</v>
      </c>
      <c r="B37" s="176" t="s">
        <v>162</v>
      </c>
      <c r="C37" s="176" t="s">
        <v>229</v>
      </c>
      <c r="D37" s="176" t="s">
        <v>164</v>
      </c>
      <c r="E37" s="192">
        <v>750</v>
      </c>
      <c r="F37" s="176" t="s">
        <v>354</v>
      </c>
      <c r="G37" s="176" t="s">
        <v>27</v>
      </c>
      <c r="H37" s="189">
        <v>400</v>
      </c>
      <c r="I37" s="189">
        <v>1200</v>
      </c>
      <c r="J37" s="193" t="s">
        <v>230</v>
      </c>
      <c r="K37" s="189" t="s">
        <v>398</v>
      </c>
      <c r="L37" s="201" t="s">
        <v>229</v>
      </c>
    </row>
    <row r="38" spans="1:12" ht="14.4" x14ac:dyDescent="0.3">
      <c r="A38" s="191" t="s">
        <v>231</v>
      </c>
      <c r="B38" s="176" t="s">
        <v>162</v>
      </c>
      <c r="C38" s="176" t="s">
        <v>229</v>
      </c>
      <c r="D38" s="176" t="s">
        <v>164</v>
      </c>
      <c r="E38" s="192">
        <v>99.34</v>
      </c>
      <c r="F38" s="176" t="s">
        <v>354</v>
      </c>
      <c r="G38" s="176" t="s">
        <v>27</v>
      </c>
      <c r="H38" s="189">
        <v>50</v>
      </c>
      <c r="I38" s="189">
        <v>300</v>
      </c>
      <c r="J38" s="193" t="s">
        <v>232</v>
      </c>
      <c r="K38" s="189" t="s">
        <v>398</v>
      </c>
      <c r="L38" s="201" t="s">
        <v>229</v>
      </c>
    </row>
    <row r="39" spans="1:12" ht="14.4" x14ac:dyDescent="0.3">
      <c r="A39" s="191" t="s">
        <v>233</v>
      </c>
      <c r="B39" s="176" t="s">
        <v>162</v>
      </c>
      <c r="C39" s="176" t="s">
        <v>234</v>
      </c>
      <c r="D39" s="176" t="s">
        <v>164</v>
      </c>
      <c r="E39" s="192">
        <v>91.53</v>
      </c>
      <c r="F39" s="176" t="s">
        <v>354</v>
      </c>
      <c r="G39" s="176" t="s">
        <v>27</v>
      </c>
      <c r="H39" s="189">
        <v>30</v>
      </c>
      <c r="I39" s="189">
        <v>300</v>
      </c>
      <c r="J39" s="193" t="s">
        <v>235</v>
      </c>
      <c r="K39" s="189" t="s">
        <v>398</v>
      </c>
      <c r="L39" s="201" t="s">
        <v>234</v>
      </c>
    </row>
    <row r="40" spans="1:12" ht="14.4" x14ac:dyDescent="0.3">
      <c r="A40" s="191" t="s">
        <v>236</v>
      </c>
      <c r="B40" s="176" t="s">
        <v>162</v>
      </c>
      <c r="C40" s="176" t="s">
        <v>234</v>
      </c>
      <c r="D40" s="176" t="s">
        <v>164</v>
      </c>
      <c r="E40" s="192">
        <v>115.9</v>
      </c>
      <c r="F40" s="176" t="s">
        <v>354</v>
      </c>
      <c r="G40" s="176" t="s">
        <v>27</v>
      </c>
      <c r="H40" s="189">
        <v>30</v>
      </c>
      <c r="I40" s="189">
        <v>300</v>
      </c>
      <c r="J40" s="193" t="s">
        <v>237</v>
      </c>
      <c r="K40" s="189" t="s">
        <v>398</v>
      </c>
      <c r="L40" s="201" t="s">
        <v>234</v>
      </c>
    </row>
    <row r="41" spans="1:12" ht="14.4" x14ac:dyDescent="0.3">
      <c r="A41" s="191" t="s">
        <v>238</v>
      </c>
      <c r="B41" s="176" t="s">
        <v>162</v>
      </c>
      <c r="C41" s="176" t="s">
        <v>239</v>
      </c>
      <c r="D41" s="176" t="s">
        <v>164</v>
      </c>
      <c r="E41" s="192">
        <v>700</v>
      </c>
      <c r="F41" s="176" t="s">
        <v>354</v>
      </c>
      <c r="G41" s="176" t="s">
        <v>27</v>
      </c>
      <c r="H41" s="189">
        <v>300</v>
      </c>
      <c r="I41" s="189">
        <v>1100</v>
      </c>
      <c r="J41" s="193" t="s">
        <v>240</v>
      </c>
      <c r="K41" s="189" t="s">
        <v>398</v>
      </c>
      <c r="L41" s="201" t="s">
        <v>239</v>
      </c>
    </row>
    <row r="42" spans="1:12" ht="14.4" x14ac:dyDescent="0.3">
      <c r="A42" s="191" t="s">
        <v>241</v>
      </c>
      <c r="B42" s="176" t="s">
        <v>162</v>
      </c>
      <c r="C42" s="176" t="s">
        <v>242</v>
      </c>
      <c r="D42" s="176" t="s">
        <v>164</v>
      </c>
      <c r="E42" s="192">
        <v>750</v>
      </c>
      <c r="F42" s="176" t="s">
        <v>354</v>
      </c>
      <c r="G42" s="176" t="s">
        <v>27</v>
      </c>
      <c r="H42" s="189">
        <v>500</v>
      </c>
      <c r="I42" s="189">
        <v>1200</v>
      </c>
      <c r="J42" s="193" t="s">
        <v>243</v>
      </c>
      <c r="K42" s="189" t="s">
        <v>398</v>
      </c>
      <c r="L42" s="201" t="s">
        <v>242</v>
      </c>
    </row>
    <row r="43" spans="1:12" ht="14.4" x14ac:dyDescent="0.3">
      <c r="A43" s="191" t="s">
        <v>244</v>
      </c>
      <c r="B43" s="176" t="s">
        <v>162</v>
      </c>
      <c r="C43" s="176" t="s">
        <v>245</v>
      </c>
      <c r="D43" s="176" t="s">
        <v>164</v>
      </c>
      <c r="E43" s="192">
        <v>30</v>
      </c>
      <c r="F43" s="176" t="s">
        <v>354</v>
      </c>
      <c r="G43" s="176" t="s">
        <v>27</v>
      </c>
      <c r="H43" s="189">
        <v>10</v>
      </c>
      <c r="I43" s="189">
        <v>100</v>
      </c>
      <c r="J43" s="193" t="s">
        <v>246</v>
      </c>
      <c r="K43" s="189" t="s">
        <v>398</v>
      </c>
      <c r="L43" s="201" t="s">
        <v>245</v>
      </c>
    </row>
    <row r="44" spans="1:12" ht="14.4" x14ac:dyDescent="0.3">
      <c r="A44" s="191" t="s">
        <v>247</v>
      </c>
      <c r="B44" s="176" t="s">
        <v>162</v>
      </c>
      <c r="C44" s="176" t="s">
        <v>248</v>
      </c>
      <c r="D44" s="176" t="s">
        <v>164</v>
      </c>
      <c r="E44" s="192">
        <v>30</v>
      </c>
      <c r="F44" s="176" t="s">
        <v>354</v>
      </c>
      <c r="G44" s="176" t="s">
        <v>27</v>
      </c>
      <c r="H44" s="189">
        <v>10</v>
      </c>
      <c r="I44" s="189">
        <v>100</v>
      </c>
      <c r="J44" s="193" t="s">
        <v>249</v>
      </c>
      <c r="K44" s="189" t="s">
        <v>398</v>
      </c>
      <c r="L44" s="201" t="s">
        <v>248</v>
      </c>
    </row>
    <row r="45" spans="1:12" ht="14.4" x14ac:dyDescent="0.3">
      <c r="A45" s="191" t="s">
        <v>250</v>
      </c>
      <c r="B45" s="176" t="s">
        <v>162</v>
      </c>
      <c r="C45" s="176" t="s">
        <v>251</v>
      </c>
      <c r="D45" s="176" t="s">
        <v>164</v>
      </c>
      <c r="E45" s="192">
        <v>30</v>
      </c>
      <c r="F45" s="176" t="s">
        <v>354</v>
      </c>
      <c r="G45" s="176" t="s">
        <v>27</v>
      </c>
      <c r="H45" s="189">
        <v>10</v>
      </c>
      <c r="I45" s="189">
        <v>100</v>
      </c>
      <c r="J45" s="193" t="s">
        <v>252</v>
      </c>
      <c r="K45" s="189" t="s">
        <v>398</v>
      </c>
      <c r="L45" s="201" t="s">
        <v>251</v>
      </c>
    </row>
    <row r="46" spans="1:12" ht="14.4" x14ac:dyDescent="0.3">
      <c r="A46" s="191" t="s">
        <v>253</v>
      </c>
      <c r="B46" s="176" t="s">
        <v>162</v>
      </c>
      <c r="C46" s="176" t="s">
        <v>251</v>
      </c>
      <c r="D46" s="176" t="s">
        <v>164</v>
      </c>
      <c r="E46" s="192">
        <v>30</v>
      </c>
      <c r="F46" s="176" t="s">
        <v>354</v>
      </c>
      <c r="G46" s="176" t="s">
        <v>27</v>
      </c>
      <c r="H46" s="189">
        <v>10</v>
      </c>
      <c r="I46" s="189">
        <v>100</v>
      </c>
      <c r="J46" s="193" t="s">
        <v>254</v>
      </c>
      <c r="K46" s="189" t="s">
        <v>398</v>
      </c>
      <c r="L46" s="201" t="s">
        <v>251</v>
      </c>
    </row>
    <row r="47" spans="1:12" ht="14.4" x14ac:dyDescent="0.3">
      <c r="A47" s="191" t="s">
        <v>255</v>
      </c>
      <c r="B47" s="176" t="s">
        <v>162</v>
      </c>
      <c r="C47" s="176" t="s">
        <v>256</v>
      </c>
      <c r="D47" s="176" t="s">
        <v>164</v>
      </c>
      <c r="E47" s="192">
        <v>99.34</v>
      </c>
      <c r="F47" s="176" t="s">
        <v>354</v>
      </c>
      <c r="G47" s="176" t="s">
        <v>27</v>
      </c>
      <c r="H47" s="189">
        <v>50</v>
      </c>
      <c r="I47" s="189">
        <v>400</v>
      </c>
      <c r="J47" s="193" t="s">
        <v>257</v>
      </c>
      <c r="K47" s="189" t="s">
        <v>398</v>
      </c>
      <c r="L47" s="201" t="s">
        <v>256</v>
      </c>
    </row>
    <row r="48" spans="1:12" ht="14.4" x14ac:dyDescent="0.3">
      <c r="A48" s="191" t="s">
        <v>258</v>
      </c>
      <c r="B48" s="176" t="s">
        <v>162</v>
      </c>
      <c r="C48" s="176" t="s">
        <v>256</v>
      </c>
      <c r="D48" s="176" t="s">
        <v>164</v>
      </c>
      <c r="E48" s="192">
        <v>30</v>
      </c>
      <c r="F48" s="176" t="s">
        <v>354</v>
      </c>
      <c r="G48" s="176" t="s">
        <v>27</v>
      </c>
      <c r="H48" s="189">
        <v>10</v>
      </c>
      <c r="I48" s="189">
        <v>100</v>
      </c>
      <c r="J48" s="193" t="s">
        <v>259</v>
      </c>
      <c r="K48" s="189" t="s">
        <v>398</v>
      </c>
      <c r="L48" s="201" t="s">
        <v>256</v>
      </c>
    </row>
    <row r="49" spans="1:12" ht="14.4" x14ac:dyDescent="0.3">
      <c r="A49" s="191" t="s">
        <v>260</v>
      </c>
      <c r="B49" s="176" t="s">
        <v>162</v>
      </c>
      <c r="C49" s="176" t="s">
        <v>261</v>
      </c>
      <c r="D49" s="176" t="s">
        <v>164</v>
      </c>
      <c r="E49" s="192">
        <v>30</v>
      </c>
      <c r="F49" s="176" t="s">
        <v>354</v>
      </c>
      <c r="G49" s="176" t="s">
        <v>27</v>
      </c>
      <c r="H49" s="189">
        <v>10</v>
      </c>
      <c r="I49" s="189">
        <v>100</v>
      </c>
      <c r="J49" s="193" t="s">
        <v>262</v>
      </c>
      <c r="K49" s="189" t="s">
        <v>398</v>
      </c>
      <c r="L49" s="201" t="s">
        <v>261</v>
      </c>
    </row>
    <row r="50" spans="1:12" ht="14.4" x14ac:dyDescent="0.3">
      <c r="A50" s="191" t="s">
        <v>263</v>
      </c>
      <c r="B50" s="176" t="s">
        <v>162</v>
      </c>
      <c r="C50" s="176" t="s">
        <v>261</v>
      </c>
      <c r="D50" s="176" t="s">
        <v>164</v>
      </c>
      <c r="E50" s="192">
        <v>30</v>
      </c>
      <c r="F50" s="176" t="s">
        <v>354</v>
      </c>
      <c r="G50" s="176" t="s">
        <v>27</v>
      </c>
      <c r="H50" s="189">
        <v>10</v>
      </c>
      <c r="I50" s="189">
        <v>100</v>
      </c>
      <c r="J50" s="193" t="s">
        <v>264</v>
      </c>
      <c r="K50" s="189" t="s">
        <v>398</v>
      </c>
      <c r="L50" s="201" t="s">
        <v>261</v>
      </c>
    </row>
    <row r="51" spans="1:12" ht="14.4" x14ac:dyDescent="0.3">
      <c r="A51" s="191" t="s">
        <v>265</v>
      </c>
      <c r="B51" s="176" t="s">
        <v>162</v>
      </c>
      <c r="C51" s="176" t="s">
        <v>266</v>
      </c>
      <c r="D51" s="176" t="s">
        <v>164</v>
      </c>
      <c r="E51" s="192">
        <v>8</v>
      </c>
      <c r="F51" s="176" t="s">
        <v>354</v>
      </c>
      <c r="G51" s="176" t="s">
        <v>27</v>
      </c>
      <c r="H51" s="189">
        <v>0.1</v>
      </c>
      <c r="I51" s="189">
        <v>100</v>
      </c>
      <c r="J51" s="193" t="s">
        <v>267</v>
      </c>
      <c r="K51" s="189" t="s">
        <v>398</v>
      </c>
      <c r="L51" s="201" t="s">
        <v>266</v>
      </c>
    </row>
    <row r="52" spans="1:12" ht="14.4" x14ac:dyDescent="0.3">
      <c r="A52" s="191" t="s">
        <v>268</v>
      </c>
      <c r="B52" s="176" t="s">
        <v>162</v>
      </c>
      <c r="C52" s="176" t="s">
        <v>269</v>
      </c>
      <c r="D52" s="176" t="s">
        <v>164</v>
      </c>
      <c r="E52" s="192">
        <v>2</v>
      </c>
      <c r="F52" s="176" t="s">
        <v>354</v>
      </c>
      <c r="G52" s="176" t="s">
        <v>27</v>
      </c>
      <c r="H52" s="189">
        <v>0.1</v>
      </c>
      <c r="I52" s="189">
        <v>50</v>
      </c>
      <c r="J52" s="193" t="s">
        <v>270</v>
      </c>
      <c r="K52" s="189" t="s">
        <v>398</v>
      </c>
      <c r="L52" s="201" t="s">
        <v>269</v>
      </c>
    </row>
    <row r="53" spans="1:12" ht="14.4" x14ac:dyDescent="0.3">
      <c r="A53" s="191" t="s">
        <v>271</v>
      </c>
      <c r="B53" s="176" t="s">
        <v>162</v>
      </c>
      <c r="C53" s="176" t="s">
        <v>272</v>
      </c>
      <c r="D53" s="176" t="s">
        <v>164</v>
      </c>
      <c r="E53" s="192">
        <f>5029+2880</f>
        <v>7909</v>
      </c>
      <c r="F53" s="176" t="s">
        <v>183</v>
      </c>
      <c r="G53" s="176" t="s">
        <v>319</v>
      </c>
      <c r="H53" s="189">
        <v>0</v>
      </c>
      <c r="I53" s="189">
        <v>500000</v>
      </c>
      <c r="J53" s="193" t="s">
        <v>273</v>
      </c>
      <c r="K53" s="189" t="s">
        <v>398</v>
      </c>
      <c r="L53" s="201" t="s">
        <v>272</v>
      </c>
    </row>
    <row r="54" spans="1:12" ht="14.4" x14ac:dyDescent="0.3">
      <c r="A54" s="191" t="s">
        <v>274</v>
      </c>
      <c r="B54" s="176" t="s">
        <v>162</v>
      </c>
      <c r="C54" s="176" t="s">
        <v>275</v>
      </c>
      <c r="D54" s="176" t="s">
        <v>164</v>
      </c>
      <c r="E54" s="192">
        <f>1409+1011</f>
        <v>2420</v>
      </c>
      <c r="F54" s="176" t="s">
        <v>183</v>
      </c>
      <c r="G54" s="176" t="s">
        <v>320</v>
      </c>
      <c r="H54" s="189">
        <v>0</v>
      </c>
      <c r="I54" s="189">
        <v>200000</v>
      </c>
      <c r="J54" s="193" t="s">
        <v>276</v>
      </c>
      <c r="K54" s="189" t="s">
        <v>398</v>
      </c>
      <c r="L54" s="201" t="s">
        <v>275</v>
      </c>
    </row>
    <row r="55" spans="1:12" ht="14.4" x14ac:dyDescent="0.3">
      <c r="A55" s="191" t="s">
        <v>277</v>
      </c>
      <c r="B55" s="176" t="s">
        <v>162</v>
      </c>
      <c r="C55" s="176" t="s">
        <v>278</v>
      </c>
      <c r="D55" s="176" t="s">
        <v>164</v>
      </c>
      <c r="E55" s="192">
        <f>718.3+1027</f>
        <v>1745.3</v>
      </c>
      <c r="F55" s="176" t="s">
        <v>183</v>
      </c>
      <c r="G55" s="176" t="s">
        <v>321</v>
      </c>
      <c r="H55" s="189">
        <v>0</v>
      </c>
      <c r="I55" s="189">
        <v>100000</v>
      </c>
      <c r="J55" s="193" t="s">
        <v>279</v>
      </c>
      <c r="K55" s="189" t="s">
        <v>398</v>
      </c>
      <c r="L55" s="201" t="s">
        <v>278</v>
      </c>
    </row>
    <row r="56" spans="1:12" ht="14.4" x14ac:dyDescent="0.3">
      <c r="A56" s="191" t="s">
        <v>280</v>
      </c>
      <c r="B56" s="176" t="s">
        <v>162</v>
      </c>
      <c r="C56" s="176" t="s">
        <v>281</v>
      </c>
      <c r="D56" s="176" t="s">
        <v>164</v>
      </c>
      <c r="E56" s="192">
        <f>4772+4670</f>
        <v>9442</v>
      </c>
      <c r="F56" s="176" t="s">
        <v>183</v>
      </c>
      <c r="G56" s="176" t="s">
        <v>322</v>
      </c>
      <c r="H56" s="189">
        <v>0</v>
      </c>
      <c r="I56" s="189">
        <v>500000</v>
      </c>
      <c r="J56" s="193" t="s">
        <v>282</v>
      </c>
      <c r="K56" s="189" t="s">
        <v>398</v>
      </c>
      <c r="L56" s="201" t="s">
        <v>281</v>
      </c>
    </row>
    <row r="57" spans="1:12" ht="14.4" x14ac:dyDescent="0.3">
      <c r="A57" s="191" t="s">
        <v>283</v>
      </c>
      <c r="B57" s="176" t="s">
        <v>162</v>
      </c>
      <c r="C57" s="176" t="s">
        <v>284</v>
      </c>
      <c r="D57" s="176" t="s">
        <v>164</v>
      </c>
      <c r="E57" s="192">
        <f>4489+4203</f>
        <v>8692</v>
      </c>
      <c r="F57" s="176" t="s">
        <v>183</v>
      </c>
      <c r="G57" s="176" t="s">
        <v>323</v>
      </c>
      <c r="H57" s="189">
        <v>0</v>
      </c>
      <c r="I57" s="189">
        <v>500000</v>
      </c>
      <c r="J57" s="193" t="s">
        <v>285</v>
      </c>
      <c r="K57" s="189" t="s">
        <v>398</v>
      </c>
      <c r="L57" s="201" t="s">
        <v>284</v>
      </c>
    </row>
    <row r="58" spans="1:12" ht="14.4" x14ac:dyDescent="0.3">
      <c r="A58" s="191" t="s">
        <v>286</v>
      </c>
      <c r="B58" s="176" t="s">
        <v>162</v>
      </c>
      <c r="C58" s="176" t="s">
        <v>287</v>
      </c>
      <c r="D58" s="176" t="s">
        <v>164</v>
      </c>
      <c r="E58" s="192">
        <v>25</v>
      </c>
      <c r="F58" s="176" t="s">
        <v>288</v>
      </c>
      <c r="G58" s="176" t="s">
        <v>27</v>
      </c>
      <c r="H58" s="189">
        <v>1</v>
      </c>
      <c r="I58" s="189">
        <v>50</v>
      </c>
      <c r="J58" s="193" t="s">
        <v>289</v>
      </c>
      <c r="K58" s="189" t="s">
        <v>398</v>
      </c>
      <c r="L58" s="201" t="s">
        <v>287</v>
      </c>
    </row>
    <row r="59" spans="1:12" ht="14.4" x14ac:dyDescent="0.3">
      <c r="A59" s="191" t="s">
        <v>290</v>
      </c>
      <c r="B59" s="176" t="s">
        <v>162</v>
      </c>
      <c r="C59" s="176" t="s">
        <v>291</v>
      </c>
      <c r="D59" s="176" t="s">
        <v>164</v>
      </c>
      <c r="E59" s="192">
        <v>0.06</v>
      </c>
      <c r="F59" s="176" t="s">
        <v>27</v>
      </c>
      <c r="G59" s="176" t="s">
        <v>27</v>
      </c>
      <c r="H59" s="189">
        <v>0</v>
      </c>
      <c r="I59" s="189">
        <v>0.5</v>
      </c>
      <c r="J59" s="193" t="s">
        <v>292</v>
      </c>
      <c r="K59" s="189" t="s">
        <v>398</v>
      </c>
      <c r="L59" s="201" t="s">
        <v>291</v>
      </c>
    </row>
    <row r="60" spans="1:12" ht="14.4" x14ac:dyDescent="0.3">
      <c r="A60" s="191" t="s">
        <v>293</v>
      </c>
      <c r="B60" s="176" t="s">
        <v>162</v>
      </c>
      <c r="C60" s="176" t="s">
        <v>365</v>
      </c>
      <c r="D60" s="176" t="s">
        <v>164</v>
      </c>
      <c r="E60" s="192">
        <v>596.20000000000005</v>
      </c>
      <c r="F60" s="176" t="s">
        <v>27</v>
      </c>
      <c r="G60" s="176" t="s">
        <v>27</v>
      </c>
      <c r="H60" s="189">
        <v>100</v>
      </c>
      <c r="I60" s="189">
        <v>2000</v>
      </c>
      <c r="J60" s="193" t="s">
        <v>294</v>
      </c>
      <c r="K60" s="189" t="s">
        <v>398</v>
      </c>
      <c r="L60" s="201" t="s">
        <v>365</v>
      </c>
    </row>
    <row r="61" spans="1:12" ht="14.4" x14ac:dyDescent="0.3">
      <c r="A61" s="191" t="s">
        <v>295</v>
      </c>
      <c r="B61" s="176" t="s">
        <v>162</v>
      </c>
      <c r="C61" s="176" t="s">
        <v>296</v>
      </c>
      <c r="D61" s="176" t="s">
        <v>164</v>
      </c>
      <c r="E61" s="192">
        <v>575.4</v>
      </c>
      <c r="F61" s="176" t="s">
        <v>27</v>
      </c>
      <c r="G61" s="176" t="s">
        <v>27</v>
      </c>
      <c r="H61" s="189">
        <v>100</v>
      </c>
      <c r="I61" s="189">
        <v>2000</v>
      </c>
      <c r="J61" s="193" t="s">
        <v>297</v>
      </c>
      <c r="K61" s="189" t="s">
        <v>398</v>
      </c>
      <c r="L61" s="201" t="s">
        <v>296</v>
      </c>
    </row>
    <row r="62" spans="1:12" ht="14.4" x14ac:dyDescent="0.3">
      <c r="A62" s="191" t="s">
        <v>298</v>
      </c>
      <c r="B62" s="176" t="s">
        <v>162</v>
      </c>
      <c r="C62" s="176" t="s">
        <v>384</v>
      </c>
      <c r="D62" s="176" t="s">
        <v>164</v>
      </c>
      <c r="E62" s="192">
        <v>200</v>
      </c>
      <c r="F62" s="176" t="s">
        <v>376</v>
      </c>
      <c r="G62" s="176" t="s">
        <v>27</v>
      </c>
      <c r="H62" s="189">
        <v>1</v>
      </c>
      <c r="I62" s="189">
        <v>10000</v>
      </c>
      <c r="J62" s="193" t="s">
        <v>300</v>
      </c>
      <c r="K62" s="189" t="s">
        <v>398</v>
      </c>
      <c r="L62" s="201" t="s">
        <v>299</v>
      </c>
    </row>
    <row r="63" spans="1:12" ht="14.4" x14ac:dyDescent="0.3">
      <c r="A63" s="191" t="s">
        <v>301</v>
      </c>
      <c r="B63" s="176" t="s">
        <v>162</v>
      </c>
      <c r="C63" s="176" t="s">
        <v>302</v>
      </c>
      <c r="D63" s="176" t="s">
        <v>164</v>
      </c>
      <c r="E63" s="192">
        <f>1*Syngas_ouput</f>
        <v>46069</v>
      </c>
      <c r="F63" s="176" t="s">
        <v>165</v>
      </c>
      <c r="G63" s="176" t="s">
        <v>360</v>
      </c>
      <c r="H63" s="189">
        <v>0</v>
      </c>
      <c r="I63" s="189">
        <v>1000000</v>
      </c>
      <c r="J63" s="193" t="s">
        <v>303</v>
      </c>
      <c r="K63" s="189" t="s">
        <v>398</v>
      </c>
      <c r="L63" s="201" t="s">
        <v>302</v>
      </c>
    </row>
    <row r="64" spans="1:12" ht="14.4" x14ac:dyDescent="0.3">
      <c r="A64" s="203" t="s">
        <v>359</v>
      </c>
      <c r="B64" s="176" t="s">
        <v>162</v>
      </c>
      <c r="C64" s="176" t="s">
        <v>397</v>
      </c>
      <c r="D64" s="176" t="s">
        <v>164</v>
      </c>
      <c r="E64" s="192">
        <f>Syngas_ouput*LHV_syngas/3600</f>
        <v>321126.52388888889</v>
      </c>
      <c r="F64" s="176" t="s">
        <v>183</v>
      </c>
      <c r="G64" s="176" t="s">
        <v>361</v>
      </c>
      <c r="H64" s="189">
        <v>0</v>
      </c>
      <c r="I64" s="189">
        <v>10000000</v>
      </c>
      <c r="J64" s="193" t="s">
        <v>305</v>
      </c>
      <c r="K64" s="189" t="s">
        <v>398</v>
      </c>
      <c r="L64" s="201" t="s">
        <v>304</v>
      </c>
    </row>
    <row r="65" spans="1:12" ht="14.4" x14ac:dyDescent="0.3">
      <c r="A65" s="191" t="s">
        <v>306</v>
      </c>
      <c r="B65" s="176" t="s">
        <v>162</v>
      </c>
      <c r="C65" s="176" t="s">
        <v>307</v>
      </c>
      <c r="D65" s="176" t="s">
        <v>164</v>
      </c>
      <c r="E65" s="192">
        <f>H2_compr+CO2_compr+Recy_compr</f>
        <v>12074.3</v>
      </c>
      <c r="F65" s="176" t="s">
        <v>183</v>
      </c>
      <c r="G65" s="176" t="s">
        <v>362</v>
      </c>
      <c r="H65" s="189">
        <v>0</v>
      </c>
      <c r="I65" s="189">
        <v>1000000</v>
      </c>
      <c r="J65" s="193" t="s">
        <v>308</v>
      </c>
      <c r="K65" s="189" t="s">
        <v>398</v>
      </c>
      <c r="L65" s="201" t="s">
        <v>307</v>
      </c>
    </row>
    <row r="66" spans="1:12" ht="14.4" x14ac:dyDescent="0.3">
      <c r="A66" s="191" t="s">
        <v>309</v>
      </c>
      <c r="B66" s="176" t="s">
        <v>162</v>
      </c>
      <c r="C66" s="176" t="s">
        <v>310</v>
      </c>
      <c r="D66" s="176" t="s">
        <v>164</v>
      </c>
      <c r="E66" s="192">
        <f>(i*(1+i)^n)/((1+i)^n-1)</f>
        <v>7.8226718212273949E-2</v>
      </c>
      <c r="F66" s="176" t="s">
        <v>27</v>
      </c>
      <c r="G66" s="176" t="s">
        <v>363</v>
      </c>
      <c r="H66" s="189">
        <v>0.01</v>
      </c>
      <c r="I66" s="189">
        <v>1</v>
      </c>
      <c r="J66" s="193" t="s">
        <v>311</v>
      </c>
      <c r="K66" s="189" t="s">
        <v>398</v>
      </c>
      <c r="L66" s="201" t="s">
        <v>310</v>
      </c>
    </row>
    <row r="67" spans="1:12" ht="14.4" x14ac:dyDescent="0.3">
      <c r="A67" s="191" t="s">
        <v>312</v>
      </c>
      <c r="B67" s="176" t="s">
        <v>162</v>
      </c>
      <c r="C67" s="176" t="s">
        <v>313</v>
      </c>
      <c r="D67" s="176" t="s">
        <v>164</v>
      </c>
      <c r="E67" s="192">
        <f>0.4*Q_cold1+Q_cold2</f>
        <v>26960.799999999999</v>
      </c>
      <c r="F67" s="176" t="s">
        <v>314</v>
      </c>
      <c r="G67" s="176" t="s">
        <v>383</v>
      </c>
      <c r="H67" s="189">
        <v>0</v>
      </c>
      <c r="I67" s="189">
        <v>1000000</v>
      </c>
      <c r="J67" s="193" t="s">
        <v>315</v>
      </c>
      <c r="K67" s="189" t="s">
        <v>398</v>
      </c>
      <c r="L67" s="201" t="s">
        <v>313</v>
      </c>
    </row>
    <row r="68" spans="1:12" thickBot="1" x14ac:dyDescent="0.35">
      <c r="A68" s="197" t="s">
        <v>316</v>
      </c>
      <c r="B68" s="178" t="s">
        <v>162</v>
      </c>
      <c r="C68" s="178" t="s">
        <v>382</v>
      </c>
      <c r="D68" s="178" t="s">
        <v>164</v>
      </c>
      <c r="E68" s="198">
        <f>Cinv2_rWGS_spec*heat_costing*(CEPCI_2020/CEPCI_2008)*Annuity</f>
        <v>437058.92735135596</v>
      </c>
      <c r="F68" s="178" t="s">
        <v>375</v>
      </c>
      <c r="G68" s="178" t="s">
        <v>364</v>
      </c>
      <c r="H68" s="190">
        <v>0</v>
      </c>
      <c r="I68" s="190">
        <v>5000000000</v>
      </c>
      <c r="J68" s="199" t="s">
        <v>318</v>
      </c>
      <c r="K68" s="190" t="s">
        <v>398</v>
      </c>
      <c r="L68" s="202" t="s">
        <v>317</v>
      </c>
    </row>
  </sheetData>
  <dataValidations count="3">
    <dataValidation type="list" allowBlank="1" showErrorMessage="1" sqref="B16:B68" xr:uid="{00000000-0002-0000-0300-000000000000}">
      <formula1>"CONTEXT,LITERATURE,MEASURED,DECISION"</formula1>
    </dataValidation>
    <dataValidation type="list" allowBlank="1" showErrorMessage="1" sqref="D16:D68" xr:uid="{00000000-0002-0000-0300-000001000000}">
      <formula1>"MANDATORY,OPTIONAL,PRIVATE"</formula1>
    </dataValidation>
    <dataValidation type="list" errorStyle="information" allowBlank="1" showInputMessage="1" showErrorMessage="1" sqref="F16:F68" xr:uid="{B124724F-538F-4A47-945C-AFAD09A7F2F3}">
      <formula1>"-,kg,s,m,K,°C,W,bar,kg/h,t/h,kW,kW/m2K,W/m2K,kJ/kgK,kJ/kg,m3/h,Nm3/t,kWh/Nm3,Nm3/h,%,kg/kmol,eur,eur/year,eur/kW,kWel/kWth,year, days"</formula1>
    </dataValidation>
  </dataValidations>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51"/>
  <sheetViews>
    <sheetView showGridLines="0" topLeftCell="F9" zoomScale="55" zoomScaleNormal="55" workbookViewId="0">
      <selection activeCell="K45" sqref="K45"/>
    </sheetView>
  </sheetViews>
  <sheetFormatPr defaultColWidth="14.44140625" defaultRowHeight="15" customHeight="1" x14ac:dyDescent="0.3"/>
  <cols>
    <col min="1" max="1" width="59.109375" customWidth="1"/>
    <col min="2" max="2" width="43.77734375" customWidth="1"/>
    <col min="3" max="3" width="59.33203125" customWidth="1"/>
    <col min="4" max="4" width="45.33203125" customWidth="1"/>
    <col min="5" max="5" width="37.6640625" customWidth="1"/>
    <col min="6" max="6" width="42.109375" customWidth="1"/>
    <col min="7" max="7" width="34.33203125" customWidth="1"/>
    <col min="8" max="8" width="34.6640625" customWidth="1"/>
    <col min="9" max="9" width="29.109375" customWidth="1"/>
    <col min="10" max="10" width="35.33203125" customWidth="1"/>
    <col min="11" max="11" width="42.6640625" customWidth="1"/>
    <col min="12" max="12" width="43" customWidth="1"/>
    <col min="13" max="13" width="43.44140625" bestFit="1" customWidth="1"/>
    <col min="14" max="14" width="60.77734375" customWidth="1"/>
    <col min="15" max="15" width="22.33203125" bestFit="1" customWidth="1"/>
    <col min="16" max="16" width="19.77734375" customWidth="1"/>
    <col min="17" max="17" width="31.44140625" bestFit="1" customWidth="1"/>
    <col min="18" max="18" width="29" bestFit="1" customWidth="1"/>
    <col min="19" max="19" width="16.77734375" bestFit="1" customWidth="1"/>
    <col min="20" max="20" width="30.109375" customWidth="1"/>
    <col min="21" max="21" width="53.77734375" bestFit="1" customWidth="1"/>
    <col min="22" max="28" width="10.6640625" customWidth="1"/>
  </cols>
  <sheetData>
    <row r="1" spans="1:21" ht="14.25" customHeight="1" thickBot="1" x14ac:dyDescent="0.35">
      <c r="A1" s="105" t="s">
        <v>46</v>
      </c>
      <c r="B1" s="84"/>
      <c r="C1" s="84"/>
      <c r="D1" s="37"/>
      <c r="E1" s="38"/>
      <c r="F1" s="38"/>
      <c r="G1" s="38"/>
      <c r="H1" s="38"/>
      <c r="I1" s="6"/>
      <c r="J1" s="6"/>
      <c r="K1" s="7"/>
      <c r="L1" s="7"/>
      <c r="M1" s="7"/>
      <c r="N1" s="7"/>
    </row>
    <row r="2" spans="1:21" ht="48" customHeight="1" thickBot="1" x14ac:dyDescent="0.35">
      <c r="A2" s="249" t="s">
        <v>388</v>
      </c>
      <c r="B2" s="84"/>
      <c r="C2" s="84"/>
      <c r="D2" s="37"/>
      <c r="E2" s="38"/>
      <c r="F2" s="38"/>
      <c r="G2" s="38"/>
      <c r="H2" s="38"/>
      <c r="I2" s="6"/>
      <c r="J2" s="6"/>
      <c r="K2" s="7"/>
      <c r="L2" s="7"/>
      <c r="M2" s="7"/>
      <c r="N2" s="7"/>
    </row>
    <row r="3" spans="1:21" ht="14.25" customHeight="1" thickBot="1" x14ac:dyDescent="0.35">
      <c r="D3" s="37"/>
      <c r="E3" s="38"/>
      <c r="F3" s="38"/>
      <c r="G3" s="38"/>
      <c r="H3" s="38"/>
      <c r="I3" s="6"/>
      <c r="J3" s="6"/>
      <c r="K3" s="7"/>
      <c r="L3" s="7"/>
      <c r="M3" s="7"/>
      <c r="N3" s="7"/>
    </row>
    <row r="4" spans="1:21" thickBot="1" x14ac:dyDescent="0.35">
      <c r="A4" s="85"/>
      <c r="B4" s="39"/>
      <c r="C4" s="39"/>
      <c r="D4" s="6"/>
      <c r="E4" s="40"/>
      <c r="F4" s="40"/>
      <c r="G4" s="40"/>
      <c r="H4" s="41"/>
      <c r="I4" s="42"/>
      <c r="J4" s="42"/>
      <c r="K4" s="42"/>
      <c r="L4" s="42"/>
      <c r="M4" s="42"/>
      <c r="N4" s="42"/>
    </row>
    <row r="5" spans="1:21" thickBot="1" x14ac:dyDescent="0.35">
      <c r="A5" s="88" t="s">
        <v>48</v>
      </c>
      <c r="B5" s="89" t="s">
        <v>50</v>
      </c>
      <c r="C5" s="90" t="s">
        <v>49</v>
      </c>
      <c r="D5" s="66" t="s">
        <v>150</v>
      </c>
      <c r="E5" s="45"/>
      <c r="F5" s="45"/>
      <c r="G5" s="45"/>
      <c r="H5" s="44"/>
      <c r="I5" s="7"/>
      <c r="J5" s="7"/>
      <c r="K5" s="7"/>
      <c r="L5" s="7"/>
      <c r="M5" s="7"/>
      <c r="N5" s="7"/>
    </row>
    <row r="6" spans="1:21" thickBot="1" x14ac:dyDescent="0.35">
      <c r="A6" s="139" t="s">
        <v>335</v>
      </c>
      <c r="B6" s="148">
        <v>0</v>
      </c>
      <c r="C6" s="147">
        <v>100</v>
      </c>
      <c r="D6" s="46"/>
      <c r="E6" s="47"/>
      <c r="F6" s="48"/>
      <c r="G6" s="48"/>
      <c r="H6" s="49"/>
      <c r="I6" s="38"/>
      <c r="J6" s="38"/>
      <c r="K6" s="38"/>
      <c r="L6" s="38"/>
      <c r="M6" s="38"/>
      <c r="N6" s="38"/>
    </row>
    <row r="7" spans="1:21" thickBot="1" x14ac:dyDescent="0.35">
      <c r="A7" s="50"/>
      <c r="B7" s="51"/>
      <c r="C7" s="51"/>
      <c r="D7" s="52"/>
      <c r="E7" s="5"/>
      <c r="F7" s="40"/>
      <c r="G7" s="40"/>
      <c r="H7" s="41"/>
      <c r="I7" s="40"/>
      <c r="J7" s="40"/>
      <c r="K7" s="40"/>
      <c r="L7" s="40"/>
      <c r="M7" s="40"/>
      <c r="N7" s="40"/>
    </row>
    <row r="8" spans="1:21" ht="17.25" customHeight="1" thickBot="1" x14ac:dyDescent="0.35">
      <c r="A8" s="102" t="s">
        <v>47</v>
      </c>
      <c r="B8" s="84"/>
      <c r="C8" s="84"/>
      <c r="D8" s="41"/>
      <c r="E8" s="5"/>
      <c r="F8" s="40"/>
      <c r="G8" s="40"/>
      <c r="H8" s="41"/>
      <c r="I8" s="40"/>
      <c r="J8" s="40"/>
      <c r="K8" s="40"/>
      <c r="L8" s="40"/>
      <c r="M8" s="40"/>
      <c r="N8" s="40"/>
    </row>
    <row r="9" spans="1:21" ht="61.2" customHeight="1" thickBot="1" x14ac:dyDescent="0.35">
      <c r="A9" s="249" t="s">
        <v>389</v>
      </c>
      <c r="B9" s="84"/>
      <c r="C9" s="84"/>
      <c r="D9" s="5"/>
      <c r="E9" s="5"/>
      <c r="F9" s="40"/>
      <c r="G9" s="40"/>
      <c r="H9" s="41"/>
      <c r="I9" s="40"/>
      <c r="J9" s="40"/>
      <c r="K9" s="40"/>
      <c r="L9" s="40"/>
      <c r="M9" s="40"/>
      <c r="N9" s="40"/>
    </row>
    <row r="10" spans="1:21" thickBot="1" x14ac:dyDescent="0.35">
      <c r="A10" s="53"/>
      <c r="B10" s="40"/>
      <c r="C10" s="40"/>
      <c r="D10" s="5"/>
      <c r="E10" s="5"/>
      <c r="F10" s="40"/>
      <c r="G10" s="40"/>
      <c r="H10" s="41"/>
      <c r="I10" s="40"/>
      <c r="J10" s="40"/>
      <c r="K10" s="40"/>
      <c r="L10" s="40"/>
      <c r="M10" s="40"/>
      <c r="N10" s="40"/>
    </row>
    <row r="11" spans="1:21" thickBot="1" x14ac:dyDescent="0.35">
      <c r="A11" s="54" t="s">
        <v>59</v>
      </c>
      <c r="B11" s="40"/>
      <c r="C11" s="40"/>
      <c r="D11" s="5"/>
      <c r="E11" s="5"/>
      <c r="F11" s="40"/>
      <c r="G11" s="40"/>
      <c r="H11" s="41"/>
      <c r="I11" s="40"/>
      <c r="J11" s="40"/>
      <c r="K11" s="40"/>
      <c r="L11" s="40"/>
      <c r="M11" s="40"/>
      <c r="N11" s="40"/>
    </row>
    <row r="12" spans="1:21" thickBot="1" x14ac:dyDescent="0.35">
      <c r="A12" s="55" t="s">
        <v>58</v>
      </c>
      <c r="B12" s="56"/>
      <c r="D12" s="56"/>
      <c r="E12" s="56"/>
      <c r="F12" s="56"/>
      <c r="G12" s="56"/>
      <c r="H12" s="56"/>
      <c r="I12" s="57"/>
      <c r="J12" s="56"/>
      <c r="K12" s="56"/>
      <c r="L12" s="56"/>
      <c r="M12" s="43"/>
      <c r="N12" s="43"/>
    </row>
    <row r="13" spans="1:21" ht="19.5" customHeight="1" thickBot="1" x14ac:dyDescent="0.35">
      <c r="A13" s="87" t="s">
        <v>2</v>
      </c>
      <c r="B13" s="91"/>
      <c r="C13" s="91"/>
      <c r="D13" s="91"/>
      <c r="E13" s="91"/>
      <c r="F13" s="91"/>
      <c r="G13" s="91"/>
      <c r="H13" s="91"/>
      <c r="I13" s="91"/>
      <c r="J13" s="91"/>
      <c r="K13" s="91"/>
      <c r="L13" s="94"/>
      <c r="M13" s="94"/>
      <c r="N13" s="101"/>
    </row>
    <row r="14" spans="1:21" thickBot="1" x14ac:dyDescent="0.35">
      <c r="A14" s="109" t="s">
        <v>17</v>
      </c>
      <c r="B14" s="110" t="s">
        <v>18</v>
      </c>
      <c r="C14" s="110" t="s">
        <v>38</v>
      </c>
      <c r="D14" s="110" t="s">
        <v>147</v>
      </c>
      <c r="E14" s="110" t="s">
        <v>148</v>
      </c>
      <c r="F14" s="110" t="s">
        <v>145</v>
      </c>
      <c r="G14" s="111" t="s">
        <v>21</v>
      </c>
      <c r="H14" s="110" t="s">
        <v>146</v>
      </c>
      <c r="I14" s="110" t="s">
        <v>23</v>
      </c>
      <c r="J14" s="110" t="s">
        <v>24</v>
      </c>
      <c r="K14" s="110" t="s">
        <v>25</v>
      </c>
      <c r="L14" s="140" t="s">
        <v>26</v>
      </c>
      <c r="M14" s="140" t="s">
        <v>121</v>
      </c>
      <c r="N14" s="130" t="s">
        <v>15</v>
      </c>
    </row>
    <row r="15" spans="1:21" ht="14.4" x14ac:dyDescent="0.3">
      <c r="A15" s="242" t="s">
        <v>333</v>
      </c>
      <c r="B15" s="179" t="s">
        <v>328</v>
      </c>
      <c r="C15" s="179" t="s">
        <v>336</v>
      </c>
      <c r="D15" s="225">
        <f>H2_input</f>
        <v>9421</v>
      </c>
      <c r="E15" s="179" t="s">
        <v>165</v>
      </c>
      <c r="F15" s="226">
        <v>30</v>
      </c>
      <c r="G15" s="226" t="s">
        <v>354</v>
      </c>
      <c r="H15" s="226">
        <v>1</v>
      </c>
      <c r="I15" s="226" t="s">
        <v>329</v>
      </c>
      <c r="J15" s="226">
        <v>-1</v>
      </c>
      <c r="K15" s="226" t="s">
        <v>355</v>
      </c>
      <c r="L15" s="179" t="s">
        <v>358</v>
      </c>
      <c r="M15" s="243" t="s">
        <v>369</v>
      </c>
      <c r="N15" s="246" t="s">
        <v>352</v>
      </c>
      <c r="O15" s="1"/>
      <c r="P15" s="1"/>
      <c r="Q15" s="1"/>
      <c r="R15" s="1"/>
      <c r="S15" s="1"/>
      <c r="T15" s="1"/>
      <c r="U15" s="1"/>
    </row>
    <row r="16" spans="1:21" ht="14.4" x14ac:dyDescent="0.3">
      <c r="A16" s="221" t="s">
        <v>332</v>
      </c>
      <c r="B16" s="176" t="s">
        <v>328</v>
      </c>
      <c r="C16" s="176" t="s">
        <v>336</v>
      </c>
      <c r="D16" s="222">
        <f>CO2_input</f>
        <v>66014</v>
      </c>
      <c r="E16" s="176" t="s">
        <v>165</v>
      </c>
      <c r="F16" s="223">
        <v>30</v>
      </c>
      <c r="G16" s="223" t="s">
        <v>354</v>
      </c>
      <c r="H16" s="223">
        <v>1</v>
      </c>
      <c r="I16" s="223" t="s">
        <v>329</v>
      </c>
      <c r="J16" s="223">
        <v>-1</v>
      </c>
      <c r="K16" s="223" t="s">
        <v>355</v>
      </c>
      <c r="L16" s="176" t="s">
        <v>357</v>
      </c>
      <c r="M16" s="244" t="s">
        <v>369</v>
      </c>
      <c r="N16" s="247" t="s">
        <v>351</v>
      </c>
      <c r="O16" s="220"/>
      <c r="P16" s="220"/>
      <c r="Q16" s="220"/>
      <c r="R16" s="220"/>
      <c r="S16" s="220"/>
      <c r="T16" s="220"/>
      <c r="U16" s="220"/>
    </row>
    <row r="17" spans="1:21" ht="14.4" x14ac:dyDescent="0.3">
      <c r="A17" s="241" t="s">
        <v>327</v>
      </c>
      <c r="B17" s="176" t="s">
        <v>328</v>
      </c>
      <c r="C17" s="176" t="s">
        <v>337</v>
      </c>
      <c r="D17" s="222">
        <f>Water_output</f>
        <v>29.36</v>
      </c>
      <c r="E17" s="176" t="s">
        <v>175</v>
      </c>
      <c r="F17" s="223">
        <v>25</v>
      </c>
      <c r="G17" s="223" t="s">
        <v>354</v>
      </c>
      <c r="H17" s="223">
        <v>1</v>
      </c>
      <c r="I17" s="223" t="s">
        <v>329</v>
      </c>
      <c r="J17" s="223">
        <v>-1</v>
      </c>
      <c r="K17" s="223" t="s">
        <v>330</v>
      </c>
      <c r="L17" s="176" t="s">
        <v>331</v>
      </c>
      <c r="M17" s="244" t="s">
        <v>369</v>
      </c>
      <c r="N17" s="247" t="s">
        <v>350</v>
      </c>
      <c r="O17" s="220"/>
      <c r="P17" s="220"/>
      <c r="Q17" s="220"/>
      <c r="R17" s="220"/>
      <c r="S17" s="220"/>
      <c r="T17" s="220"/>
      <c r="U17" s="220"/>
    </row>
    <row r="18" spans="1:21" ht="14.4" x14ac:dyDescent="0.3">
      <c r="A18" s="221" t="s">
        <v>334</v>
      </c>
      <c r="B18" s="176" t="s">
        <v>328</v>
      </c>
      <c r="C18" s="176" t="s">
        <v>337</v>
      </c>
      <c r="D18" s="222">
        <f>Syngas_ouput</f>
        <v>46069</v>
      </c>
      <c r="E18" s="176" t="s">
        <v>165</v>
      </c>
      <c r="F18" s="223">
        <v>30</v>
      </c>
      <c r="G18" s="223" t="s">
        <v>354</v>
      </c>
      <c r="H18" s="223">
        <v>1</v>
      </c>
      <c r="I18" s="223" t="s">
        <v>329</v>
      </c>
      <c r="J18" s="223">
        <v>-1</v>
      </c>
      <c r="K18" s="223" t="s">
        <v>355</v>
      </c>
      <c r="L18" s="176" t="s">
        <v>356</v>
      </c>
      <c r="M18" s="244" t="s">
        <v>370</v>
      </c>
      <c r="N18" s="247" t="s">
        <v>353</v>
      </c>
      <c r="O18" s="220"/>
      <c r="P18" s="220"/>
      <c r="Q18" s="220"/>
      <c r="R18" s="220"/>
      <c r="S18" s="220"/>
      <c r="T18" s="220"/>
      <c r="U18" s="220"/>
    </row>
    <row r="19" spans="1:21" thickBot="1" x14ac:dyDescent="0.35">
      <c r="A19" s="228" t="s">
        <v>325</v>
      </c>
      <c r="B19" s="178" t="s">
        <v>324</v>
      </c>
      <c r="C19" s="178" t="s">
        <v>336</v>
      </c>
      <c r="D19" s="229">
        <f>Power_rWGS</f>
        <v>12074.3</v>
      </c>
      <c r="E19" s="178" t="s">
        <v>183</v>
      </c>
      <c r="F19" s="230" t="s">
        <v>27</v>
      </c>
      <c r="G19" s="230" t="s">
        <v>27</v>
      </c>
      <c r="H19" s="230" t="s">
        <v>27</v>
      </c>
      <c r="I19" s="230" t="s">
        <v>27</v>
      </c>
      <c r="J19" s="230" t="s">
        <v>27</v>
      </c>
      <c r="K19" s="230" t="s">
        <v>27</v>
      </c>
      <c r="L19" s="178" t="s">
        <v>27</v>
      </c>
      <c r="M19" s="245" t="s">
        <v>369</v>
      </c>
      <c r="N19" s="248" t="s">
        <v>349</v>
      </c>
      <c r="O19" s="220"/>
      <c r="P19" s="220"/>
      <c r="Q19" s="220"/>
      <c r="R19" s="220"/>
      <c r="S19" s="220"/>
      <c r="T19" s="220"/>
      <c r="U19" s="220"/>
    </row>
    <row r="20" spans="1:21" thickBot="1" x14ac:dyDescent="0.35">
      <c r="A20" s="59"/>
      <c r="B20" s="51"/>
      <c r="C20" s="51"/>
      <c r="D20" s="51"/>
      <c r="E20" s="60"/>
      <c r="F20" s="61"/>
      <c r="G20" s="61"/>
      <c r="H20" s="61"/>
      <c r="I20" s="61"/>
      <c r="J20" s="60"/>
      <c r="K20" s="62"/>
      <c r="L20" s="51"/>
      <c r="M20" s="63"/>
      <c r="N20" s="51"/>
      <c r="O20" s="63"/>
      <c r="P20" s="63"/>
      <c r="Q20" s="63"/>
      <c r="R20" s="63"/>
      <c r="S20" s="63"/>
      <c r="T20" s="63"/>
      <c r="U20" s="63"/>
    </row>
    <row r="21" spans="1:21" ht="14.25" customHeight="1" thickBot="1" x14ac:dyDescent="0.35">
      <c r="A21" s="103" t="s">
        <v>56</v>
      </c>
      <c r="C21" s="84"/>
      <c r="D21" s="37"/>
      <c r="E21" s="38"/>
      <c r="F21" s="38"/>
      <c r="G21" s="38"/>
      <c r="H21" s="38"/>
      <c r="I21" s="6"/>
      <c r="J21" s="6"/>
      <c r="K21" s="7"/>
      <c r="L21" s="7"/>
      <c r="M21" s="7"/>
      <c r="N21" s="7"/>
      <c r="O21" s="38"/>
      <c r="P21" s="38"/>
      <c r="Q21" s="38"/>
      <c r="R21" s="38"/>
      <c r="S21" s="38"/>
      <c r="T21" s="38"/>
      <c r="U21" s="38"/>
    </row>
    <row r="22" spans="1:21" ht="47.4" customHeight="1" thickBot="1" x14ac:dyDescent="0.35">
      <c r="A22" s="249" t="s">
        <v>391</v>
      </c>
      <c r="C22" s="84"/>
      <c r="D22" s="37"/>
      <c r="E22" s="38"/>
      <c r="F22" s="38"/>
      <c r="G22" s="38"/>
      <c r="H22" s="38"/>
      <c r="I22" s="6"/>
      <c r="J22" s="6"/>
      <c r="K22" s="7"/>
      <c r="L22" s="7"/>
      <c r="M22" s="7"/>
      <c r="N22" s="7"/>
      <c r="O22" s="38"/>
      <c r="P22" s="38"/>
      <c r="Q22" s="38"/>
      <c r="R22" s="38"/>
      <c r="S22" s="38"/>
      <c r="T22" s="38"/>
      <c r="U22" s="38"/>
    </row>
    <row r="23" spans="1:21" thickBot="1" x14ac:dyDescent="0.35">
      <c r="A23" s="64"/>
      <c r="B23" s="40"/>
      <c r="C23" s="40"/>
      <c r="D23" s="40"/>
      <c r="E23" s="5"/>
      <c r="F23" s="58"/>
      <c r="G23" s="58"/>
      <c r="H23" s="58"/>
      <c r="I23" s="58"/>
      <c r="J23" s="5"/>
      <c r="K23" s="41"/>
      <c r="L23" s="40"/>
      <c r="M23" s="40"/>
      <c r="N23" s="40"/>
      <c r="O23" s="40"/>
      <c r="P23" s="40"/>
      <c r="Q23" s="40"/>
      <c r="R23" s="40"/>
      <c r="S23" s="40"/>
      <c r="T23" s="40"/>
      <c r="U23" s="40"/>
    </row>
    <row r="24" spans="1:21" thickBot="1" x14ac:dyDescent="0.35">
      <c r="A24" s="92" t="s">
        <v>40</v>
      </c>
      <c r="B24" s="93"/>
      <c r="C24" s="93"/>
      <c r="D24" s="93"/>
      <c r="E24" s="93"/>
      <c r="F24" s="93"/>
      <c r="G24" s="93"/>
      <c r="H24" s="93"/>
      <c r="I24" s="93"/>
      <c r="J24" s="93"/>
      <c r="K24" s="93"/>
      <c r="L24" s="93"/>
      <c r="M24" s="93"/>
      <c r="N24" s="93"/>
      <c r="O24" s="93"/>
      <c r="P24" s="93"/>
      <c r="Q24" s="93"/>
      <c r="R24" s="93"/>
      <c r="S24" s="93"/>
      <c r="T24" s="93"/>
      <c r="U24" s="101"/>
    </row>
    <row r="25" spans="1:21" thickBot="1" x14ac:dyDescent="0.35">
      <c r="A25" s="141" t="s">
        <v>52</v>
      </c>
      <c r="B25" s="142" t="s">
        <v>18</v>
      </c>
      <c r="C25" s="142" t="s">
        <v>109</v>
      </c>
      <c r="D25" s="143" t="s">
        <v>105</v>
      </c>
      <c r="E25" s="142" t="s">
        <v>110</v>
      </c>
      <c r="F25" s="142" t="s">
        <v>106</v>
      </c>
      <c r="G25" s="142" t="s">
        <v>111</v>
      </c>
      <c r="H25" s="142" t="s">
        <v>112</v>
      </c>
      <c r="I25" s="142" t="s">
        <v>113</v>
      </c>
      <c r="J25" s="142" t="s">
        <v>107</v>
      </c>
      <c r="K25" s="142" t="s">
        <v>114</v>
      </c>
      <c r="L25" s="142" t="s">
        <v>108</v>
      </c>
      <c r="M25" s="142" t="s">
        <v>115</v>
      </c>
      <c r="N25" s="142" t="s">
        <v>116</v>
      </c>
      <c r="O25" s="142" t="s">
        <v>117</v>
      </c>
      <c r="P25" s="142" t="s">
        <v>118</v>
      </c>
      <c r="Q25" s="142" t="s">
        <v>119</v>
      </c>
      <c r="R25" s="142" t="s">
        <v>120</v>
      </c>
      <c r="S25" s="144" t="s">
        <v>51</v>
      </c>
      <c r="T25" s="144" t="s">
        <v>121</v>
      </c>
      <c r="U25" s="130" t="s">
        <v>15</v>
      </c>
    </row>
    <row r="26" spans="1:21" ht="15.75" customHeight="1" x14ac:dyDescent="0.3">
      <c r="A26" s="235" t="s">
        <v>338</v>
      </c>
      <c r="B26" s="179" t="s">
        <v>339</v>
      </c>
      <c r="C26" s="236">
        <f>Tin_hot1</f>
        <v>165.4</v>
      </c>
      <c r="D26" s="227" t="s">
        <v>354</v>
      </c>
      <c r="E26" s="236">
        <f>Tout_hot1</f>
        <v>30</v>
      </c>
      <c r="F26" s="227" t="s">
        <v>354</v>
      </c>
      <c r="G26" s="236">
        <f>Q_hot1</f>
        <v>5029</v>
      </c>
      <c r="H26" s="227" t="s">
        <v>183</v>
      </c>
      <c r="I26" s="195">
        <v>0</v>
      </c>
      <c r="J26" s="227" t="s">
        <v>183</v>
      </c>
      <c r="K26" s="216">
        <f>G26/(C26-E26)/M26*3600</f>
        <v>14.192812593632157</v>
      </c>
      <c r="L26" s="251" t="s">
        <v>366</v>
      </c>
      <c r="M26" s="216">
        <f>H2_input</f>
        <v>9421</v>
      </c>
      <c r="N26" s="252" t="s">
        <v>165</v>
      </c>
      <c r="O26" s="179">
        <v>8</v>
      </c>
      <c r="P26" s="227" t="s">
        <v>367</v>
      </c>
      <c r="Q26" s="216">
        <v>1</v>
      </c>
      <c r="R26" s="237" t="s">
        <v>368</v>
      </c>
      <c r="S26" s="195" t="s">
        <v>371</v>
      </c>
      <c r="T26" s="195" t="s">
        <v>369</v>
      </c>
      <c r="U26" s="266" t="s">
        <v>189</v>
      </c>
    </row>
    <row r="27" spans="1:21" ht="15.75" customHeight="1" x14ac:dyDescent="0.3">
      <c r="A27" s="232" t="s">
        <v>340</v>
      </c>
      <c r="B27" s="176" t="s">
        <v>339</v>
      </c>
      <c r="C27" s="233">
        <f>Tin_hot2</f>
        <v>107.7</v>
      </c>
      <c r="D27" s="224" t="s">
        <v>354</v>
      </c>
      <c r="E27" s="233">
        <f>Tout_hot2</f>
        <v>30</v>
      </c>
      <c r="F27" s="224" t="s">
        <v>354</v>
      </c>
      <c r="G27" s="233">
        <f>Q_hot2</f>
        <v>2880</v>
      </c>
      <c r="H27" s="224" t="s">
        <v>183</v>
      </c>
      <c r="I27" s="192">
        <v>0</v>
      </c>
      <c r="J27" s="224" t="s">
        <v>183</v>
      </c>
      <c r="K27" s="217">
        <f>G27/(C27-E27)/M27*3600</f>
        <v>14.163708039092818</v>
      </c>
      <c r="L27" s="253" t="s">
        <v>366</v>
      </c>
      <c r="M27" s="217">
        <f>H2_input</f>
        <v>9421</v>
      </c>
      <c r="N27" s="254" t="s">
        <v>165</v>
      </c>
      <c r="O27" s="176">
        <v>8</v>
      </c>
      <c r="P27" s="224" t="s">
        <v>367</v>
      </c>
      <c r="Q27" s="217">
        <v>1</v>
      </c>
      <c r="R27" s="234" t="s">
        <v>368</v>
      </c>
      <c r="S27" s="192" t="s">
        <v>371</v>
      </c>
      <c r="T27" s="192" t="s">
        <v>369</v>
      </c>
      <c r="U27" s="267" t="s">
        <v>192</v>
      </c>
    </row>
    <row r="28" spans="1:21" ht="15.75" customHeight="1" x14ac:dyDescent="0.3">
      <c r="A28" s="232" t="s">
        <v>341</v>
      </c>
      <c r="B28" s="176" t="s">
        <v>339</v>
      </c>
      <c r="C28" s="233">
        <f>Tin_hot3</f>
        <v>115.7</v>
      </c>
      <c r="D28" s="224" t="s">
        <v>354</v>
      </c>
      <c r="E28" s="233">
        <f>Tout_hot3</f>
        <v>30</v>
      </c>
      <c r="F28" s="224" t="s">
        <v>354</v>
      </c>
      <c r="G28" s="233">
        <f>Q_hot3</f>
        <v>1435</v>
      </c>
      <c r="H28" s="224" t="s">
        <v>183</v>
      </c>
      <c r="I28" s="192">
        <v>0</v>
      </c>
      <c r="J28" s="224" t="s">
        <v>183</v>
      </c>
      <c r="K28" s="217">
        <f t="shared" ref="K28:K31" si="0">G28/(C28-E28)/M28*3600</f>
        <v>0.913140344085281</v>
      </c>
      <c r="L28" s="253" t="s">
        <v>366</v>
      </c>
      <c r="M28" s="217">
        <f>CO2_input</f>
        <v>66014</v>
      </c>
      <c r="N28" s="254" t="s">
        <v>165</v>
      </c>
      <c r="O28" s="176">
        <v>8</v>
      </c>
      <c r="P28" s="224" t="s">
        <v>367</v>
      </c>
      <c r="Q28" s="217">
        <v>1</v>
      </c>
      <c r="R28" s="234" t="s">
        <v>368</v>
      </c>
      <c r="S28" s="192" t="s">
        <v>371</v>
      </c>
      <c r="T28" s="192" t="s">
        <v>369</v>
      </c>
      <c r="U28" s="267" t="s">
        <v>195</v>
      </c>
    </row>
    <row r="29" spans="1:21" ht="15.75" customHeight="1" x14ac:dyDescent="0.3">
      <c r="A29" s="232" t="s">
        <v>342</v>
      </c>
      <c r="B29" s="176" t="s">
        <v>339</v>
      </c>
      <c r="C29" s="233">
        <f>Tin_hot4</f>
        <v>92.72</v>
      </c>
      <c r="D29" s="224" t="s">
        <v>354</v>
      </c>
      <c r="E29" s="233">
        <f>Tout_hot4</f>
        <v>30</v>
      </c>
      <c r="F29" s="224" t="s">
        <v>354</v>
      </c>
      <c r="G29" s="233">
        <f>Q_hot4</f>
        <v>1053</v>
      </c>
      <c r="H29" s="224" t="s">
        <v>183</v>
      </c>
      <c r="I29" s="192">
        <v>0</v>
      </c>
      <c r="J29" s="224" t="s">
        <v>183</v>
      </c>
      <c r="K29" s="217">
        <f t="shared" si="0"/>
        <v>0.91556413821928939</v>
      </c>
      <c r="L29" s="253" t="s">
        <v>366</v>
      </c>
      <c r="M29" s="217">
        <f>CO2_input</f>
        <v>66014</v>
      </c>
      <c r="N29" s="254" t="s">
        <v>165</v>
      </c>
      <c r="O29" s="176">
        <v>8</v>
      </c>
      <c r="P29" s="224" t="s">
        <v>367</v>
      </c>
      <c r="Q29" s="217">
        <v>1</v>
      </c>
      <c r="R29" s="234" t="s">
        <v>368</v>
      </c>
      <c r="S29" s="192" t="s">
        <v>371</v>
      </c>
      <c r="T29" s="192" t="s">
        <v>369</v>
      </c>
      <c r="U29" s="267" t="s">
        <v>198</v>
      </c>
    </row>
    <row r="30" spans="1:21" ht="15.75" customHeight="1" x14ac:dyDescent="0.3">
      <c r="A30" s="232" t="s">
        <v>343</v>
      </c>
      <c r="B30" s="176" t="s">
        <v>339</v>
      </c>
      <c r="C30" s="233">
        <f>Tin_hot5</f>
        <v>750</v>
      </c>
      <c r="D30" s="224" t="s">
        <v>354</v>
      </c>
      <c r="E30" s="233">
        <f>Tout_hot5</f>
        <v>99.34</v>
      </c>
      <c r="F30" s="224" t="s">
        <v>354</v>
      </c>
      <c r="G30" s="233">
        <f>Q_hot5</f>
        <v>48387</v>
      </c>
      <c r="H30" s="224" t="s">
        <v>183</v>
      </c>
      <c r="I30" s="192">
        <v>0</v>
      </c>
      <c r="J30" s="224" t="s">
        <v>183</v>
      </c>
      <c r="K30" s="217">
        <f t="shared" si="0"/>
        <v>5.8112331942441884</v>
      </c>
      <c r="L30" s="253" t="s">
        <v>366</v>
      </c>
      <c r="M30" s="217">
        <f>Syngas_ouput</f>
        <v>46069</v>
      </c>
      <c r="N30" s="254" t="s">
        <v>165</v>
      </c>
      <c r="O30" s="176">
        <v>8</v>
      </c>
      <c r="P30" s="224" t="s">
        <v>367</v>
      </c>
      <c r="Q30" s="217">
        <v>1</v>
      </c>
      <c r="R30" s="234" t="s">
        <v>368</v>
      </c>
      <c r="S30" s="192" t="s">
        <v>371</v>
      </c>
      <c r="T30" s="192" t="s">
        <v>369</v>
      </c>
      <c r="U30" s="267" t="s">
        <v>201</v>
      </c>
    </row>
    <row r="31" spans="1:21" ht="15.75" customHeight="1" x14ac:dyDescent="0.3">
      <c r="A31" s="232" t="s">
        <v>344</v>
      </c>
      <c r="B31" s="176" t="s">
        <v>339</v>
      </c>
      <c r="C31" s="233">
        <f>Tin_hot6</f>
        <v>99.34</v>
      </c>
      <c r="D31" s="224" t="s">
        <v>354</v>
      </c>
      <c r="E31" s="233">
        <f>Tout_hot6</f>
        <v>30</v>
      </c>
      <c r="F31" s="224" t="s">
        <v>354</v>
      </c>
      <c r="G31" s="233">
        <f>Q_hot6</f>
        <v>20310</v>
      </c>
      <c r="H31" s="224" t="s">
        <v>183</v>
      </c>
      <c r="I31" s="192">
        <v>0</v>
      </c>
      <c r="J31" s="224" t="s">
        <v>183</v>
      </c>
      <c r="K31" s="217">
        <f t="shared" si="0"/>
        <v>22.888630147791943</v>
      </c>
      <c r="L31" s="253" t="s">
        <v>366</v>
      </c>
      <c r="M31" s="217">
        <f>Syngas_ouput</f>
        <v>46069</v>
      </c>
      <c r="N31" s="254" t="s">
        <v>165</v>
      </c>
      <c r="O31" s="176">
        <v>2</v>
      </c>
      <c r="P31" s="224" t="s">
        <v>367</v>
      </c>
      <c r="Q31" s="217">
        <v>1</v>
      </c>
      <c r="R31" s="234" t="s">
        <v>368</v>
      </c>
      <c r="S31" s="192" t="s">
        <v>371</v>
      </c>
      <c r="T31" s="192" t="s">
        <v>369</v>
      </c>
      <c r="U31" s="267" t="s">
        <v>400</v>
      </c>
    </row>
    <row r="32" spans="1:21" ht="15.75" customHeight="1" x14ac:dyDescent="0.3">
      <c r="A32" s="232" t="s">
        <v>345</v>
      </c>
      <c r="B32" s="176" t="s">
        <v>339</v>
      </c>
      <c r="C32" s="233">
        <f>Tin_hot7</f>
        <v>91.53</v>
      </c>
      <c r="D32" s="224" t="s">
        <v>354</v>
      </c>
      <c r="E32" s="233">
        <f>Tout_hot7</f>
        <v>30</v>
      </c>
      <c r="F32" s="224" t="s">
        <v>354</v>
      </c>
      <c r="G32" s="233">
        <f>Q_hot7</f>
        <v>746.9</v>
      </c>
      <c r="H32" s="224" t="s">
        <v>183</v>
      </c>
      <c r="I32" s="192">
        <v>0</v>
      </c>
      <c r="J32" s="224" t="s">
        <v>183</v>
      </c>
      <c r="K32" s="217">
        <v>0.85</v>
      </c>
      <c r="L32" s="253" t="s">
        <v>366</v>
      </c>
      <c r="M32" s="217">
        <f>G32/(C32-E32)/K32*3600</f>
        <v>51411.363180084321</v>
      </c>
      <c r="N32" s="254" t="s">
        <v>165</v>
      </c>
      <c r="O32" s="176">
        <v>8</v>
      </c>
      <c r="P32" s="224" t="s">
        <v>367</v>
      </c>
      <c r="Q32" s="217">
        <v>1</v>
      </c>
      <c r="R32" s="234" t="s">
        <v>368</v>
      </c>
      <c r="S32" s="192" t="s">
        <v>371</v>
      </c>
      <c r="T32" s="192" t="s">
        <v>369</v>
      </c>
      <c r="U32" s="267" t="s">
        <v>206</v>
      </c>
    </row>
    <row r="33" spans="1:21" ht="15.75" customHeight="1" x14ac:dyDescent="0.3">
      <c r="A33" s="232" t="s">
        <v>346</v>
      </c>
      <c r="B33" s="176" t="s">
        <v>339</v>
      </c>
      <c r="C33" s="233">
        <f>Tin_hot8</f>
        <v>115.9</v>
      </c>
      <c r="D33" s="224" t="s">
        <v>354</v>
      </c>
      <c r="E33" s="233">
        <f>Tout_hot8</f>
        <v>30</v>
      </c>
      <c r="F33" s="224" t="s">
        <v>354</v>
      </c>
      <c r="G33" s="233">
        <f>Q_hot8</f>
        <v>1065</v>
      </c>
      <c r="H33" s="224" t="s">
        <v>183</v>
      </c>
      <c r="I33" s="192">
        <v>0</v>
      </c>
      <c r="J33" s="224" t="s">
        <v>183</v>
      </c>
      <c r="K33" s="217">
        <f>G33/(C33-E33)/M33*3600</f>
        <v>0.86816010639864827</v>
      </c>
      <c r="L33" s="253" t="s">
        <v>366</v>
      </c>
      <c r="M33" s="217">
        <v>51411.3631800843</v>
      </c>
      <c r="N33" s="254" t="s">
        <v>165</v>
      </c>
      <c r="O33" s="176">
        <v>8</v>
      </c>
      <c r="P33" s="224" t="s">
        <v>367</v>
      </c>
      <c r="Q33" s="217">
        <v>1</v>
      </c>
      <c r="R33" s="234" t="s">
        <v>368</v>
      </c>
      <c r="S33" s="192" t="s">
        <v>371</v>
      </c>
      <c r="T33" s="192" t="s">
        <v>369</v>
      </c>
      <c r="U33" s="267" t="s">
        <v>206</v>
      </c>
    </row>
    <row r="34" spans="1:21" ht="15.75" customHeight="1" x14ac:dyDescent="0.3">
      <c r="A34" s="232" t="s">
        <v>347</v>
      </c>
      <c r="B34" s="176" t="s">
        <v>372</v>
      </c>
      <c r="C34" s="233">
        <f>Tin_cold1</f>
        <v>28.87</v>
      </c>
      <c r="D34" s="224" t="s">
        <v>354</v>
      </c>
      <c r="E34" s="233">
        <f>Tout_cold1</f>
        <v>700</v>
      </c>
      <c r="F34" s="224" t="s">
        <v>354</v>
      </c>
      <c r="G34" s="233">
        <v>0</v>
      </c>
      <c r="H34" s="224" t="s">
        <v>183</v>
      </c>
      <c r="I34" s="233">
        <f>Q_cold1</f>
        <v>48387</v>
      </c>
      <c r="J34" s="224" t="s">
        <v>183</v>
      </c>
      <c r="K34" s="217">
        <f>I34/(E34-C34)/M34*3600</f>
        <v>2.0461926711349347</v>
      </c>
      <c r="L34" s="253" t="s">
        <v>366</v>
      </c>
      <c r="M34" s="217">
        <f>CO2_input+H2_input+M32</f>
        <v>126846.36318008433</v>
      </c>
      <c r="N34" s="254" t="s">
        <v>165</v>
      </c>
      <c r="O34" s="176">
        <v>8</v>
      </c>
      <c r="P34" s="224" t="s">
        <v>367</v>
      </c>
      <c r="Q34" s="217">
        <v>1</v>
      </c>
      <c r="R34" s="234" t="s">
        <v>368</v>
      </c>
      <c r="S34" s="192" t="s">
        <v>371</v>
      </c>
      <c r="T34" s="192" t="s">
        <v>369</v>
      </c>
      <c r="U34" s="267" t="s">
        <v>182</v>
      </c>
    </row>
    <row r="35" spans="1:21" ht="15.75" customHeight="1" thickBot="1" x14ac:dyDescent="0.35">
      <c r="A35" s="238" t="s">
        <v>348</v>
      </c>
      <c r="B35" s="178" t="s">
        <v>372</v>
      </c>
      <c r="C35" s="239">
        <f>Tin_cold2</f>
        <v>700</v>
      </c>
      <c r="D35" s="231" t="s">
        <v>354</v>
      </c>
      <c r="E35" s="239">
        <f>Tout_cold2</f>
        <v>750</v>
      </c>
      <c r="F35" s="231" t="s">
        <v>354</v>
      </c>
      <c r="G35" s="239">
        <v>0</v>
      </c>
      <c r="H35" s="231" t="s">
        <v>183</v>
      </c>
      <c r="I35" s="239">
        <f>Q_cold2</f>
        <v>7606</v>
      </c>
      <c r="J35" s="231" t="s">
        <v>183</v>
      </c>
      <c r="K35" s="218" t="s">
        <v>27</v>
      </c>
      <c r="L35" s="255" t="s">
        <v>27</v>
      </c>
      <c r="M35" s="218" t="s">
        <v>27</v>
      </c>
      <c r="N35" s="256" t="s">
        <v>27</v>
      </c>
      <c r="O35" s="178">
        <v>8</v>
      </c>
      <c r="P35" s="231" t="s">
        <v>367</v>
      </c>
      <c r="Q35" s="218">
        <v>1</v>
      </c>
      <c r="R35" s="240" t="s">
        <v>368</v>
      </c>
      <c r="S35" s="198" t="s">
        <v>371</v>
      </c>
      <c r="T35" s="198" t="s">
        <v>369</v>
      </c>
      <c r="U35" s="268" t="s">
        <v>186</v>
      </c>
    </row>
    <row r="36" spans="1:21" ht="14.25" customHeight="1" thickBot="1" x14ac:dyDescent="0.35">
      <c r="A36" s="149"/>
      <c r="B36" s="149"/>
      <c r="C36" s="149"/>
      <c r="D36" s="149"/>
      <c r="E36" s="149"/>
      <c r="F36" s="149"/>
      <c r="G36" s="149"/>
      <c r="H36" s="149"/>
      <c r="I36" s="149"/>
      <c r="J36" s="149"/>
      <c r="K36" s="149"/>
      <c r="L36" s="150"/>
      <c r="M36" s="150"/>
      <c r="N36" s="150"/>
      <c r="O36" s="79"/>
      <c r="P36" s="79"/>
      <c r="Q36" s="79"/>
      <c r="R36" s="79"/>
      <c r="S36" s="79"/>
      <c r="T36" s="79"/>
      <c r="U36" s="79"/>
    </row>
    <row r="37" spans="1:21" ht="14.25" customHeight="1" thickBot="1" x14ac:dyDescent="0.35">
      <c r="A37" s="105" t="s">
        <v>44</v>
      </c>
      <c r="B37" s="84"/>
      <c r="C37" s="84"/>
      <c r="D37" s="37"/>
      <c r="E37" s="38"/>
      <c r="F37" s="38"/>
      <c r="G37" s="38"/>
      <c r="H37" s="38"/>
      <c r="I37" s="86"/>
      <c r="J37" s="6"/>
      <c r="K37" s="7"/>
      <c r="L37" s="84"/>
      <c r="M37" s="84"/>
      <c r="N37" s="84"/>
      <c r="O37" s="38"/>
      <c r="P37" s="38"/>
      <c r="Q37" s="38"/>
      <c r="R37" s="38"/>
      <c r="S37" s="38"/>
      <c r="T37" s="38"/>
      <c r="U37" s="38"/>
    </row>
    <row r="38" spans="1:21" ht="57.45" customHeight="1" thickBot="1" x14ac:dyDescent="0.35">
      <c r="A38" s="250" t="s">
        <v>390</v>
      </c>
      <c r="B38" s="84"/>
      <c r="C38" s="84"/>
      <c r="D38" s="37"/>
      <c r="E38" s="38"/>
      <c r="F38" s="38"/>
      <c r="G38" s="38"/>
      <c r="H38" s="38"/>
      <c r="I38" s="6"/>
      <c r="J38" s="6"/>
      <c r="K38" s="7"/>
      <c r="L38" s="84"/>
      <c r="M38" s="84"/>
      <c r="N38" s="84"/>
      <c r="O38" s="38"/>
      <c r="P38" s="38"/>
      <c r="Q38" s="38"/>
      <c r="R38" s="38"/>
      <c r="S38" s="38"/>
      <c r="T38" s="38"/>
      <c r="U38" s="38"/>
    </row>
    <row r="39" spans="1:21" ht="15.75" customHeight="1" thickBot="1" x14ac:dyDescent="0.35">
      <c r="A39" s="67"/>
      <c r="B39" s="56"/>
      <c r="C39" s="56"/>
      <c r="D39" s="56"/>
      <c r="E39" s="68"/>
      <c r="F39" s="43"/>
      <c r="G39" s="43"/>
      <c r="H39" s="43"/>
      <c r="I39" s="43"/>
      <c r="J39" s="45"/>
      <c r="K39" s="45"/>
      <c r="L39" s="45"/>
      <c r="M39" s="65"/>
      <c r="O39" s="45"/>
      <c r="P39" s="45"/>
      <c r="Q39" s="45"/>
      <c r="R39" s="45"/>
      <c r="S39" s="45"/>
      <c r="T39" s="45"/>
      <c r="U39" s="45"/>
    </row>
    <row r="40" spans="1:21" ht="15.75" customHeight="1" thickBot="1" x14ac:dyDescent="0.35">
      <c r="A40" s="125" t="s">
        <v>41</v>
      </c>
      <c r="B40" s="126"/>
      <c r="C40" s="126"/>
      <c r="D40" s="126"/>
      <c r="E40" s="126"/>
      <c r="F40" s="126"/>
      <c r="G40" s="127"/>
      <c r="H40" s="69" t="s">
        <v>122</v>
      </c>
      <c r="I40" s="45"/>
      <c r="J40" s="45"/>
      <c r="K40" s="45"/>
      <c r="L40" s="45"/>
      <c r="M40" s="45"/>
      <c r="N40" s="43"/>
      <c r="O40" s="45"/>
      <c r="P40" s="45"/>
      <c r="Q40" s="45"/>
      <c r="R40" s="45"/>
      <c r="S40" s="45"/>
      <c r="T40" s="45"/>
      <c r="U40" s="45"/>
    </row>
    <row r="41" spans="1:21" ht="15.75" customHeight="1" thickBot="1" x14ac:dyDescent="0.35">
      <c r="A41" s="109" t="s">
        <v>52</v>
      </c>
      <c r="B41" s="110" t="s">
        <v>18</v>
      </c>
      <c r="C41" s="110" t="s">
        <v>103</v>
      </c>
      <c r="D41" s="110" t="s">
        <v>104</v>
      </c>
      <c r="E41" s="110" t="s">
        <v>53</v>
      </c>
      <c r="F41" s="110" t="s">
        <v>39</v>
      </c>
      <c r="G41" s="112" t="s">
        <v>149</v>
      </c>
      <c r="H41" s="71"/>
      <c r="I41" s="70"/>
      <c r="J41" s="72"/>
      <c r="K41" s="48"/>
      <c r="L41" s="48"/>
      <c r="M41" s="48"/>
      <c r="N41" s="45"/>
      <c r="O41" s="45"/>
      <c r="P41" s="45"/>
      <c r="Q41" s="45"/>
      <c r="R41" s="45"/>
      <c r="S41" s="45"/>
      <c r="T41" s="45"/>
      <c r="U41" s="45"/>
    </row>
    <row r="42" spans="1:21" ht="15.75" customHeight="1" x14ac:dyDescent="0.3">
      <c r="A42" s="257" t="s">
        <v>377</v>
      </c>
      <c r="B42" s="258" t="s">
        <v>378</v>
      </c>
      <c r="C42" s="258" t="s">
        <v>379</v>
      </c>
      <c r="D42" s="258" t="s">
        <v>387</v>
      </c>
      <c r="E42" s="258" t="s">
        <v>380</v>
      </c>
      <c r="F42" s="258">
        <v>25</v>
      </c>
      <c r="G42" s="259" t="s">
        <v>381</v>
      </c>
      <c r="H42" s="163"/>
      <c r="I42" s="163"/>
      <c r="J42" s="163"/>
      <c r="K42" s="149"/>
      <c r="L42" s="149"/>
      <c r="M42" s="149"/>
      <c r="N42" s="149"/>
      <c r="O42" s="149"/>
      <c r="P42" s="149"/>
      <c r="Q42" s="149"/>
      <c r="R42" s="149"/>
      <c r="S42" s="149"/>
      <c r="T42" s="149"/>
      <c r="U42" s="149"/>
    </row>
    <row r="43" spans="1:21" ht="15.75" customHeight="1" x14ac:dyDescent="0.3">
      <c r="A43" s="260"/>
      <c r="B43" s="261"/>
      <c r="C43" s="261"/>
      <c r="D43" s="261"/>
      <c r="E43" s="261" t="s">
        <v>385</v>
      </c>
      <c r="F43" s="261">
        <v>200</v>
      </c>
      <c r="G43" s="262" t="s">
        <v>376</v>
      </c>
      <c r="H43" s="163"/>
      <c r="I43" s="163"/>
      <c r="J43" s="163"/>
      <c r="K43" s="149"/>
      <c r="L43" s="149"/>
      <c r="M43" s="149"/>
      <c r="N43" s="149"/>
      <c r="O43" s="149"/>
      <c r="P43" s="149"/>
      <c r="Q43" s="149"/>
      <c r="R43" s="149"/>
      <c r="S43" s="149"/>
      <c r="T43" s="149"/>
      <c r="U43" s="149"/>
    </row>
    <row r="44" spans="1:21" ht="15.6" customHeight="1" thickBot="1" x14ac:dyDescent="0.35">
      <c r="A44" s="263"/>
      <c r="B44" s="264"/>
      <c r="C44" s="264"/>
      <c r="D44" s="264"/>
      <c r="E44" s="264" t="s">
        <v>386</v>
      </c>
      <c r="F44" s="264">
        <v>575.4</v>
      </c>
      <c r="G44" s="265" t="s">
        <v>27</v>
      </c>
      <c r="H44" s="163"/>
      <c r="I44" s="163"/>
      <c r="J44" s="163"/>
      <c r="K44" s="149"/>
      <c r="L44" s="149"/>
      <c r="M44" s="149"/>
      <c r="N44" s="149"/>
      <c r="O44" s="149"/>
      <c r="P44" s="149"/>
      <c r="Q44" s="149"/>
      <c r="R44" s="149"/>
      <c r="S44" s="149"/>
      <c r="T44" s="149"/>
      <c r="U44" s="149"/>
    </row>
    <row r="45" spans="1:21" ht="42" customHeight="1" thickBot="1" x14ac:dyDescent="0.35">
      <c r="A45" s="106"/>
      <c r="B45" s="73"/>
      <c r="C45" s="151"/>
      <c r="D45" s="73"/>
      <c r="E45" s="73"/>
      <c r="F45" s="73"/>
      <c r="G45" s="73"/>
      <c r="H45" s="70"/>
    </row>
    <row r="46" spans="1:21" ht="15.75" customHeight="1" thickBot="1" x14ac:dyDescent="0.35">
      <c r="A46" s="105" t="s">
        <v>45</v>
      </c>
      <c r="B46" s="84"/>
      <c r="C46" s="84"/>
      <c r="D46" s="70"/>
      <c r="E46" s="70"/>
      <c r="F46" s="70"/>
      <c r="G46" s="70"/>
      <c r="H46" s="75"/>
    </row>
    <row r="47" spans="1:21" ht="34.799999999999997" customHeight="1" thickBot="1" x14ac:dyDescent="0.35">
      <c r="A47" s="104" t="s">
        <v>42</v>
      </c>
      <c r="B47" s="84"/>
      <c r="C47" s="84"/>
      <c r="D47" s="70"/>
      <c r="E47" s="70"/>
      <c r="F47" s="70"/>
      <c r="G47" s="70"/>
      <c r="H47" s="70"/>
    </row>
    <row r="48" spans="1:21" ht="15.75" customHeight="1" thickBot="1" x14ac:dyDescent="0.35">
      <c r="A48" s="74"/>
      <c r="B48" s="75"/>
      <c r="C48" s="60"/>
      <c r="D48" s="75"/>
      <c r="E48" s="75"/>
      <c r="F48" s="75"/>
      <c r="G48" s="75"/>
      <c r="H48" s="70"/>
    </row>
    <row r="49" spans="1:8" ht="15.75" customHeight="1" thickBot="1" x14ac:dyDescent="0.35">
      <c r="A49" s="76" t="s">
        <v>57</v>
      </c>
      <c r="B49" s="77"/>
      <c r="C49" s="78"/>
      <c r="D49" s="70"/>
      <c r="E49" s="70"/>
      <c r="F49" s="70"/>
      <c r="G49" s="70"/>
      <c r="H49" s="70"/>
    </row>
    <row r="50" spans="1:8" ht="15.75" customHeight="1" thickBot="1" x14ac:dyDescent="0.35">
      <c r="A50" s="145" t="s">
        <v>54</v>
      </c>
      <c r="B50" s="146" t="s">
        <v>55</v>
      </c>
      <c r="C50" s="70"/>
      <c r="D50" s="70"/>
      <c r="E50" s="70"/>
      <c r="F50" s="70"/>
      <c r="G50" s="70"/>
      <c r="H50" s="70"/>
    </row>
    <row r="51" spans="1:8" ht="15.75" customHeight="1" thickBot="1" x14ac:dyDescent="0.35">
      <c r="A51" s="139">
        <v>0</v>
      </c>
      <c r="B51" s="147">
        <v>0</v>
      </c>
      <c r="C51" s="70"/>
      <c r="D51" s="70"/>
      <c r="E51" s="70"/>
      <c r="F51" s="70"/>
      <c r="G51" s="70"/>
      <c r="H51" s="70"/>
    </row>
  </sheetData>
  <dataValidations count="4">
    <dataValidation type="list" allowBlank="1" showErrorMessage="1" sqref="C15:C19" xr:uid="{00000000-0002-0000-0400-000000000000}">
      <formula1>"IN,OUT"</formula1>
    </dataValidation>
    <dataValidation type="list" allowBlank="1" showErrorMessage="1" sqref="B15:B19" xr:uid="{00000000-0002-0000-0400-000001000000}">
      <formula1>"MASS,ELECTRICITY,EMISSIONS,ENERGY"</formula1>
    </dataValidation>
    <dataValidation type="list" errorStyle="information" allowBlank="1" showInputMessage="1" showErrorMessage="1" sqref="I15:I19 E15:E19 G15:G19 R26:R35 P26:P35 N26:N35 L26:L35 J26:J35 H26:H35 F26:F35 D26:D35" xr:uid="{60FC4323-5763-41A2-B15B-42B0C39AB77E}">
      <formula1>"-,kg,s,m,K,°C,W,bar,kg/h,t/h,kW,kW/m2K,W/m2K,kJ/kgK,kJ/kg,m3/h,Nm3/t,kWh/Nm3,Nm3/h,%,kg/kmol,eur,eur/year,eur/kW,kWel/kWth,year, days"</formula1>
    </dataValidation>
    <dataValidation type="list" allowBlank="1" showErrorMessage="1" sqref="B26:B35" xr:uid="{00000000-0002-0000-0400-000002000000}">
      <formula1>"Cold,Hot"</formula1>
    </dataValidation>
  </dataValidations>
  <pageMargins left="0.7" right="0.7" top="0.75" bottom="0.75" header="0" footer="0"/>
  <pageSetup orientation="landscape"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C2"/>
  <sheetViews>
    <sheetView showGridLines="0" zoomScale="85" zoomScaleNormal="85" workbookViewId="0">
      <selection activeCell="F26" sqref="F26"/>
    </sheetView>
  </sheetViews>
  <sheetFormatPr defaultColWidth="14.44140625" defaultRowHeight="15" customHeight="1" x14ac:dyDescent="0.3"/>
  <cols>
    <col min="1" max="1" width="32.109375" bestFit="1" customWidth="1"/>
    <col min="2" max="2" width="20" customWidth="1"/>
    <col min="3" max="3" width="16.44140625" customWidth="1"/>
    <col min="6" max="6" width="24" customWidth="1"/>
  </cols>
  <sheetData>
    <row r="1" spans="1:3" ht="15" customHeight="1" thickBot="1" x14ac:dyDescent="0.35">
      <c r="A1" s="113" t="s">
        <v>96</v>
      </c>
      <c r="B1" s="114" t="s">
        <v>39</v>
      </c>
      <c r="C1" s="115" t="s">
        <v>19</v>
      </c>
    </row>
    <row r="2" spans="1:3" thickBot="1" x14ac:dyDescent="0.35">
      <c r="A2" s="153" t="s">
        <v>27</v>
      </c>
      <c r="B2" s="152" t="s">
        <v>27</v>
      </c>
      <c r="C2" s="154" t="s">
        <v>27</v>
      </c>
    </row>
  </sheetData>
  <dataValidations count="1">
    <dataValidation type="list" errorStyle="information" allowBlank="1" showInputMessage="1" showErrorMessage="1" sqref="C2" xr:uid="{607FED51-8FA7-4672-8931-E214CCF39904}">
      <formula1>"-,kg,s,m,K,°C,W,bar,kg/h,t/h,kW,kW/m2K,W/m2K,kJ/kgK,kJ/kg,m3/h,Nm3/t,kWh/Nm3,Nm3/h,%,kg/kmol,eur,eur/year,eur/kW,kWel/kWth,year, days"</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D2"/>
  <sheetViews>
    <sheetView showGridLines="0" workbookViewId="0">
      <selection activeCell="C2" sqref="C2"/>
    </sheetView>
  </sheetViews>
  <sheetFormatPr defaultColWidth="14.44140625" defaultRowHeight="15" customHeight="1" x14ac:dyDescent="0.3"/>
  <cols>
    <col min="2" max="2" width="29.77734375" bestFit="1" customWidth="1"/>
  </cols>
  <sheetData>
    <row r="1" spans="1:4" thickBot="1" x14ac:dyDescent="0.35">
      <c r="A1" s="113" t="s">
        <v>69</v>
      </c>
      <c r="B1" s="114" t="s">
        <v>93</v>
      </c>
      <c r="C1" s="114" t="s">
        <v>91</v>
      </c>
      <c r="D1" s="115" t="s">
        <v>92</v>
      </c>
    </row>
    <row r="2" spans="1:4" ht="15" customHeight="1" thickBot="1" x14ac:dyDescent="0.35">
      <c r="A2" s="159" t="s">
        <v>94</v>
      </c>
      <c r="B2" s="157" t="s">
        <v>7</v>
      </c>
      <c r="C2" s="160">
        <v>46133</v>
      </c>
      <c r="D2" s="161" t="s">
        <v>95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G3"/>
  <sheetViews>
    <sheetView showGridLines="0" zoomScale="85" zoomScaleNormal="85" workbookViewId="0">
      <selection activeCell="B4" sqref="B4"/>
    </sheetView>
  </sheetViews>
  <sheetFormatPr defaultColWidth="8.77734375" defaultRowHeight="14.4" x14ac:dyDescent="0.3"/>
  <cols>
    <col min="1" max="1" width="12.77734375" customWidth="1"/>
    <col min="2" max="2" width="18.44140625" customWidth="1"/>
    <col min="3" max="3" width="12.77734375" customWidth="1"/>
    <col min="4" max="4" width="11.44140625" customWidth="1"/>
    <col min="5" max="5" width="10" customWidth="1"/>
    <col min="6" max="6" width="32" customWidth="1"/>
    <col min="7" max="7" width="14.44140625" bestFit="1" customWidth="1"/>
  </cols>
  <sheetData>
    <row r="1" spans="1:7" ht="15" thickBot="1" x14ac:dyDescent="0.35">
      <c r="A1" s="95" t="s">
        <v>89</v>
      </c>
      <c r="B1" s="94"/>
      <c r="C1" s="94"/>
      <c r="D1" s="94"/>
      <c r="E1" s="94"/>
      <c r="F1" s="94"/>
      <c r="G1" s="101"/>
    </row>
    <row r="2" spans="1:7" ht="15" thickBot="1" x14ac:dyDescent="0.35">
      <c r="A2" s="155" t="s">
        <v>90</v>
      </c>
      <c r="B2" s="140" t="s">
        <v>52</v>
      </c>
      <c r="C2" s="140" t="s">
        <v>18</v>
      </c>
      <c r="D2" s="140" t="s">
        <v>88</v>
      </c>
      <c r="E2" s="140" t="s">
        <v>87</v>
      </c>
      <c r="F2" s="140" t="s">
        <v>86</v>
      </c>
      <c r="G2" s="130" t="s">
        <v>71</v>
      </c>
    </row>
    <row r="3" spans="1:7" ht="15" thickBot="1" x14ac:dyDescent="0.35">
      <c r="A3" s="156">
        <v>1</v>
      </c>
      <c r="B3" s="269" t="s">
        <v>392</v>
      </c>
      <c r="C3" s="157" t="s">
        <v>154</v>
      </c>
      <c r="D3" s="157" t="s">
        <v>155</v>
      </c>
      <c r="E3" s="157" t="s">
        <v>156</v>
      </c>
      <c r="F3" s="157" t="s">
        <v>7</v>
      </c>
      <c r="G3" s="158">
        <v>46133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8B88-7395-4587-8412-B4EDE8A6EA2C}">
  <sheetPr codeName="Sheet6"/>
  <dimension ref="A1:A33"/>
  <sheetViews>
    <sheetView showGridLines="0" tabSelected="1" workbookViewId="0">
      <selection activeCell="E28" sqref="E28"/>
    </sheetView>
  </sheetViews>
  <sheetFormatPr defaultRowHeight="14.4" x14ac:dyDescent="0.3"/>
  <cols>
    <col min="1" max="1" width="140.77734375" style="273" customWidth="1"/>
    <col min="2" max="16384" width="8.88671875" style="273"/>
  </cols>
  <sheetData>
    <row r="1" spans="1:1" ht="15.6" thickTop="1" thickBot="1" x14ac:dyDescent="0.35">
      <c r="A1" s="272" t="s">
        <v>393</v>
      </c>
    </row>
    <row r="2" spans="1:1" ht="15" thickTop="1" x14ac:dyDescent="0.3">
      <c r="A2" s="273" t="s">
        <v>401</v>
      </c>
    </row>
    <row r="3" spans="1:1" ht="28.8" x14ac:dyDescent="0.3">
      <c r="A3" s="273" t="s">
        <v>402</v>
      </c>
    </row>
    <row r="4" spans="1:1" ht="15" thickBot="1" x14ac:dyDescent="0.35"/>
    <row r="5" spans="1:1" ht="15.6" thickTop="1" thickBot="1" x14ac:dyDescent="0.35">
      <c r="A5" s="272" t="s">
        <v>394</v>
      </c>
    </row>
    <row r="6" spans="1:1" ht="15" thickTop="1" x14ac:dyDescent="0.3">
      <c r="A6" s="273" t="str">
        <f>"The system processes approximately " &amp; TEXT((CO2_input + H2_input)/1000, "0.0") &amp; " metric tons of feed per hour."</f>
        <v>The system processes approximately 75.4 metric tons of feed per hour.</v>
      </c>
    </row>
    <row r="7" spans="1:1" x14ac:dyDescent="0.3">
      <c r="A7" s="273" t="s">
        <v>403</v>
      </c>
    </row>
    <row r="8" spans="1:1" x14ac:dyDescent="0.3">
      <c r="A8" s="273" t="str">
        <f>"• Outputs: Syngas delivered at " &amp; TEXT(Syngas_ouput, "#,##0") &amp; " kg/h and Water at " &amp; TEXT(Water_output, "0.00") &amp; " m3/h."</f>
        <v>• Outputs: Syngas delivered at 46,069 kg/h and Water at 29.36 m3/h.</v>
      </c>
    </row>
    <row r="9" spans="1:1" x14ac:dyDescent="0.3">
      <c r="A9" s="273" t="str">
        <f>"• Electricity: " &amp; TEXT(Power_rWGS, "#,##0.0") &amp; " kW required for compression and the recycle loop."</f>
        <v>• Electricity: 12,074.3 kW required for compression and the recycle loop.</v>
      </c>
    </row>
    <row r="10" spans="1:1" ht="15" thickBot="1" x14ac:dyDescent="0.35"/>
    <row r="11" spans="1:1" ht="15.6" thickTop="1" thickBot="1" x14ac:dyDescent="0.35">
      <c r="A11" s="272" t="s">
        <v>395</v>
      </c>
    </row>
    <row r="12" spans="1:1" ht="15" thickTop="1" x14ac:dyDescent="0.3">
      <c r="A12" s="273" t="s">
        <v>404</v>
      </c>
    </row>
    <row r="13" spans="1:1" x14ac:dyDescent="0.3">
      <c r="A13" s="273" t="str">
        <f>"• Recuperative Preheating: " &amp; TEXT(Q_cold1, "#,##0") &amp; " kW (29°C to 700°C)"</f>
        <v>• Recuperative Preheating: 48,387 kW (29°C to 700°C)</v>
      </c>
    </row>
    <row r="14" spans="1:1" x14ac:dyDescent="0.3">
      <c r="A14" s="273" t="str">
        <f>"• Reactor Heat Demand: " &amp; TEXT(Q_cold2, "#,##0") &amp; " kW (700°C to 750°C)"</f>
        <v>• Reactor Heat Demand: 7,606 kW (700°C to 750°C)</v>
      </c>
    </row>
    <row r="15" spans="1:1" x14ac:dyDescent="0.3">
      <c r="A15" s="273" t="str">
        <f>"• Total Waste Heat Removal: " &amp; TEXT(Q_hot6, "#,##0") &amp; " kW (Effluent subcooling to 30°C)"</f>
        <v>• Total Waste Heat Removal: 20,310 kW (Effluent subcooling to 30°C)</v>
      </c>
    </row>
    <row r="16" spans="1:1" ht="15" thickBot="1" x14ac:dyDescent="0.35"/>
    <row r="17" spans="1:1" ht="15.6" thickTop="1" thickBot="1" x14ac:dyDescent="0.35">
      <c r="A17" s="272" t="s">
        <v>396</v>
      </c>
    </row>
    <row r="18" spans="1:1" ht="15" thickTop="1" x14ac:dyDescent="0.3">
      <c r="A18" s="273" t="s">
        <v>405</v>
      </c>
    </row>
    <row r="19" spans="1:1" x14ac:dyDescent="0.3">
      <c r="A19" s="273" t="str">
        <f>"• Costing Heat Basis: " &amp; TEXT(heat_costing, "#,##0") &amp; " kWth"</f>
        <v>• Costing Heat Basis: 26,961 kWth</v>
      </c>
    </row>
    <row r="20" spans="1:1" x14ac:dyDescent="0.3">
      <c r="A20" s="273" t="str">
        <f>"• Total Annualized CAPEX: " &amp; TEXT(Cinv2_rWGS, "#,##0") &amp; " EUR/year (CEPCI 2020 adjusted)."</f>
        <v>• Total Annualized CAPEX: 437,059 EUR/year (CEPCI 2020 adjusted).</v>
      </c>
    </row>
    <row r="21" spans="1:1" ht="15" thickBot="1" x14ac:dyDescent="0.35"/>
    <row r="22" spans="1:1" ht="15.6" thickTop="1" thickBot="1" x14ac:dyDescent="0.35">
      <c r="A22" s="272" t="s">
        <v>406</v>
      </c>
    </row>
    <row r="23" spans="1:1" ht="15" thickTop="1" x14ac:dyDescent="0.3">
      <c r="A23" s="273" t="str">
        <f>" Mass flow rate of CO2 consumed at 30C and 1bar: "&amp;TEXT(CO2_input,"#,##0.00")&amp;" "&amp;"kg/h"</f>
        <v xml:space="preserve"> Mass flow rate of CO2 consumed at 30C and 1bar: 66,014.00 kg/h</v>
      </c>
    </row>
    <row r="24" spans="1:1" x14ac:dyDescent="0.3">
      <c r="A24" s="273" t="str">
        <f>" Mass flow rate of H2 consumed at 30C and 1bar: "&amp;TEXT(H2_input,"#,##0.00")&amp;" "&amp;"kg/h"</f>
        <v xml:space="preserve"> Mass flow rate of H2 consumed at 30C and 1bar: 9,421.00 kg/h</v>
      </c>
    </row>
    <row r="25" spans="1:1" x14ac:dyDescent="0.3">
      <c r="A25" s="273" t="str">
        <f>" Mass flow rate of syngas produced at 5 bar, molfrac: "&amp;TEXT(Syngas_ouput,"#,##0.00")&amp;" "&amp;"kg/h"</f>
        <v xml:space="preserve"> Mass flow rate of syngas produced at 5 bar, molfrac: 46,069.00 kg/h</v>
      </c>
    </row>
    <row r="26" spans="1:1" x14ac:dyDescent="0.3">
      <c r="A26" s="273" t="str">
        <f>" Water production in the reverse water gas shift reaction: "&amp;TEXT(Water_output,"#,##0.00")&amp;" "&amp;"m3/h"</f>
        <v xml:space="preserve"> Water production in the reverse water gas shift reaction: 29.36 m3/h</v>
      </c>
    </row>
    <row r="27" spans="1:1" x14ac:dyDescent="0.3">
      <c r="A27" s="273" t="str">
        <f>" Power consumption in the compression of the RWGS reactants up to 5 bar: "&amp;TEXT(Power_rWGS,"#,##0.00")&amp;" "&amp;"kW"</f>
        <v xml:space="preserve"> Power consumption in the compression of the RWGS reactants up to 5 bar: 12,074.30 kW</v>
      </c>
    </row>
    <row r="28" spans="1:1" x14ac:dyDescent="0.3">
      <c r="A28" s="273" t="str">
        <f>" Preheating from 450 °C to 750 °C corresponds to only 40% of preheating from 30C to 750C: "&amp;TEXT(heat_costing,"#,##0.00")&amp;" "&amp;"kWth"</f>
        <v xml:space="preserve"> Preheating from 450 °C to 750 °C corresponds to only 40% of preheating from 30C to 750C: 26,960.80 kWth</v>
      </c>
    </row>
    <row r="29" spans="1:1" x14ac:dyDescent="0.3">
      <c r="A29" s="273" t="str">
        <f>" Annualization factor: "&amp;TEXT(Annuity,"#,##0.00")&amp;" "&amp;"-"</f>
        <v xml:space="preserve"> Annualization factor: 0.08 -</v>
      </c>
    </row>
    <row r="30" spans="1:1" x14ac:dyDescent="0.3">
      <c r="A30" s="273" t="str">
        <f>" Investment cost of rWGS (2020): "&amp;TEXT(Cinv2_rWGS,"#,##0.00")&amp;" "&amp;"eur/year"</f>
        <v xml:space="preserve"> Investment cost of rWGS (2020): 437,058.93 eur/year</v>
      </c>
    </row>
    <row r="31" spans="1:1" ht="15" thickBot="1" x14ac:dyDescent="0.35"/>
    <row r="32" spans="1:1" ht="15.6" thickTop="1" thickBot="1" x14ac:dyDescent="0.35">
      <c r="A32" s="272" t="s">
        <v>407</v>
      </c>
    </row>
    <row r="33" spans="1:1" ht="87" thickTop="1" x14ac:dyDescent="0.3">
      <c r="A33" s="273" t="s">
        <v>399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159</vt:i4>
      </vt:variant>
    </vt:vector>
  </HeadingPairs>
  <TitlesOfParts>
    <vt:vector size="168" baseType="lpstr">
      <vt:lpstr>README</vt:lpstr>
      <vt:lpstr>METADATA</vt:lpstr>
      <vt:lpstr>CONNECTORS</vt:lpstr>
      <vt:lpstr>VARIABLES</vt:lpstr>
      <vt:lpstr>rWGS</vt:lpstr>
      <vt:lpstr>CALCULATIONS</vt:lpstr>
      <vt:lpstr>CHANGELOG</vt:lpstr>
      <vt:lpstr>SUPPL MATERIAL</vt:lpstr>
      <vt:lpstr>DOCUMENTATION</vt:lpstr>
      <vt:lpstr>Annuity</vt:lpstr>
      <vt:lpstr>Annuity_max</vt:lpstr>
      <vt:lpstr>Annuity_min</vt:lpstr>
      <vt:lpstr>CEPCI_2008</vt:lpstr>
      <vt:lpstr>CEPCI_2008_max</vt:lpstr>
      <vt:lpstr>CEPCI_2008_min</vt:lpstr>
      <vt:lpstr>CEPCI_2020</vt:lpstr>
      <vt:lpstr>CEPCI_2020_max</vt:lpstr>
      <vt:lpstr>CEPCI_2020_min</vt:lpstr>
      <vt:lpstr>Cinv2_rWGS</vt:lpstr>
      <vt:lpstr>Cinv2_rWGS_max</vt:lpstr>
      <vt:lpstr>Cinv2_rWGS_min</vt:lpstr>
      <vt:lpstr>Cinv2_rWGS_spec</vt:lpstr>
      <vt:lpstr>Cinv2_rWGS_spec_max</vt:lpstr>
      <vt:lpstr>Cinv2_rWGS_spec_min</vt:lpstr>
      <vt:lpstr>CO2_compr</vt:lpstr>
      <vt:lpstr>CO2_compr_max</vt:lpstr>
      <vt:lpstr>CO2_compr_min</vt:lpstr>
      <vt:lpstr>CO2_input</vt:lpstr>
      <vt:lpstr>CO2_input_max</vt:lpstr>
      <vt:lpstr>CO2_input_min</vt:lpstr>
      <vt:lpstr>dtmin_2ph</vt:lpstr>
      <vt:lpstr>dtmin_2ph_max</vt:lpstr>
      <vt:lpstr>dtmin_2ph_min</vt:lpstr>
      <vt:lpstr>dtmin_gas</vt:lpstr>
      <vt:lpstr>dtmin_gas_max</vt:lpstr>
      <vt:lpstr>dtmin_gas_min</vt:lpstr>
      <vt:lpstr>H2_compr</vt:lpstr>
      <vt:lpstr>H2_compr_max</vt:lpstr>
      <vt:lpstr>H2_compr_min</vt:lpstr>
      <vt:lpstr>H2_input</vt:lpstr>
      <vt:lpstr>H2_input_max</vt:lpstr>
      <vt:lpstr>H2_input_min</vt:lpstr>
      <vt:lpstr>heat_costing</vt:lpstr>
      <vt:lpstr>heat_costing_max</vt:lpstr>
      <vt:lpstr>heat_costing_min</vt:lpstr>
      <vt:lpstr>i</vt:lpstr>
      <vt:lpstr>i_max</vt:lpstr>
      <vt:lpstr>i_min</vt:lpstr>
      <vt:lpstr>LHV_syngas</vt:lpstr>
      <vt:lpstr>LHV_syngas_max</vt:lpstr>
      <vt:lpstr>LHV_syngas_min</vt:lpstr>
      <vt:lpstr>n</vt:lpstr>
      <vt:lpstr>n_max</vt:lpstr>
      <vt:lpstr>n_min</vt:lpstr>
      <vt:lpstr>Power_rWGS</vt:lpstr>
      <vt:lpstr>Power_rWGS_max</vt:lpstr>
      <vt:lpstr>Power_rWGS_min</vt:lpstr>
      <vt:lpstr>Q_cold1</vt:lpstr>
      <vt:lpstr>Q_cold1_max</vt:lpstr>
      <vt:lpstr>Q_cold1_min</vt:lpstr>
      <vt:lpstr>Q_cold2</vt:lpstr>
      <vt:lpstr>Q_cold2_max</vt:lpstr>
      <vt:lpstr>Q_cold2_min</vt:lpstr>
      <vt:lpstr>Q_hot1</vt:lpstr>
      <vt:lpstr>Q_hot1_max</vt:lpstr>
      <vt:lpstr>Q_hot1_min</vt:lpstr>
      <vt:lpstr>Q_hot2</vt:lpstr>
      <vt:lpstr>Q_hot2_max</vt:lpstr>
      <vt:lpstr>Q_hot2_min</vt:lpstr>
      <vt:lpstr>Q_hot3</vt:lpstr>
      <vt:lpstr>Q_hot3_max</vt:lpstr>
      <vt:lpstr>Q_hot3_min</vt:lpstr>
      <vt:lpstr>Q_hot4</vt:lpstr>
      <vt:lpstr>Q_hot4_max</vt:lpstr>
      <vt:lpstr>Q_hot4_min</vt:lpstr>
      <vt:lpstr>Q_hot5</vt:lpstr>
      <vt:lpstr>Q_hot5_max</vt:lpstr>
      <vt:lpstr>Q_hot5_min</vt:lpstr>
      <vt:lpstr>Q_hot6</vt:lpstr>
      <vt:lpstr>Q_hot6_max</vt:lpstr>
      <vt:lpstr>Q_hot6_min</vt:lpstr>
      <vt:lpstr>Q_hot7</vt:lpstr>
      <vt:lpstr>Q_hot7_max</vt:lpstr>
      <vt:lpstr>Q_hot7_min</vt:lpstr>
      <vt:lpstr>Q_hot8</vt:lpstr>
      <vt:lpstr>Q_hot8_max</vt:lpstr>
      <vt:lpstr>Q_hot8_min</vt:lpstr>
      <vt:lpstr>Recy_compr</vt:lpstr>
      <vt:lpstr>Recy_compr_max</vt:lpstr>
      <vt:lpstr>Recy_compr_min</vt:lpstr>
      <vt:lpstr>Syng_compr_to_FT</vt:lpstr>
      <vt:lpstr>Syng_compr_to_FT_max</vt:lpstr>
      <vt:lpstr>Syng_compr_to_FT_min</vt:lpstr>
      <vt:lpstr>Syng_compr_to_MeOH</vt:lpstr>
      <vt:lpstr>Syng_compr_to_MeOH_max</vt:lpstr>
      <vt:lpstr>Syng_compr_to_MeOH_min</vt:lpstr>
      <vt:lpstr>Syngas_ouput</vt:lpstr>
      <vt:lpstr>Syngas_ouput_max</vt:lpstr>
      <vt:lpstr>Syngas_ouput_min</vt:lpstr>
      <vt:lpstr>Syngas_output_kg</vt:lpstr>
      <vt:lpstr>Syngas_output_kg_max</vt:lpstr>
      <vt:lpstr>Syngas_output_kg_min</vt:lpstr>
      <vt:lpstr>Syngas_output_kw</vt:lpstr>
      <vt:lpstr>Syngas_output_kw_max</vt:lpstr>
      <vt:lpstr>Syngas_output_kw_min</vt:lpstr>
      <vt:lpstr>Tin_cold1</vt:lpstr>
      <vt:lpstr>Tin_cold1_max</vt:lpstr>
      <vt:lpstr>Tin_cold1_min</vt:lpstr>
      <vt:lpstr>Tin_cold2</vt:lpstr>
      <vt:lpstr>Tin_cold2_max</vt:lpstr>
      <vt:lpstr>Tin_cold2_min</vt:lpstr>
      <vt:lpstr>Tin_hot1</vt:lpstr>
      <vt:lpstr>Tin_hot1_max</vt:lpstr>
      <vt:lpstr>Tin_hot1_min</vt:lpstr>
      <vt:lpstr>Tin_hot2</vt:lpstr>
      <vt:lpstr>Tin_hot2_max</vt:lpstr>
      <vt:lpstr>Tin_hot2_min</vt:lpstr>
      <vt:lpstr>Tin_hot3</vt:lpstr>
      <vt:lpstr>Tin_hot3_max</vt:lpstr>
      <vt:lpstr>Tin_hot3_min</vt:lpstr>
      <vt:lpstr>Tin_hot4</vt:lpstr>
      <vt:lpstr>Tin_hot4_max</vt:lpstr>
      <vt:lpstr>Tin_hot4_min</vt:lpstr>
      <vt:lpstr>Tin_hot5</vt:lpstr>
      <vt:lpstr>Tin_hot5_max</vt:lpstr>
      <vt:lpstr>Tin_hot5_min</vt:lpstr>
      <vt:lpstr>Tin_hot6</vt:lpstr>
      <vt:lpstr>Tin_hot6_max</vt:lpstr>
      <vt:lpstr>Tin_hot6_min</vt:lpstr>
      <vt:lpstr>Tin_hot7</vt:lpstr>
      <vt:lpstr>Tin_hot7_max</vt:lpstr>
      <vt:lpstr>Tin_hot7_min</vt:lpstr>
      <vt:lpstr>Tin_hot8</vt:lpstr>
      <vt:lpstr>Tin_hot8_max</vt:lpstr>
      <vt:lpstr>Tin_hot8_min</vt:lpstr>
      <vt:lpstr>Tout_cold1</vt:lpstr>
      <vt:lpstr>Tout_cold1_max</vt:lpstr>
      <vt:lpstr>Tout_cold1_min</vt:lpstr>
      <vt:lpstr>Tout_cold2</vt:lpstr>
      <vt:lpstr>Tout_cold2_max</vt:lpstr>
      <vt:lpstr>Tout_cold2_min</vt:lpstr>
      <vt:lpstr>Tout_hot1</vt:lpstr>
      <vt:lpstr>Tout_hot1_max</vt:lpstr>
      <vt:lpstr>Tout_hot1_min</vt:lpstr>
      <vt:lpstr>Tout_hot2</vt:lpstr>
      <vt:lpstr>Tout_hot2_max</vt:lpstr>
      <vt:lpstr>Tout_hot2_min</vt:lpstr>
      <vt:lpstr>Tout_hot3</vt:lpstr>
      <vt:lpstr>Tout_hot3_max</vt:lpstr>
      <vt:lpstr>Tout_hot3_min</vt:lpstr>
      <vt:lpstr>Tout_hot4</vt:lpstr>
      <vt:lpstr>Tout_hot4_max</vt:lpstr>
      <vt:lpstr>Tout_hot4_min</vt:lpstr>
      <vt:lpstr>Tout_hot5</vt:lpstr>
      <vt:lpstr>Tout_hot5_max</vt:lpstr>
      <vt:lpstr>Tout_hot5_min</vt:lpstr>
      <vt:lpstr>Tout_hot6</vt:lpstr>
      <vt:lpstr>Tout_hot6_max</vt:lpstr>
      <vt:lpstr>Tout_hot6_min</vt:lpstr>
      <vt:lpstr>Tout_hot7</vt:lpstr>
      <vt:lpstr>Tout_hot7_max</vt:lpstr>
      <vt:lpstr>Tout_hot7_min</vt:lpstr>
      <vt:lpstr>Tout_hot8</vt:lpstr>
      <vt:lpstr>Tout_hot8_max</vt:lpstr>
      <vt:lpstr>Tout_hot8_min</vt:lpstr>
      <vt:lpstr>Water_output</vt:lpstr>
      <vt:lpstr>Water_output_max</vt:lpstr>
      <vt:lpstr>Water_output_min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A Florez Orrego</dc:creator>
  <cp:lastModifiedBy>baptiste mabboux</cp:lastModifiedBy>
  <dcterms:created xsi:type="dcterms:W3CDTF">2023-07-04T12:09:19Z</dcterms:created>
  <dcterms:modified xsi:type="dcterms:W3CDTF">2026-05-06T11:35:27Z</dcterms:modified>
</cp:coreProperties>
</file>