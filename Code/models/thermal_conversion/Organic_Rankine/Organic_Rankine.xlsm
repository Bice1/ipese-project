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workbookPr codeName="ThisWorkbook"/>
  <mc:AlternateContent xmlns:mc="http://schemas.openxmlformats.org/markup-compatibility/2006">
    <mc:Choice Requires="x15">
      <x15ac:absPath xmlns:x15ac="http://schemas.microsoft.com/office/spreadsheetml/2010/11/ac" url="https://d.docs.live.net/f3aee38b355b722b/Documents/02_EPFL/01_MA2/SemesterProject/PdS2026/Organic Rankine/"/>
    </mc:Choice>
  </mc:AlternateContent>
  <xr:revisionPtr revIDLastSave="207" documentId="13_ncr:1_{3F7ACFDE-AEF7-4E02-91E1-BD7138D95711}" xr6:coauthVersionLast="47" xr6:coauthVersionMax="47" xr10:uidLastSave="{4AD71863-857B-406F-AF7D-2A00389F671C}"/>
  <bookViews>
    <workbookView xWindow="-108" yWindow="-108" windowWidth="23256" windowHeight="13176" firstSheet="3" activeTab="8" xr2:uid="{00000000-000D-0000-FFFF-FFFF00000000}"/>
  </bookViews>
  <sheets>
    <sheet name="README" sheetId="1" r:id="rId1"/>
    <sheet name="METADATA" sheetId="2" r:id="rId2"/>
    <sheet name="CONNECTORS" sheetId="23" r:id="rId3"/>
    <sheet name="VARIABLES" sheetId="18" r:id="rId4"/>
    <sheet name="OrgRC" sheetId="26" r:id="rId5"/>
    <sheet name="CALCULATIONS" sheetId="20" r:id="rId6"/>
    <sheet name="CHANGELOG" sheetId="21" r:id="rId7"/>
    <sheet name="SUPPL MATERIAL" sheetId="22" r:id="rId8"/>
    <sheet name="DOCUMENTATION" sheetId="28" r:id="rId9"/>
  </sheets>
  <definedNames>
    <definedName name="Annuity">VARIABLES!$E$45</definedName>
    <definedName name="Annuity_max">VARIABLES!$I$45</definedName>
    <definedName name="Annuity_min">VARIABLES!$H$45</definedName>
    <definedName name="CEPCI_2008">VARIABLES!$E$43</definedName>
    <definedName name="CEPCI_2008_max">VARIABLES!$I$43</definedName>
    <definedName name="CEPCI_2008_min">VARIABLES!$H$43</definedName>
    <definedName name="CEPCI_2020">VARIABLES!$E$42</definedName>
    <definedName name="CEPCI_2020_max">VARIABLES!$I$42</definedName>
    <definedName name="CEPCI_2020_min">VARIABLES!$H$42</definedName>
    <definedName name="Cinv_ORC">VARIABLES!$E$46</definedName>
    <definedName name="Cinv2_ORC">VARIABLES!$E$47</definedName>
    <definedName name="Cinv2_ORC_max">VARIABLES!$I$47</definedName>
    <definedName name="Cinv2_ORC_min">VARIABLES!$H$47</definedName>
    <definedName name="Cp">VARIABLES!$E$25</definedName>
    <definedName name="dtmin_2ph">VARIABLES!$E$39</definedName>
    <definedName name="dtmin_2ph_max">VARIABLES!$I$39</definedName>
    <definedName name="dtmin_2ph_min">VARIABLES!$H$39</definedName>
    <definedName name="HX1_Q">VARIABLES!$E$18</definedName>
    <definedName name="HX1_Q_max">VARIABLES!$I$18</definedName>
    <definedName name="HX1_Q_min">VARIABLES!$H$18</definedName>
    <definedName name="HX1_Tin">VARIABLES!$E$16</definedName>
    <definedName name="HX1_Tin_max">VARIABLES!$I$16</definedName>
    <definedName name="HX1_Tin_min">VARIABLES!$H$16</definedName>
    <definedName name="HX1_Tout">VARIABLES!$E$17</definedName>
    <definedName name="HX1_Tout_max">VARIABLES!$I$17</definedName>
    <definedName name="HX1_Tout_min">VARIABLES!$H$17</definedName>
    <definedName name="HX2_Q">VARIABLES!$E$19</definedName>
    <definedName name="HX2_Q_max">VARIABLES!$I$19</definedName>
    <definedName name="HX2_Q_min">VARIABLES!$H$19</definedName>
    <definedName name="HX2_T">VARIABLES!$E$20</definedName>
    <definedName name="HX2_T_max">VARIABLES!$I$20</definedName>
    <definedName name="HX2_T_min">VARIABLES!$H$20</definedName>
    <definedName name="HX3_Q">VARIABLES!$E$24</definedName>
    <definedName name="HX3_Q_max">VARIABLES!$I$24</definedName>
    <definedName name="HX3_Q_min">VARIABLES!$H$24</definedName>
    <definedName name="HX3_Tin">VARIABLES!$E$22</definedName>
    <definedName name="HX3_Tin_max">VARIABLES!$I$22</definedName>
    <definedName name="HX3_Tin_min">VARIABLES!$H$22</definedName>
    <definedName name="HX3_Tout">VARIABLES!$E$23</definedName>
    <definedName name="HX3_Tout_max">VARIABLES!$I$23</definedName>
    <definedName name="HX3_Tout_min">VARIABLES!$H$23</definedName>
    <definedName name="HX4_Q">VARIABLES!$E$26</definedName>
    <definedName name="HX4_Q_max">VARIABLES!$I$26</definedName>
    <definedName name="HX4_Q_min">VARIABLES!$H$26</definedName>
    <definedName name="HX4_T">VARIABLES!$E$27</definedName>
    <definedName name="HX4_T_max">VARIABLES!$I$27</definedName>
    <definedName name="HX4_T_min">VARIABLES!$H$27</definedName>
    <definedName name="HX5_Q">VARIABLES!$E$31</definedName>
    <definedName name="HX5_Q_max">VARIABLES!$I$31</definedName>
    <definedName name="HX5_Q_min">VARIABLES!$H$31</definedName>
    <definedName name="HX5_Tin">VARIABLES!$E$29</definedName>
    <definedName name="HX5_Tin_max">VARIABLES!$I$29</definedName>
    <definedName name="HX5_Tin_min">VARIABLES!$H$29</definedName>
    <definedName name="HX5_Tout">VARIABLES!$E$30</definedName>
    <definedName name="HX5_Tout_max">VARIABLES!$I$30</definedName>
    <definedName name="HX5_Tout_min">VARIABLES!$H$30</definedName>
    <definedName name="HX6_Q">VARIABLES!$E$32</definedName>
    <definedName name="HX6_Q_max">VARIABLES!$I$32</definedName>
    <definedName name="HX6_Q_min">VARIABLES!$H$32</definedName>
    <definedName name="HX6_T">VARIABLES!$E$33</definedName>
    <definedName name="HX6_T_max">VARIABLES!$I$33</definedName>
    <definedName name="HX6_T_min">VARIABLES!$H$33</definedName>
    <definedName name="HX7_Q">VARIABLES!$E$38</definedName>
    <definedName name="HX7_Q_max">VARIABLES!$I$38</definedName>
    <definedName name="HX7_Q_min">VARIABLES!$H$38</definedName>
    <definedName name="HX7_Tin">VARIABLES!$E$36</definedName>
    <definedName name="HX7_Tin_max">VARIABLES!$I$36</definedName>
    <definedName name="HX7_Tin_min">VARIABLES!$H$36</definedName>
    <definedName name="HX7_Tout">VARIABLES!$E$37</definedName>
    <definedName name="HX7_Tout_max">VARIABLES!$I$37</definedName>
    <definedName name="HX7_Tout_min">VARIABLES!$H$37</definedName>
    <definedName name="i">VARIABLES!$E$41</definedName>
    <definedName name="i_max">VARIABLES!$I$41</definedName>
    <definedName name="i_min">VARIABLES!$H$41</definedName>
    <definedName name="n">VARIABLES!$E$40</definedName>
    <definedName name="n_max">VARIABLES!$I$40</definedName>
    <definedName name="n_min">VARIABLES!$H$40</definedName>
    <definedName name="Pump1">VARIABLES!$E$34</definedName>
    <definedName name="Pump1_max">VARIABLES!$I$34</definedName>
    <definedName name="Pump1_min">VARIABLES!$H$34</definedName>
    <definedName name="Pump2">VARIABLES!$E$35</definedName>
    <definedName name="Pump2_max">VARIABLES!$I$35</definedName>
    <definedName name="Pump2_min">VARIABLES!$H$35</definedName>
    <definedName name="TURB1">VARIABLES!$E$21</definedName>
    <definedName name="TURB1_max">VARIABLES!$I$21</definedName>
    <definedName name="TURB1_min">VARIABLES!$H$21</definedName>
    <definedName name="TURB2">VARIABLES!$E$28</definedName>
    <definedName name="TURB2_max">VARIABLES!$I$28</definedName>
    <definedName name="TURB2_min">VARIABLES!$H$28</definedName>
    <definedName name="W_bal">VARIABLES!$E$44</definedName>
    <definedName name="W_bal_max">VARIABLES!$I$44</definedName>
    <definedName name="W_bal_min">VARIABLES!$H$44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4" roundtripDataChecksum="bNxJkgama/kYeBi4o0J15qkHQT9g9UA3B49WFr4NTgI="/>
    </ext>
  </extLst>
</workbook>
</file>

<file path=xl/calcChain.xml><?xml version="1.0" encoding="utf-8"?>
<calcChain xmlns="http://schemas.openxmlformats.org/spreadsheetml/2006/main">
  <c r="A47" i="28" l="1"/>
  <c r="A46" i="28"/>
  <c r="A45" i="28"/>
  <c r="A44" i="28"/>
  <c r="A43" i="28"/>
  <c r="A42" i="28"/>
  <c r="A41" i="28"/>
  <c r="A40" i="28"/>
  <c r="A39" i="28"/>
  <c r="A38" i="28"/>
  <c r="A37" i="28"/>
  <c r="A36" i="28"/>
  <c r="A35" i="28"/>
  <c r="A34" i="28"/>
  <c r="A33" i="28"/>
  <c r="A32" i="28"/>
  <c r="A31" i="28"/>
  <c r="A30" i="28"/>
  <c r="A29" i="28"/>
  <c r="A28" i="28"/>
  <c r="A27" i="28"/>
  <c r="A26" i="28"/>
  <c r="A25" i="28"/>
  <c r="A24" i="28"/>
  <c r="A23" i="28"/>
  <c r="A22" i="28"/>
  <c r="A21" i="28"/>
  <c r="A20" i="28"/>
  <c r="A17" i="28"/>
  <c r="A16" i="28"/>
  <c r="A15" i="28"/>
  <c r="A14" i="28"/>
  <c r="B12" i="2"/>
  <c r="E47" i="18"/>
  <c r="E46" i="18"/>
  <c r="E45" i="18"/>
  <c r="E44" i="18"/>
  <c r="K23" i="26" l="1"/>
  <c r="K27" i="26"/>
  <c r="K25" i="26"/>
  <c r="K26" i="26"/>
  <c r="K28" i="26"/>
  <c r="K22" i="26"/>
  <c r="M26" i="26"/>
  <c r="M27" i="26"/>
  <c r="M28" i="26"/>
  <c r="M25" i="26"/>
  <c r="M23" i="26"/>
  <c r="M22" i="26"/>
  <c r="M24" i="26"/>
  <c r="K24" i="26"/>
  <c r="G28" i="26" l="1"/>
  <c r="G23" i="26"/>
  <c r="G22" i="26"/>
  <c r="F38" i="26"/>
  <c r="F36" i="26"/>
  <c r="F35" i="26"/>
  <c r="O28" i="26" l="1"/>
  <c r="O24" i="26"/>
  <c r="O25" i="26"/>
  <c r="O26" i="26"/>
  <c r="O27" i="26"/>
  <c r="O23" i="26"/>
  <c r="O22" i="26"/>
  <c r="I27" i="26"/>
  <c r="I26" i="26"/>
  <c r="I25" i="26"/>
  <c r="I24" i="26"/>
  <c r="E28" i="26"/>
  <c r="E27" i="26"/>
  <c r="E26" i="26"/>
  <c r="E25" i="26"/>
  <c r="E24" i="26"/>
  <c r="E23" i="26"/>
  <c r="E22" i="26"/>
  <c r="C28" i="26"/>
  <c r="C27" i="26"/>
  <c r="C26" i="26"/>
  <c r="C25" i="26"/>
  <c r="C24" i="26"/>
  <c r="C23" i="26"/>
  <c r="C22" i="26"/>
  <c r="D15" i="26" l="1"/>
  <c r="F37"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tc={1707213C-97FC-4C9D-94F6-0A0B3239384F}</author>
    <author>tc={5B5892F7-A35F-4BB6-8D40-7A65CCF379D5}</author>
  </authors>
  <commentList>
    <comment ref="K22" authorId="0" shapeId="0" xr:uid="{1707213C-97FC-4C9D-94F6-0A0B3239384F}">
      <text>
        <t>[Threaded comment]
Your version of Excel allows you to read this threaded comment; however, any edits to it will get removed if the file is opened in a newer version of Excel. Learn more: https://go.microsoft.com/fwlink/?linkid=870924
Comment:
    Computed from Q = m*cp*dT</t>
      </text>
    </comment>
    <comment ref="K23" authorId="1" shapeId="0" xr:uid="{5B5892F7-A35F-4BB6-8D40-7A65CCF379D5}">
      <text>
        <t>[Threaded comment]
Your version of Excel allows you to read this threaded comment; however, any edits to it will get removed if the file is opened in a newer version of Excel. Learn more: https://go.microsoft.com/fwlink/?linkid=870924
Comment:
    Computed from Q = m*L (latent heat)</t>
      </text>
    </comment>
  </commentList>
</comments>
</file>

<file path=xl/sharedStrings.xml><?xml version="1.0" encoding="utf-8"?>
<sst xmlns="http://schemas.openxmlformats.org/spreadsheetml/2006/main" count="657" uniqueCount="324">
  <si>
    <t>PURPOSE</t>
  </si>
  <si>
    <t>This document has been developed under the IETS Task XXIV: Process Integration for Industrial Decarbonization, as part of Activity 1: Specifications, Ontologies, and Procedures. It provides a standardized template for documenting and sharing ex-ante process and energy systems models. This template is intended to provide a structured, standardized format for documenting and sharing models in a way that supports collaboration, validation, and transparent reuse across the IETS community.</t>
  </si>
  <si>
    <t>CONNECTORS</t>
  </si>
  <si>
    <t>VARIABLES</t>
  </si>
  <si>
    <t>Variables are the core elements used to specify connectors and define the transformations taking place within units. Through these variables, the behavior of process and energy technologies is quantitatively described. The variables can can either have a default value that is assigned to them or they can be calculated by a mathematical operation. The type of variables that are proposed are, context, literature, measured and decision variables. The distinction between the types are explained further in the respective tab.</t>
  </si>
  <si>
    <t>UNITS</t>
  </si>
  <si>
    <t>A representative name for the model</t>
  </si>
  <si>
    <t>Daniel Florez-Orrego, Oktay Boztas</t>
  </si>
  <si>
    <t>Open</t>
  </si>
  <si>
    <t>The creation date of the model</t>
  </si>
  <si>
    <t>GRAY-BOX</t>
  </si>
  <si>
    <t>Softwares that are used during the development of the model</t>
  </si>
  <si>
    <t>URL</t>
  </si>
  <si>
    <t>The date of the last modification to the model</t>
  </si>
  <si>
    <t>Keywords can be assigned to enable structured categorization of the models</t>
  </si>
  <si>
    <t>DESCRIPTION</t>
  </si>
  <si>
    <t>EXTERNAL CONNECTORS</t>
  </si>
  <si>
    <t>NAME (ALIAS)</t>
  </si>
  <si>
    <t>TYPE</t>
  </si>
  <si>
    <t>PHYSICAL UNIT</t>
  </si>
  <si>
    <t>TEMPERATURE UNIT</t>
  </si>
  <si>
    <t>PRESSURE UNIT</t>
  </si>
  <si>
    <t>VAPOR FRACTION [MASS]</t>
  </si>
  <si>
    <t>PHASE</t>
  </si>
  <si>
    <t>COMPOSITION [MOLE/MASS]</t>
  </si>
  <si>
    <t>ELECTRICITY</t>
  </si>
  <si>
    <t>kW</t>
  </si>
  <si>
    <t>-</t>
  </si>
  <si>
    <t>INTERNAL CONNECTORS</t>
  </si>
  <si>
    <t>VARIABLE TYPES</t>
  </si>
  <si>
    <r>
      <rPr>
        <b/>
        <sz val="11"/>
        <color theme="1"/>
        <rFont val="Calibri"/>
        <family val="2"/>
      </rPr>
      <t>Context:</t>
    </r>
    <r>
      <rPr>
        <sz val="11"/>
        <color theme="1"/>
        <rFont val="Calibri"/>
        <family val="2"/>
      </rPr>
      <t xml:space="preserve"> These variables are defined at a higher level and refer to local conditions (e.g., ambient temperature and pressure), economic factors (e.g., specific costs), or energy-related parameters.</t>
    </r>
  </si>
  <si>
    <r>
      <rPr>
        <b/>
        <sz val="11"/>
        <color theme="1"/>
        <rFont val="Calibri"/>
        <family val="2"/>
      </rPr>
      <t xml:space="preserve">Literature: </t>
    </r>
    <r>
      <rPr>
        <sz val="11"/>
        <color theme="1"/>
        <rFont val="Calibri"/>
        <family val="2"/>
      </rPr>
      <t>These variables are defined from the literature sources. They include physical constants, reported efficiencies or other variables that are not measured but assumed from literature sources.</t>
    </r>
  </si>
  <si>
    <r>
      <rPr>
        <b/>
        <sz val="11"/>
        <color theme="1"/>
        <rFont val="Calibri"/>
        <family val="2"/>
      </rPr>
      <t>Measured:</t>
    </r>
    <r>
      <rPr>
        <sz val="11"/>
        <color theme="1"/>
        <rFont val="Calibri"/>
        <family val="2"/>
      </rPr>
      <t xml:space="preserve"> These variables are directly measured directly in the industrial or technological system.</t>
    </r>
  </si>
  <si>
    <r>
      <rPr>
        <b/>
        <sz val="11"/>
        <color theme="1"/>
        <rFont val="Calibri"/>
        <family val="2"/>
      </rPr>
      <t>Decision:</t>
    </r>
    <r>
      <rPr>
        <sz val="11"/>
        <color theme="1"/>
        <rFont val="Calibri"/>
        <family val="2"/>
      </rPr>
      <t xml:space="preserve"> These variable are set by the engineers to as degrees of freedom to evaluate their impact on the performance of the energy system</t>
    </r>
  </si>
  <si>
    <t>USER GRADE</t>
  </si>
  <si>
    <r>
      <rPr>
        <b/>
        <sz val="11"/>
        <color theme="1"/>
        <rFont val="Calibri"/>
        <family val="2"/>
      </rPr>
      <t xml:space="preserve">Mandatory: </t>
    </r>
    <r>
      <rPr>
        <sz val="11"/>
        <color theme="1"/>
        <rFont val="Calibri"/>
        <family val="2"/>
      </rPr>
      <t>The user of the model is expected to assign a default value to the variable.</t>
    </r>
  </si>
  <si>
    <r>
      <rPr>
        <b/>
        <sz val="11"/>
        <color theme="1"/>
        <rFont val="Calibri"/>
        <family val="2"/>
      </rPr>
      <t xml:space="preserve">Optional: </t>
    </r>
    <r>
      <rPr>
        <sz val="11"/>
        <color theme="1"/>
        <rFont val="Calibri"/>
        <family val="2"/>
      </rPr>
      <t>Experienced users can modify the default value.</t>
    </r>
  </si>
  <si>
    <r>
      <rPr>
        <b/>
        <sz val="11"/>
        <color theme="1"/>
        <rFont val="Calibri"/>
        <family val="2"/>
      </rPr>
      <t xml:space="preserve">Private: </t>
    </r>
    <r>
      <rPr>
        <sz val="11"/>
        <color theme="1"/>
        <rFont val="Calibri"/>
        <family val="2"/>
      </rPr>
      <t>Decided by the model developer, and users are not allowed to change the default value.</t>
    </r>
  </si>
  <si>
    <t>MANDATORY</t>
  </si>
  <si>
    <t>DIRECTION</t>
  </si>
  <si>
    <t>VALUE</t>
  </si>
  <si>
    <t>OUT</t>
  </si>
  <si>
    <t>HEAT STREAMS</t>
  </si>
  <si>
    <t>Cold</t>
  </si>
  <si>
    <t>Hot</t>
  </si>
  <si>
    <t>EQUIPMENTS</t>
  </si>
  <si>
    <t>Asset</t>
  </si>
  <si>
    <t>The fixed and variable operating costs includes manpower, fixed cost of operation, taxes etc.</t>
  </si>
  <si>
    <t>TRL</t>
  </si>
  <si>
    <t>EQUIPMENTS DESCRIPTION</t>
  </si>
  <si>
    <t>OPERATING COST DESCRIPTION</t>
  </si>
  <si>
    <t>UNIT DESCRIPTION</t>
  </si>
  <si>
    <t>CONNECTORS DESCRIPTION</t>
  </si>
  <si>
    <t>UNIT NAME</t>
  </si>
  <si>
    <t>MAXIMUM CAPACITY MULT</t>
  </si>
  <si>
    <t>MINIMUM CAPACITY MULT</t>
  </si>
  <si>
    <t>HEAT CASCADE</t>
  </si>
  <si>
    <t>NAME</t>
  </si>
  <si>
    <t>PARAMS</t>
  </si>
  <si>
    <t>FIXED OPERATING COST [EUR/y]</t>
  </si>
  <si>
    <t>VARIABLE OPERATING COST [EUR/h]</t>
  </si>
  <si>
    <t>HEAT STREAMS DESCRIPTION</t>
  </si>
  <si>
    <t>The variable operating cost is calculated by multiplying the specific operating cost [EUR/kWh or EUR/kg] and reference capacity [kW or kg/h]</t>
  </si>
  <si>
    <t>Fetch the intensive properties from the connectors tab</t>
  </si>
  <si>
    <t>The declared connectors within the units can be a mix of external and internal connectors</t>
  </si>
  <si>
    <t>FULL NAME</t>
  </si>
  <si>
    <t>MIN BOUND</t>
  </si>
  <si>
    <t>MAX BOUND</t>
  </si>
  <si>
    <t>LATEX SYNTAX</t>
  </si>
  <si>
    <t>Precheck that each of these internal connectors has at least one in and one out within a model.</t>
  </si>
  <si>
    <t>External connectors should be defined in a global database that documents the physical units and the quality of the connectors to be used for models integration</t>
  </si>
  <si>
    <t>MODEL UID</t>
  </si>
  <si>
    <t>MODEL NAME</t>
  </si>
  <si>
    <t>AUTHORS AND CONTRIBUTORS</t>
  </si>
  <si>
    <t>VERSION</t>
  </si>
  <si>
    <t>CONFIDENTIALITY</t>
  </si>
  <si>
    <t>CREATION DATE</t>
  </si>
  <si>
    <t>REFERENCES</t>
  </si>
  <si>
    <t>GRADE</t>
  </si>
  <si>
    <t>SOFTWARE</t>
  </si>
  <si>
    <t>LAST UPDATED</t>
  </si>
  <si>
    <t>KEYWORDS</t>
  </si>
  <si>
    <t>REFERENCE CAPACITY 
(MAIN PRODUCT/FEEDSTOCK)</t>
  </si>
  <si>
    <t>DOI</t>
  </si>
  <si>
    <t>BLOCK FLOW DIAGRAM ( .png or .svg)</t>
  </si>
  <si>
    <t>CONTACT INFO</t>
  </si>
  <si>
    <t>daniel.florezorrego@epfl.ch, oktay.boztas@epfl.ch</t>
  </si>
  <si>
    <t>MAIN RELATED PUBLICATION</t>
  </si>
  <si>
    <t>MODEL STATUS</t>
  </si>
  <si>
    <t>Maintained</t>
  </si>
  <si>
    <t>SUPPLEMENTARY MATERIAL</t>
  </si>
  <si>
    <t>AUTHORS</t>
  </si>
  <si>
    <t>SIZE</t>
  </si>
  <si>
    <t>FORMAT</t>
  </si>
  <si>
    <t>LIST OF SUPPLEMENTARY MATERIAL</t>
  </si>
  <si>
    <t>No.</t>
  </si>
  <si>
    <t>DATE</t>
  </si>
  <si>
    <t>COMMENTS</t>
  </si>
  <si>
    <t>CONTRIBUTOR</t>
  </si>
  <si>
    <t>1.0.1</t>
  </si>
  <si>
    <t>Original file</t>
  </si>
  <si>
    <t>PARAMETER</t>
  </si>
  <si>
    <t>See SUPPL MATERIAL tab</t>
  </si>
  <si>
    <t>VARIABLE NAME</t>
  </si>
  <si>
    <t>SOFTWARE FILE</t>
  </si>
  <si>
    <t>Metadata is important for model documentation and versioning, as well as for authorship and supplementary material indexation</t>
  </si>
  <si>
    <t>SHARING LAYER</t>
  </si>
  <si>
    <t>SUBTYPE</t>
  </si>
  <si>
    <t>REFERENCE</t>
  </si>
  <si>
    <t>INLET TEMPERATURE UNIT</t>
  </si>
  <si>
    <t>OUTLET TEMPERATURE UNIT</t>
  </si>
  <si>
    <t>OUTLET ENTHALPY FLOW UNIT</t>
  </si>
  <si>
    <t>SPEC HEAT CAP UNIT</t>
  </si>
  <si>
    <t>INLET TEMPERATURE VALUE</t>
  </si>
  <si>
    <t>OUTLET TEMPERATURE VALUE</t>
  </si>
  <si>
    <t>INLET ENTHALPY FLOW VALUE</t>
  </si>
  <si>
    <t>INLET ENTHALPY FLOW UNIT</t>
  </si>
  <si>
    <t>OUTLET ENTHALPY FLOW VALUE</t>
  </si>
  <si>
    <t>SPEC HEAT CAP VALUE</t>
  </si>
  <si>
    <t>MASS FLOW VALUE</t>
  </si>
  <si>
    <t>MASS FLOW UNIT</t>
  </si>
  <si>
    <t>DTMIN CONTR VALUE</t>
  </si>
  <si>
    <t>DTMIN CONTR UNIT</t>
  </si>
  <si>
    <t>HEAT TRANSFER COEF VALUE</t>
  </si>
  <si>
    <t>HEAT TRANSFER COEF UNIT</t>
  </si>
  <si>
    <t>REFERENCE STREAM</t>
  </si>
  <si>
    <t>Obtain investment from equipments cost database, which already provides the application range</t>
  </si>
  <si>
    <t>METADATA</t>
  </si>
  <si>
    <t>The metadata section includes essential metadata about the model. The information provided ensures clear classification, proper attribution, and traceability by capturing key details about the model’s identity, origin, and context.</t>
  </si>
  <si>
    <t>Interconnections between processes and energy technologies are established via connectors, which serve as structured representations of mass, electricity, and heat flows. They are analogous to pipelines that is mediating the exchange of flows at the boundaries of units. They can be categorised as:
- External connectors in case they are realizing an exchange between the unit and technosphere or environment. Example to external connectors are feedstock, product, waste or emission flows.
- Internal connectors, which represent exchanges occurring between subprocesses, where the flows remain within the boundaries of the overall process.</t>
  </si>
  <si>
    <t>Units are blocks that represent the transformations occurring within a defined boundary of a process or energy technology. These transformations are expressed through connector. Units may have material flows, electricity consumption or supply, and heat demand or supply, represented by hot and cold heat streams. Units are considered to be linearly scalable within a defined capacity range during MILP optimization, specified by minimum and maximum multipliers. The units are defined for a reference capacity.</t>
  </si>
  <si>
    <t>Digital object identifier of the model</t>
  </si>
  <si>
    <t>Description of the model for discoverability and overview</t>
  </si>
  <si>
    <t>List of supplementary material of the model</t>
  </si>
  <si>
    <t>Keeps a clear version history</t>
  </si>
  <si>
    <t>The level of sensitivity can be indicated as open, restricted, confidential</t>
  </si>
  <si>
    <t>Authors and contributors to the development of the model with their affiliated organizations.</t>
  </si>
  <si>
    <t>Contact information of the authors and contributors</t>
  </si>
  <si>
    <t>Maintained or Archived model</t>
  </si>
  <si>
    <t>The sharing layer is the extent of detail adopted for the model at certain time</t>
  </si>
  <si>
    <t>Black-box for static or surrogate models, Gray-box for partly adjustable models, and White-box for models with flowsheet</t>
  </si>
  <si>
    <t>The reference capacity of the model can be defined based on the main product</t>
  </si>
  <si>
    <t>Technology readiness level of the model. The minimum TRL corresponds to the minimum level considering the model units</t>
  </si>
  <si>
    <t>Link to the main related publication(s) to the model</t>
  </si>
  <si>
    <t>References used during the model development can be provided in a .bib file</t>
  </si>
  <si>
    <t>Physycal file of the model (if available), otherwise, N.A.</t>
  </si>
  <si>
    <t>Graphical representation of the block flow diagram of the model</t>
  </si>
  <si>
    <t>Link to the repository where the model is alternatively stored</t>
  </si>
  <si>
    <r>
      <rPr>
        <b/>
        <sz val="11"/>
        <color theme="1"/>
        <rFont val="Calibri"/>
        <family val="2"/>
        <scheme val="minor"/>
      </rPr>
      <t>Calculated</t>
    </r>
    <r>
      <rPr>
        <sz val="11"/>
        <color theme="1"/>
        <rFont val="Calibri"/>
        <family val="2"/>
        <scheme val="minor"/>
      </rPr>
      <t>: These are derived variables, calculated based on the previous types of variables and are considered as dependent variables</t>
    </r>
  </si>
  <si>
    <t>TEMPERATURE VALUE</t>
  </si>
  <si>
    <t>PRESSURE VALUE</t>
  </si>
  <si>
    <t>FLOW VALUE</t>
  </si>
  <si>
    <t>FLOW UNIT</t>
  </si>
  <si>
    <t>Compare Fmin and Fmax to define if it scalable of fixed, if fixed Fmin=Fmax=Fmult</t>
  </si>
  <si>
    <t>FORMULA OR PATH</t>
  </si>
  <si>
    <t>DEFAULT VALUE</t>
  </si>
  <si>
    <t>Organic Rankine</t>
  </si>
  <si>
    <t>Daniel Flórez-Orrego, EPFL IPESE research group</t>
  </si>
  <si>
    <t>None</t>
  </si>
  <si>
    <t>Figures/orc.svg</t>
  </si>
  <si>
    <t>HX1_Tin</t>
  </si>
  <si>
    <t>CONTEXT</t>
  </si>
  <si>
    <t>Temperature inlet of the waste heat recovery boiler</t>
  </si>
  <si>
    <t>$HX1_{Tin}$</t>
  </si>
  <si>
    <t>HX1_Tout</t>
  </si>
  <si>
    <t>Temperature outlet of the waste heat recovery boiler</t>
  </si>
  <si>
    <t>$HX1_{Tout}$</t>
  </si>
  <si>
    <t>HX1_Q</t>
  </si>
  <si>
    <t>Heating requirement for increasing the toluene temperature up to the saturation value (115.7 to 241.4 C)</t>
  </si>
  <si>
    <t>$HX1_{Q}$</t>
  </si>
  <si>
    <t>HX2_Q</t>
  </si>
  <si>
    <t>Vaporization enthalpy of toluene at 241.4 C</t>
  </si>
  <si>
    <t>$HX2_{Q}$</t>
  </si>
  <si>
    <t>TURB1</t>
  </si>
  <si>
    <t>Power generation in the first expansion stage</t>
  </si>
  <si>
    <t>$TURB1$</t>
  </si>
  <si>
    <t>HX3_Tin</t>
  </si>
  <si>
    <t>Temperature inlet of the process heat exchanger</t>
  </si>
  <si>
    <t>$HX3_{Tin}$</t>
  </si>
  <si>
    <t>HX3_Tout</t>
  </si>
  <si>
    <t>Temperature outlet of the process heat exchanger</t>
  </si>
  <si>
    <t>$HX3_{Tout}$</t>
  </si>
  <si>
    <t>HX3_Q</t>
  </si>
  <si>
    <t>Heat supply to process heat exchanger (178.3C to 115C)</t>
  </si>
  <si>
    <t>$HX3_{Q}$</t>
  </si>
  <si>
    <t>HX4_Q</t>
  </si>
  <si>
    <t>Condensation enthalpy of toluene at 115 C</t>
  </si>
  <si>
    <t>$HX4_{Q}$</t>
  </si>
  <si>
    <t>TURB2</t>
  </si>
  <si>
    <t>Power generation in the second expansion stage</t>
  </si>
  <si>
    <t>$TURB2$</t>
  </si>
  <si>
    <t>HX5_Tin</t>
  </si>
  <si>
    <t>Temperature inlet of the second process heat exchanger</t>
  </si>
  <si>
    <t>$HX5_{Tin}$</t>
  </si>
  <si>
    <t>HX5_Tout</t>
  </si>
  <si>
    <t>Temperature outlet of the second process heat exchanger</t>
  </si>
  <si>
    <t>$HX5_{Tout}$</t>
  </si>
  <si>
    <t>HX5_Q</t>
  </si>
  <si>
    <t>Heat supply to process heat exchanger (125.3C to 34.18C)</t>
  </si>
  <si>
    <t>$HX5_{Q}$</t>
  </si>
  <si>
    <t>HX6_Q</t>
  </si>
  <si>
    <t>Condensation enthalpy of toluene at 34.18 C</t>
  </si>
  <si>
    <t>$HX6_{Q}$</t>
  </si>
  <si>
    <t>Pump1</t>
  </si>
  <si>
    <t>Power consumed in the first pump</t>
  </si>
  <si>
    <t>$Pump1$</t>
  </si>
  <si>
    <t>Pump2</t>
  </si>
  <si>
    <t>Power consumed in the second pump</t>
  </si>
  <si>
    <t>$Pump2$</t>
  </si>
  <si>
    <t>HX7_Tin</t>
  </si>
  <si>
    <t>Temperature inlet of the toluene preheater</t>
  </si>
  <si>
    <t>$HX7_{Tin}$</t>
  </si>
  <si>
    <t>HX7_Tout</t>
  </si>
  <si>
    <t>Temperature outlet of the toluene preheater</t>
  </si>
  <si>
    <t>$HX7_{Tout}$</t>
  </si>
  <si>
    <t>HX7_Q</t>
  </si>
  <si>
    <t>Heating requirement for increasing the toluene temperature up to 115C</t>
  </si>
  <si>
    <t>$HX7_{Q}$</t>
  </si>
  <si>
    <t>dtmin_2ph</t>
  </si>
  <si>
    <t>Minimum temperature difference contribution</t>
  </si>
  <si>
    <t>$dtmin_{2ph}$</t>
  </si>
  <si>
    <t>n</t>
  </si>
  <si>
    <t>Lifetime of an ORC</t>
  </si>
  <si>
    <t>$n$</t>
  </si>
  <si>
    <t>i</t>
  </si>
  <si>
    <t>Interest rate</t>
  </si>
  <si>
    <t>$i$</t>
  </si>
  <si>
    <t>CEPCI_2020</t>
  </si>
  <si>
    <t>$CEPCI_{2020}$</t>
  </si>
  <si>
    <t>CEPCI_2008</t>
  </si>
  <si>
    <t>CEPCI 2008</t>
  </si>
  <si>
    <t>$CEPCI_{2008}$</t>
  </si>
  <si>
    <t>W_bal</t>
  </si>
  <si>
    <t>Net power generation</t>
  </si>
  <si>
    <t>$W_{bal}$</t>
  </si>
  <si>
    <t>Annuity</t>
  </si>
  <si>
    <t>Annualization factor</t>
  </si>
  <si>
    <t>$Annuity$</t>
  </si>
  <si>
    <t>Cinv2_ORC</t>
  </si>
  <si>
    <t>$Cinv2_{ORC}$</t>
  </si>
  <si>
    <t>Electricity</t>
  </si>
  <si>
    <t>OrgRC</t>
  </si>
  <si>
    <t>hex1</t>
  </si>
  <si>
    <t>hex2</t>
  </si>
  <si>
    <t>hex3</t>
  </si>
  <si>
    <t>hex4</t>
  </si>
  <si>
    <t>hex5</t>
  </si>
  <si>
    <t>hex6</t>
  </si>
  <si>
    <t>hex7</t>
  </si>
  <si>
    <t>RankineCycle</t>
  </si>
  <si>
    <t>Organic Rankine Cycle for waste heat recovery and electricity generation</t>
  </si>
  <si>
    <t xml:space="preserve">Rankine Cycle, Waste heat recovery, Power generation, Organic fluid, Electricity </t>
  </si>
  <si>
    <t>HX2_T</t>
  </si>
  <si>
    <t>Vaporization temperature of toluene</t>
  </si>
  <si>
    <t>$HX2_T$</t>
  </si>
  <si>
    <t>HX4_T</t>
  </si>
  <si>
    <t>Condensation temperature of toluene</t>
  </si>
  <si>
    <t>$HX4_T$</t>
  </si>
  <si>
    <t>HX6_T</t>
  </si>
  <si>
    <t>$HX6_T$</t>
  </si>
  <si>
    <t>K</t>
  </si>
  <si>
    <t>kW/m2K</t>
  </si>
  <si>
    <t>DEFAULT</t>
  </si>
  <si>
    <t>No</t>
  </si>
  <si>
    <t>Yes</t>
  </si>
  <si>
    <t>Waste heat recovery boiler</t>
  </si>
  <si>
    <t>Vaporization</t>
  </si>
  <si>
    <t xml:space="preserve">Condensation </t>
  </si>
  <si>
    <t>Second process heat exchanger</t>
  </si>
  <si>
    <t>First process heat exchanger</t>
  </si>
  <si>
    <t>Preheater</t>
  </si>
  <si>
    <t>Lifetime</t>
  </si>
  <si>
    <t>%</t>
  </si>
  <si>
    <t>CEPCI 2020</t>
  </si>
  <si>
    <t>Cinv_ORC</t>
  </si>
  <si>
    <t>Total investment cost</t>
  </si>
  <si>
    <t>Eur</t>
  </si>
  <si>
    <t>Organic Rankine Cycle</t>
  </si>
  <si>
    <t>@Florez-Orrego et al</t>
  </si>
  <si>
    <t>Cp</t>
  </si>
  <si>
    <t>LITERATURE</t>
  </si>
  <si>
    <t>Cp of toluene at 150C</t>
  </si>
  <si>
    <t>kJ/kgK</t>
  </si>
  <si>
    <t>$c_p$</t>
  </si>
  <si>
    <t>kg/h</t>
  </si>
  <si>
    <t>orc</t>
  </si>
  <si>
    <t>Drawio</t>
  </si>
  <si>
    <t>.svg</t>
  </si>
  <si>
    <t>50 kB</t>
  </si>
  <si>
    <t>UID</t>
  </si>
  <si>
    <t>TEMPERATURE</t>
  </si>
  <si>
    <t>PRESSURE</t>
  </si>
  <si>
    <t>Generated electricity</t>
  </si>
  <si>
    <t>°C</t>
  </si>
  <si>
    <t>The OrgRC is a scalable utility unit designed to convert thermal energy into electricity. The organic working fluid is pumped to a waste heat recovery boiler where it is heated and evaporated. It then expands through a turbine before passing through a condenser to return to a liquid state.</t>
  </si>
  <si>
    <t>The system's primary output is electrical power. It generates a net flow of 34.03 kW of electricity.</t>
  </si>
  <si>
    <t>Thermal flows representing heating (e.g., vaporization) and cooling (e.g., condensation) stages, used to balance cycle energy and optimize waste heat recovery.</t>
  </si>
  <si>
    <t>Physical system assets (e.g., the ORC unit) defining financial parameters like lifetime, interest rate, and total investment cost (CAPEX) for economic calculations.</t>
  </si>
  <si>
    <t>Annualized investment cost for 2020</t>
  </si>
  <si>
    <t>$Cinv_{ORC}$</t>
  </si>
  <si>
    <t>TURB1+TURB2-Pump1-Pump2</t>
  </si>
  <si>
    <t>(i*(i+1)^n)/((1+i)^n-1)</t>
  </si>
  <si>
    <t>W_bal*1000</t>
  </si>
  <si>
    <t>1000*W_bal*(CEPCI_2020/CEPCI_2008)*Annuity</t>
  </si>
  <si>
    <t>year</t>
  </si>
  <si>
    <t>eur</t>
  </si>
  <si>
    <t>eur/y</t>
  </si>
  <si>
    <t xml:space="preserve">[1] Pardeep Garg, Matthew S. Orosz, Pramod Kumar,Thermo-economic evaluation of ORCs for various working fluids,Applied Thermal Engineering,Volume 109, Part B,2016,Pages 841-853,ISSN 1359-4311,https://doi.org/10.1016/j.applthermaleng.2016.06.083;
[2] Turton et al, 2012;
[3] Bruno et al, 1998
</t>
  </si>
  <si>
    <t>EPFL IPESE research group</t>
  </si>
  <si>
    <t>kJ/kg</t>
  </si>
  <si>
    <t>1. System Overview</t>
  </si>
  <si>
    <t>The Organic Rankine Cycle (ORC) is a variation of the Rankine cycle that utilizes an organic, high-molecular-mass fluid. Because these fluids have lower vaporization temperatures than water, they enable heat recovery from low-temperature sources such as biomass combustion, industrial waste heat, and geothermal reservoirs.</t>
  </si>
  <si>
    <t>This low-temperature heat is converted into useful mechanical work, which is subsequently transformed into electricity.</t>
  </si>
  <si>
    <t>2. Working Principle</t>
  </si>
  <si>
    <t>The cycle follows four primary stages:</t>
  </si>
  <si>
    <t>• 1-2: Isentropic compression in a pump.</t>
  </si>
  <si>
    <t>• 2-3: Constant pressure heat addition in a boiler (waste heat recovery).</t>
  </si>
  <si>
    <t>• 3-4: Isentropic expansion in a turbine (power generation).</t>
  </si>
  <si>
    <t>• 4-1: Constant pressure heat rejection in a condenser.</t>
  </si>
  <si>
    <t>In real-world applications, irreversibilities during expansion and pressure drops in heat exchangers reduce the theoretical efficiency.</t>
  </si>
  <si>
    <t>3. Key Performance Indicators</t>
  </si>
  <si>
    <t>4. Model Parameters</t>
  </si>
  <si>
    <t>5. References</t>
  </si>
  <si>
    <t>[1] Pardeep Garg, Matthew S. Orosz, Pramod Kumar,Thermo-economic evaluation of ORCs for various working fluids,Applied Thermal Engineering,Volume 109, Part B,2016,Pages 841-853,ISSN 1359-4311,https://doi.org/10.1016/j.applthermaleng.2016.06.083;
[2] Turton et al, 2012;
[3] Bruno et al, 1998.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</si>
</sst>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font>
    <font>
      <sz val="11"/>
      <color theme="1"/>
      <name val="Calibri"/>
      <family val="2"/>
    </font>
    <font>
      <sz val="11"/>
      <color rgb="FF000000"/>
      <name val="Calibri"/>
      <family val="2"/>
    </font>
    <font>
      <b/>
      <sz val="11"/>
      <color rgb="FFFF0000"/>
      <name val="Calibri"/>
      <family val="2"/>
    </font>
    <font>
      <sz val="11"/>
      <color rgb="FF000000"/>
      <name val="Calibri"/>
      <family val="2"/>
      <scheme val="minor"/>
    </font>
    <font>
      <sz val="11"/>
      <color theme="1"/>
      <name val="Calibri"/>
      <family val="2"/>
      <scheme val="minor"/>
    </font>
  </fonts>
  <fills count="14">
    <fill>
      <patternFill patternType="none"/>
    </fill>
    <fill>
      <patternFill patternType="gray125"/>
    </fill>
    <fill>
      <patternFill patternType="solid">
        <fgColor rgb="FFBDD6EE"/>
        <bgColor rgb="FFBDD6EE"/>
      </patternFill>
    </fill>
    <fill>
      <patternFill patternType="solid">
        <fgColor theme="0"/>
        <bgColor theme="0"/>
      </patternFill>
    </fill>
    <fill>
      <patternFill patternType="solid">
        <fgColor rgb="FFFFFFFF"/>
        <bgColor rgb="FFFFFFFF"/>
      </patternFill>
    </fill>
    <fill>
      <patternFill patternType="solid">
        <fgColor rgb="FF9CC2E5"/>
        <bgColor rgb="FF9CC2E5"/>
      </patternFill>
    </fill>
    <fill>
      <patternFill patternType="solid">
        <fgColor theme="0"/>
        <bgColor indexed="64"/>
      </patternFill>
    </fill>
    <fill>
      <patternFill patternType="solid">
        <fgColor theme="2"/>
        <bgColor theme="0"/>
      </patternFill>
    </fill>
    <fill>
      <patternFill patternType="solid">
        <fgColor theme="2"/>
        <bgColor indexed="64"/>
      </patternFill>
    </fill>
    <fill>
      <patternFill patternType="solid">
        <fgColor theme="2"/>
        <bgColor rgb="FFFFFFFF"/>
      </patternFill>
    </fill>
    <fill>
      <patternFill patternType="solid">
        <fgColor theme="5" tint="0.79998168889431442"/>
        <bgColor theme="0"/>
      </patternFill>
    </fill>
    <fill>
      <patternFill patternType="solid">
        <fgColor theme="5" tint="0.79998168889431442"/>
        <bgColor indexed="64"/>
      </patternFill>
    </fill>
    <fill>
      <patternFill patternType="solid">
        <fgColor theme="5" tint="0.79998168889431442"/>
        <bgColor rgb="FFFFFFFF"/>
      </patternFill>
    </fill>
    <fill>
      <patternFill patternType="solid">
        <fgColor rgb="FFDDEBF7"/>
        <bgColor indexed="64"/>
      </patternFill>
    </fill>
  </fills>
  <borders count="77">
    <border>
      <left/>
      <right/>
      <top/>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bottom/>
      <diagonal/>
    </border>
    <border>
      <left/>
      <right/>
      <top/>
      <bottom/>
      <diagonal/>
    </border>
    <border>
      <left style="medium">
        <color rgb="FFFFFFFF"/>
      </left>
      <right style="medium">
        <color rgb="FFFFFFFF"/>
      </right>
      <top style="medium">
        <color rgb="FFFFFFFF"/>
      </top>
      <bottom style="medium">
        <color rgb="FFFFFFFF"/>
      </bottom>
      <diagonal/>
    </border>
    <border>
      <left style="medium">
        <color rgb="FF000000"/>
      </left>
      <right/>
      <top/>
      <bottom/>
      <diagonal/>
    </border>
    <border>
      <left/>
      <right style="medium">
        <color rgb="FF000000"/>
      </right>
      <top/>
      <bottom/>
      <diagonal/>
    </border>
    <border>
      <left style="thin">
        <color rgb="FFFFFFFF"/>
      </left>
      <right style="thin">
        <color rgb="FFFFFFFF"/>
      </right>
      <top/>
      <bottom style="thin">
        <color rgb="FFFFFFFF"/>
      </bottom>
      <diagonal/>
    </border>
    <border>
      <left style="thin">
        <color rgb="FFFFFFFF"/>
      </left>
      <right style="thin">
        <color rgb="FFFFFFFF"/>
      </right>
      <top style="thin">
        <color rgb="FFFFFFFF"/>
      </top>
      <bottom/>
      <diagonal/>
    </border>
    <border>
      <left/>
      <right style="medium">
        <color rgb="FFFFFFFF"/>
      </right>
      <top style="medium">
        <color rgb="FFFFFFFF"/>
      </top>
      <bottom style="medium">
        <color rgb="FFFFFFFF"/>
      </bottom>
      <diagonal/>
    </border>
    <border>
      <left style="thin">
        <color rgb="FFFFFFFF"/>
      </left>
      <right style="thin">
        <color rgb="FFFFFFFF"/>
      </right>
      <top/>
      <bottom/>
      <diagonal/>
    </border>
    <border>
      <left style="thin">
        <color rgb="FFFFFFFF"/>
      </left>
      <right/>
      <top style="thin">
        <color rgb="FFFFFFFF"/>
      </top>
      <bottom/>
      <diagonal/>
    </border>
    <border>
      <left/>
      <right/>
      <top style="medium">
        <color rgb="FFFFFFFF"/>
      </top>
      <bottom style="medium">
        <color rgb="FFFFFFFF"/>
      </bottom>
      <diagonal/>
    </border>
    <border>
      <left style="thin">
        <color rgb="FFFFFFFF"/>
      </left>
      <right style="medium">
        <color rgb="FFFFFFFF"/>
      </right>
      <top/>
      <bottom style="medium">
        <color rgb="FFFFFFFF"/>
      </bottom>
      <diagonal/>
    </border>
    <border>
      <left/>
      <right style="medium">
        <color rgb="FFFFFFFF"/>
      </right>
      <top style="medium">
        <color rgb="FFFFFFFF"/>
      </top>
      <bottom/>
      <diagonal/>
    </border>
    <border>
      <left/>
      <right/>
      <top/>
      <bottom style="medium">
        <color rgb="FF000000"/>
      </bottom>
      <diagonal/>
    </border>
    <border>
      <left/>
      <right style="medium">
        <color rgb="FF000000"/>
      </right>
      <top/>
      <bottom style="medium">
        <color rgb="FF000000"/>
      </bottom>
      <diagonal/>
    </border>
    <border>
      <left style="medium">
        <color rgb="FFFFFFFF"/>
      </left>
      <right style="medium">
        <color rgb="FFFFFFFF"/>
      </right>
      <top/>
      <bottom style="medium">
        <color rgb="FFFFFFFF"/>
      </bottom>
      <diagonal/>
    </border>
    <border>
      <left style="medium">
        <color rgb="FF000000"/>
      </left>
      <right style="thin">
        <color rgb="FFCCCCCC"/>
      </right>
      <top style="medium">
        <color rgb="FF000000"/>
      </top>
      <bottom style="medium">
        <color rgb="FF000000"/>
      </bottom>
      <diagonal/>
    </border>
    <border>
      <left style="thin">
        <color rgb="FFCCCCCC"/>
      </left>
      <right style="thin">
        <color rgb="FFCCCCCC"/>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right style="medium">
        <color rgb="FFFFFFFF"/>
      </right>
      <top/>
      <bottom style="medium">
        <color rgb="FFFFFFFF"/>
      </bottom>
      <diagonal/>
    </border>
    <border>
      <left style="medium">
        <color rgb="FFFFFFFF"/>
      </left>
      <right style="medium">
        <color rgb="FFFFFFFF"/>
      </right>
      <top style="medium">
        <color rgb="FFFFFFFF"/>
      </top>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style="medium">
        <color rgb="FF000000"/>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rgb="FF000000"/>
      </left>
      <right style="thin">
        <color rgb="FFCCCCCC"/>
      </right>
      <top/>
      <bottom/>
      <diagonal/>
    </border>
    <border>
      <left style="thin">
        <color rgb="FFCCCCCC"/>
      </left>
      <right style="thin">
        <color rgb="FFCCCCCC"/>
      </right>
      <top/>
      <bottom/>
      <diagonal/>
    </border>
    <border>
      <left style="thin">
        <color rgb="FFCCCCCC"/>
      </left>
      <right style="thin">
        <color rgb="FFCCCCCC"/>
      </right>
      <top style="medium">
        <color rgb="FF000000"/>
      </top>
      <bottom/>
      <diagonal/>
    </border>
    <border>
      <left style="thin">
        <color rgb="FFCCCCCC"/>
      </left>
      <right/>
      <top style="medium">
        <color rgb="FF000000"/>
      </top>
      <bottom/>
      <diagonal/>
    </border>
    <border>
      <left style="thin">
        <color theme="6" tint="0.59996337778862885"/>
      </left>
      <right style="medium">
        <color indexed="64"/>
      </right>
      <top style="medium">
        <color indexed="64"/>
      </top>
      <bottom style="medium">
        <color indexed="64"/>
      </bottom>
      <diagonal/>
    </border>
    <border>
      <left/>
      <right style="thin">
        <color theme="0" tint="-0.14999847407452621"/>
      </right>
      <top style="thin">
        <color theme="0" tint="-0.14999847407452621"/>
      </top>
      <bottom style="medium">
        <color rgb="FF000000"/>
      </bottom>
      <diagonal/>
    </border>
    <border>
      <left style="thin">
        <color theme="0" tint="-0.14999847407452621"/>
      </left>
      <right style="thin">
        <color theme="0" tint="-0.14999847407452621"/>
      </right>
      <top style="thin">
        <color theme="0" tint="-0.14999847407452621"/>
      </top>
      <bottom style="medium">
        <color rgb="FF000000"/>
      </bottom>
      <diagonal/>
    </border>
    <border>
      <left style="thin">
        <color theme="0" tint="-0.14999847407452621"/>
      </left>
      <right style="medium">
        <color rgb="FF000000"/>
      </right>
      <top style="thin">
        <color theme="0" tint="-0.14999847407452621"/>
      </top>
      <bottom style="medium">
        <color rgb="FF000000"/>
      </bottom>
      <diagonal/>
    </border>
    <border>
      <left/>
      <right style="thin">
        <color theme="0" tint="-0.14999847407452621"/>
      </right>
      <top/>
      <bottom style="medium">
        <color rgb="FF000000"/>
      </bottom>
      <diagonal/>
    </border>
    <border>
      <left style="thin">
        <color theme="0" tint="-0.14999847407452621"/>
      </left>
      <right style="thin">
        <color theme="0" tint="-0.14999847407452621"/>
      </right>
      <top/>
      <bottom style="medium">
        <color rgb="FF000000"/>
      </bottom>
      <diagonal/>
    </border>
    <border>
      <left style="thin">
        <color theme="0" tint="-0.14999847407452621"/>
      </left>
      <right style="medium">
        <color rgb="FF000000"/>
      </right>
      <top/>
      <bottom style="medium">
        <color rgb="FF000000"/>
      </bottom>
      <diagonal/>
    </border>
    <border>
      <left/>
      <right style="thin">
        <color theme="0" tint="-0.14999847407452621"/>
      </right>
      <top style="medium">
        <color rgb="FF000000"/>
      </top>
      <bottom style="thin">
        <color theme="0" tint="-0.14999847407452621"/>
      </bottom>
      <diagonal/>
    </border>
    <border>
      <left style="thin">
        <color theme="0" tint="-0.14999847407452621"/>
      </left>
      <right style="thin">
        <color theme="0" tint="-0.14999847407452621"/>
      </right>
      <top style="medium">
        <color rgb="FF000000"/>
      </top>
      <bottom style="thin">
        <color theme="0" tint="-0.14999847407452621"/>
      </bottom>
      <diagonal/>
    </border>
    <border>
      <left style="thin">
        <color theme="0" tint="-0.14999847407452621"/>
      </left>
      <right style="medium">
        <color rgb="FF000000"/>
      </right>
      <top style="medium">
        <color rgb="FF000000"/>
      </top>
      <bottom style="thin">
        <color theme="0" tint="-0.14999847407452621"/>
      </bottom>
      <diagonal/>
    </border>
    <border>
      <left/>
      <right style="thin">
        <color theme="0" tint="-0.14999847407452621"/>
      </right>
      <top style="medium">
        <color rgb="FF000000"/>
      </top>
      <bottom style="medium">
        <color rgb="FF000000"/>
      </bottom>
      <diagonal/>
    </border>
    <border>
      <left style="thin">
        <color theme="0" tint="-0.14999847407452621"/>
      </left>
      <right style="thin">
        <color theme="0" tint="-0.14999847407452621"/>
      </right>
      <top style="medium">
        <color rgb="FF000000"/>
      </top>
      <bottom style="medium">
        <color rgb="FF000000"/>
      </bottom>
      <diagonal/>
    </border>
    <border>
      <left style="thin">
        <color theme="0" tint="-0.14999847407452621"/>
      </left>
      <right style="medium">
        <color rgb="FF000000"/>
      </right>
      <top style="medium">
        <color rgb="FF000000"/>
      </top>
      <bottom style="medium">
        <color rgb="FF000000"/>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rgb="FF000000"/>
      </right>
      <top style="thin">
        <color theme="0" tint="-0.14999847407452621"/>
      </top>
      <bottom style="thin">
        <color theme="0" tint="-0.14999847407452621"/>
      </bottom>
      <diagonal/>
    </border>
    <border>
      <left/>
      <right style="thin">
        <color theme="6" tint="0.59996337778862885"/>
      </right>
      <top style="medium">
        <color indexed="64"/>
      </top>
      <bottom style="medium">
        <color indexed="64"/>
      </bottom>
      <diagonal/>
    </border>
    <border>
      <left style="thin">
        <color theme="0" tint="-0.14999847407452621"/>
      </left>
      <right style="thin">
        <color theme="0" tint="-0.14996795556505021"/>
      </right>
      <top style="medium">
        <color rgb="FF000000"/>
      </top>
      <bottom style="medium">
        <color rgb="FF000000"/>
      </bottom>
      <diagonal/>
    </border>
    <border>
      <left style="thin">
        <color theme="0" tint="-0.14999847407452621"/>
      </left>
      <right/>
      <top style="medium">
        <color rgb="FF000000"/>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top style="thin">
        <color theme="0" tint="-0.14999847407452621"/>
      </top>
      <bottom style="medium">
        <color rgb="FF000000"/>
      </bottom>
      <diagonal/>
    </border>
    <border>
      <left style="thin">
        <color theme="2" tint="-0.14996795556505021"/>
      </left>
      <right style="thin">
        <color theme="2" tint="-0.14996795556505021"/>
      </right>
      <top style="medium">
        <color indexed="64"/>
      </top>
      <bottom style="thin">
        <color theme="2" tint="-0.14996795556505021"/>
      </bottom>
      <diagonal/>
    </border>
    <border>
      <left style="thin">
        <color theme="2" tint="-0.14996795556505021"/>
      </left>
      <right style="medium">
        <color rgb="FF000000"/>
      </right>
      <top style="medium">
        <color indexed="64"/>
      </top>
      <bottom style="thin">
        <color theme="2" tint="-0.14996795556505021"/>
      </bottom>
      <diagonal/>
    </border>
    <border>
      <left style="thin">
        <color theme="2" tint="-0.14996795556505021"/>
      </left>
      <right style="thin">
        <color theme="2" tint="-0.14996795556505021"/>
      </right>
      <top style="thin">
        <color theme="2" tint="-0.14996795556505021"/>
      </top>
      <bottom style="thin">
        <color theme="2" tint="-0.14996795556505021"/>
      </bottom>
      <diagonal/>
    </border>
    <border>
      <left style="thin">
        <color theme="2" tint="-0.14996795556505021"/>
      </left>
      <right style="medium">
        <color rgb="FF000000"/>
      </right>
      <top style="thin">
        <color theme="2" tint="-0.14996795556505021"/>
      </top>
      <bottom style="thin">
        <color theme="2" tint="-0.14996795556505021"/>
      </bottom>
      <diagonal/>
    </border>
    <border>
      <left style="thin">
        <color theme="2" tint="-0.14996795556505021"/>
      </left>
      <right style="thin">
        <color theme="2" tint="-0.14996795556505021"/>
      </right>
      <top style="thin">
        <color theme="2" tint="-0.14996795556505021"/>
      </top>
      <bottom style="medium">
        <color rgb="FF000000"/>
      </bottom>
      <diagonal/>
    </border>
    <border>
      <left style="thin">
        <color theme="2" tint="-0.14996795556505021"/>
      </left>
      <right style="medium">
        <color rgb="FF000000"/>
      </right>
      <top style="thin">
        <color theme="2" tint="-0.14996795556505021"/>
      </top>
      <bottom style="medium">
        <color rgb="FF000000"/>
      </bottom>
      <diagonal/>
    </border>
    <border>
      <left/>
      <right style="thin">
        <color theme="0" tint="-0.14999847407452621"/>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medium">
        <color rgb="FF000000"/>
      </right>
      <top style="thin">
        <color theme="0" tint="-0.14999847407452621"/>
      </top>
      <bottom/>
      <diagonal/>
    </border>
    <border>
      <left style="thick">
        <color indexed="64"/>
      </left>
      <right style="thick">
        <color indexed="64"/>
      </right>
      <top style="thick">
        <color indexed="64"/>
      </top>
      <bottom style="thick">
        <color indexed="64"/>
      </bottom>
      <diagonal/>
    </border>
  </borders>
  <cellStyleXfs count="3">
    <xf numFmtId="0" fontId="0" fillId="0" borderId="0"/>
    <xf numFmtId="0" fontId="5" fillId="0" borderId="27"/>
    <xf numFmtId="0" fontId="17" fillId="0" borderId="27"/>
  </cellStyleXfs>
  <cellXfs count="266">
    <xf numFmtId="0" fontId="0" fillId="0" borderId="0" xfId="0"/>
    <xf numFmtId="0" fontId="13" fillId="3" borderId="3" xfId="0" applyFont="1" applyFill="1" applyBorder="1" applyAlignment="1">
      <alignment horizontal="center" vertical="center"/>
    </xf>
    <xf numFmtId="0" fontId="13" fillId="3" borderId="4" xfId="0" applyFont="1" applyFill="1" applyBorder="1" applyAlignment="1">
      <alignment horizontal="left" vertical="center"/>
    </xf>
    <xf numFmtId="0" fontId="11" fillId="0" borderId="9" xfId="0" applyFont="1" applyBorder="1"/>
    <xf numFmtId="0" fontId="9" fillId="0" borderId="1" xfId="0" applyFont="1" applyBorder="1" applyAlignment="1">
      <alignment horizontal="left" vertical="top"/>
    </xf>
    <xf numFmtId="0" fontId="13" fillId="3" borderId="27" xfId="0" applyFont="1" applyFill="1" applyBorder="1" applyAlignment="1">
      <alignment horizontal="left" vertical="center"/>
    </xf>
    <xf numFmtId="0" fontId="0" fillId="8" borderId="0" xfId="0" applyFill="1"/>
    <xf numFmtId="0" fontId="0" fillId="6" borderId="34" xfId="0" applyFill="1" applyBorder="1"/>
    <xf numFmtId="0" fontId="12" fillId="2" borderId="38" xfId="0" applyFont="1" applyFill="1" applyBorder="1" applyAlignment="1">
      <alignment horizontal="left" vertical="center"/>
    </xf>
    <xf numFmtId="0" fontId="12" fillId="2" borderId="33" xfId="0" applyFont="1" applyFill="1" applyBorder="1" applyAlignment="1">
      <alignment horizontal="left" vertical="center"/>
    </xf>
    <xf numFmtId="0" fontId="13" fillId="3" borderId="34" xfId="0" applyFont="1" applyFill="1" applyBorder="1" applyAlignment="1">
      <alignment horizontal="right"/>
    </xf>
    <xf numFmtId="164" fontId="13" fillId="3" borderId="34" xfId="0" applyNumberFormat="1" applyFont="1" applyFill="1" applyBorder="1" applyAlignment="1">
      <alignment horizontal="right"/>
    </xf>
    <xf numFmtId="0" fontId="12" fillId="2" borderId="33" xfId="0" applyFont="1" applyFill="1" applyBorder="1" applyAlignment="1">
      <alignment horizontal="left" vertical="center" wrapText="1"/>
    </xf>
    <xf numFmtId="0" fontId="13" fillId="3" borderId="34" xfId="0" applyFont="1" applyFill="1" applyBorder="1" applyAlignment="1">
      <alignment horizontal="right" wrapText="1"/>
    </xf>
    <xf numFmtId="0" fontId="12" fillId="2" borderId="40" xfId="0" applyFont="1" applyFill="1" applyBorder="1" applyAlignment="1">
      <alignment horizontal="left" vertical="center" wrapText="1"/>
    </xf>
    <xf numFmtId="0" fontId="13" fillId="3" borderId="41" xfId="0" applyFont="1" applyFill="1" applyBorder="1" applyAlignment="1">
      <alignment horizontal="right"/>
    </xf>
    <xf numFmtId="0" fontId="10" fillId="2" borderId="2" xfId="0" applyFont="1" applyFill="1" applyBorder="1" applyAlignment="1">
      <alignment vertical="top"/>
    </xf>
    <xf numFmtId="0" fontId="10" fillId="2" borderId="2" xfId="0" applyFont="1" applyFill="1" applyBorder="1" applyAlignment="1" applyProtection="1">
      <alignment vertical="top"/>
      <protection locked="0"/>
    </xf>
    <xf numFmtId="0" fontId="0" fillId="0" borderId="0" xfId="0" applyProtection="1">
      <protection locked="0"/>
    </xf>
    <xf numFmtId="0" fontId="8" fillId="0" borderId="1" xfId="0" applyFont="1" applyBorder="1" applyAlignment="1" applyProtection="1">
      <alignment horizontal="left" vertical="top" wrapText="1"/>
      <protection locked="0"/>
    </xf>
    <xf numFmtId="0" fontId="7" fillId="0" borderId="1" xfId="0" applyFont="1" applyBorder="1" applyAlignment="1" applyProtection="1">
      <alignment horizontal="left" vertical="top" wrapText="1"/>
      <protection locked="0"/>
    </xf>
    <xf numFmtId="0" fontId="8" fillId="6" borderId="0" xfId="0" applyFont="1" applyFill="1" applyAlignment="1">
      <alignment horizontal="left" vertical="center"/>
    </xf>
    <xf numFmtId="0" fontId="6" fillId="6" borderId="0" xfId="0" applyFont="1" applyFill="1" applyAlignment="1">
      <alignment horizontal="left" vertical="center"/>
    </xf>
    <xf numFmtId="14" fontId="13" fillId="3" borderId="34" xfId="0" applyNumberFormat="1" applyFont="1" applyFill="1" applyBorder="1" applyAlignment="1">
      <alignment horizontal="right"/>
    </xf>
    <xf numFmtId="0" fontId="15" fillId="4" borderId="1" xfId="1" applyFont="1" applyFill="1" applyBorder="1" applyAlignment="1">
      <alignment horizontal="left"/>
    </xf>
    <xf numFmtId="0" fontId="13" fillId="4" borderId="1" xfId="1" applyFont="1" applyFill="1" applyBorder="1"/>
    <xf numFmtId="0" fontId="5" fillId="0" borderId="27" xfId="1"/>
    <xf numFmtId="0" fontId="13" fillId="4" borderId="1" xfId="1" applyFont="1" applyFill="1" applyBorder="1" applyAlignment="1">
      <alignment horizontal="left"/>
    </xf>
    <xf numFmtId="0" fontId="13" fillId="4" borderId="9" xfId="1" applyFont="1" applyFill="1" applyBorder="1"/>
    <xf numFmtId="0" fontId="13" fillId="3" borderId="27" xfId="1" applyFont="1" applyFill="1"/>
    <xf numFmtId="0" fontId="13" fillId="3" borderId="8" xfId="1" applyFont="1" applyFill="1" applyBorder="1"/>
    <xf numFmtId="0" fontId="13" fillId="3" borderId="11" xfId="1" applyFont="1" applyFill="1" applyBorder="1"/>
    <xf numFmtId="0" fontId="13" fillId="4" borderId="18" xfId="1" applyFont="1" applyFill="1" applyBorder="1"/>
    <xf numFmtId="0" fontId="13" fillId="3" borderId="9" xfId="1" applyFont="1" applyFill="1" applyBorder="1"/>
    <xf numFmtId="0" fontId="13" fillId="3" borderId="12" xfId="1" applyFont="1" applyFill="1" applyBorder="1"/>
    <xf numFmtId="0" fontId="13" fillId="3" borderId="29" xfId="1" applyFont="1" applyFill="1" applyBorder="1"/>
    <xf numFmtId="0" fontId="13" fillId="4" borderId="29" xfId="1" applyFont="1" applyFill="1" applyBorder="1"/>
    <xf numFmtId="0" fontId="5" fillId="6" borderId="27" xfId="1" applyFill="1"/>
    <xf numFmtId="0" fontId="11" fillId="0" borderId="9" xfId="1" applyFont="1" applyBorder="1"/>
    <xf numFmtId="0" fontId="5" fillId="0" borderId="5" xfId="1" applyBorder="1"/>
    <xf numFmtId="0" fontId="5" fillId="4" borderId="5" xfId="1" applyFill="1" applyBorder="1"/>
    <xf numFmtId="0" fontId="12" fillId="2" borderId="24" xfId="1" applyFont="1" applyFill="1" applyBorder="1" applyAlignment="1">
      <alignment horizontal="left" vertical="top"/>
    </xf>
    <xf numFmtId="0" fontId="12" fillId="2" borderId="25" xfId="1" applyFont="1" applyFill="1" applyBorder="1" applyAlignment="1">
      <alignment horizontal="left" vertical="top"/>
    </xf>
    <xf numFmtId="0" fontId="5" fillId="0" borderId="8" xfId="1" applyBorder="1"/>
    <xf numFmtId="0" fontId="5" fillId="0" borderId="9" xfId="1" applyBorder="1"/>
    <xf numFmtId="0" fontId="5" fillId="4" borderId="18" xfId="1" applyFill="1" applyBorder="1"/>
    <xf numFmtId="0" fontId="5" fillId="0" borderId="29" xfId="1" applyBorder="1"/>
    <xf numFmtId="0" fontId="5" fillId="4" borderId="29" xfId="1" applyFill="1" applyBorder="1"/>
    <xf numFmtId="0" fontId="5" fillId="4" borderId="10" xfId="1" applyFill="1" applyBorder="1"/>
    <xf numFmtId="0" fontId="5" fillId="8" borderId="27" xfId="1" applyFill="1"/>
    <xf numFmtId="0" fontId="5" fillId="9" borderId="10" xfId="1" applyFill="1" applyBorder="1"/>
    <xf numFmtId="0" fontId="5" fillId="9" borderId="13" xfId="1" applyFill="1" applyBorder="1"/>
    <xf numFmtId="0" fontId="5" fillId="4" borderId="1" xfId="1" applyFill="1" applyBorder="1" applyAlignment="1">
      <alignment horizontal="left"/>
    </xf>
    <xf numFmtId="0" fontId="5" fillId="4" borderId="1" xfId="1" applyFill="1" applyBorder="1"/>
    <xf numFmtId="0" fontId="11" fillId="4" borderId="1" xfId="1" applyFont="1" applyFill="1" applyBorder="1"/>
    <xf numFmtId="0" fontId="9" fillId="4" borderId="9" xfId="1" applyFont="1" applyFill="1" applyBorder="1"/>
    <xf numFmtId="0" fontId="5" fillId="4" borderId="9" xfId="1" applyFill="1" applyBorder="1"/>
    <xf numFmtId="0" fontId="9" fillId="4" borderId="1" xfId="1" applyFont="1" applyFill="1" applyBorder="1"/>
    <xf numFmtId="0" fontId="13" fillId="4" borderId="14" xfId="1" applyFont="1" applyFill="1" applyBorder="1" applyAlignment="1">
      <alignment horizontal="center"/>
    </xf>
    <xf numFmtId="0" fontId="13" fillId="4" borderId="18" xfId="1" applyFont="1" applyFill="1" applyBorder="1" applyAlignment="1">
      <alignment horizontal="center"/>
    </xf>
    <xf numFmtId="0" fontId="13" fillId="4" borderId="15" xfId="1" applyFont="1" applyFill="1" applyBorder="1" applyAlignment="1">
      <alignment horizontal="center"/>
    </xf>
    <xf numFmtId="0" fontId="13" fillId="4" borderId="29" xfId="1" applyFont="1" applyFill="1" applyBorder="1" applyAlignment="1">
      <alignment horizontal="center"/>
    </xf>
    <xf numFmtId="0" fontId="12" fillId="2" borderId="21" xfId="1" applyFont="1" applyFill="1" applyBorder="1" applyAlignment="1">
      <alignment horizontal="left" vertical="top"/>
    </xf>
    <xf numFmtId="0" fontId="13" fillId="2" borderId="22" xfId="1" applyFont="1" applyFill="1" applyBorder="1" applyAlignment="1">
      <alignment horizontal="left" vertical="top"/>
    </xf>
    <xf numFmtId="0" fontId="13" fillId="2" borderId="23" xfId="1" applyFont="1" applyFill="1" applyBorder="1" applyAlignment="1">
      <alignment horizontal="left" vertical="top"/>
    </xf>
    <xf numFmtId="0" fontId="13" fillId="2" borderId="6" xfId="1" applyFont="1" applyFill="1" applyBorder="1" applyAlignment="1">
      <alignment horizontal="left" vertical="top"/>
    </xf>
    <xf numFmtId="0" fontId="13" fillId="2" borderId="27" xfId="1" applyFont="1" applyFill="1" applyAlignment="1">
      <alignment horizontal="left" vertical="top"/>
    </xf>
    <xf numFmtId="0" fontId="5" fillId="2" borderId="27" xfId="1" applyFill="1" applyAlignment="1">
      <alignment horizontal="left" vertical="top"/>
    </xf>
    <xf numFmtId="0" fontId="13" fillId="2" borderId="7" xfId="1" applyFont="1" applyFill="1" applyBorder="1" applyAlignment="1">
      <alignment horizontal="left" vertical="top"/>
    </xf>
    <xf numFmtId="0" fontId="12" fillId="2" borderId="22" xfId="1" applyFont="1" applyFill="1" applyBorder="1" applyAlignment="1">
      <alignment horizontal="left" vertical="top"/>
    </xf>
    <xf numFmtId="0" fontId="12" fillId="2" borderId="23" xfId="1" applyFont="1" applyFill="1" applyBorder="1" applyAlignment="1">
      <alignment horizontal="left" vertical="top"/>
    </xf>
    <xf numFmtId="0" fontId="13" fillId="2" borderId="25" xfId="1" applyFont="1" applyFill="1" applyBorder="1" applyAlignment="1">
      <alignment horizontal="left" vertical="top"/>
    </xf>
    <xf numFmtId="0" fontId="13" fillId="2" borderId="26" xfId="1" applyFont="1" applyFill="1" applyBorder="1" applyAlignment="1">
      <alignment horizontal="left" vertical="top"/>
    </xf>
    <xf numFmtId="0" fontId="12" fillId="2" borderId="35" xfId="1" applyFont="1" applyFill="1" applyBorder="1" applyAlignment="1">
      <alignment horizontal="left" vertical="top"/>
    </xf>
    <xf numFmtId="0" fontId="12" fillId="2" borderId="36" xfId="1" applyFont="1" applyFill="1" applyBorder="1" applyAlignment="1">
      <alignment horizontal="left" vertical="top"/>
    </xf>
    <xf numFmtId="0" fontId="12" fillId="2" borderId="37" xfId="1" applyFont="1" applyFill="1" applyBorder="1" applyAlignment="1">
      <alignment horizontal="left" vertical="top"/>
    </xf>
    <xf numFmtId="0" fontId="14" fillId="6" borderId="35" xfId="1" applyFont="1" applyFill="1" applyBorder="1" applyAlignment="1">
      <alignment horizontal="right"/>
    </xf>
    <xf numFmtId="2" fontId="14" fillId="6" borderId="36" xfId="1" applyNumberFormat="1" applyFont="1" applyFill="1" applyBorder="1" applyAlignment="1">
      <alignment horizontal="right"/>
    </xf>
    <xf numFmtId="0" fontId="14" fillId="6" borderId="37" xfId="1" applyFont="1" applyFill="1" applyBorder="1" applyAlignment="1">
      <alignment horizontal="right"/>
    </xf>
    <xf numFmtId="164" fontId="5" fillId="8" borderId="35" xfId="1" applyNumberFormat="1" applyFill="1" applyBorder="1" applyAlignment="1">
      <alignment horizontal="right"/>
    </xf>
    <xf numFmtId="0" fontId="5" fillId="8" borderId="36" xfId="1" applyFill="1" applyBorder="1" applyAlignment="1">
      <alignment horizontal="right"/>
    </xf>
    <xf numFmtId="14" fontId="5" fillId="8" borderId="36" xfId="1" applyNumberFormat="1" applyFill="1" applyBorder="1" applyAlignment="1">
      <alignment horizontal="right"/>
    </xf>
    <xf numFmtId="0" fontId="5" fillId="8" borderId="37" xfId="1" applyFill="1" applyBorder="1" applyAlignment="1">
      <alignment horizontal="right"/>
    </xf>
    <xf numFmtId="0" fontId="13" fillId="2" borderId="24" xfId="1" applyFont="1" applyFill="1" applyBorder="1" applyAlignment="1">
      <alignment horizontal="left" vertical="top"/>
    </xf>
    <xf numFmtId="0" fontId="5" fillId="8" borderId="35" xfId="1" applyFill="1" applyBorder="1" applyAlignment="1">
      <alignment horizontal="right"/>
    </xf>
    <xf numFmtId="14" fontId="5" fillId="8" borderId="37" xfId="1" applyNumberFormat="1" applyFill="1" applyBorder="1" applyAlignment="1">
      <alignment horizontal="right"/>
    </xf>
    <xf numFmtId="0" fontId="12" fillId="2" borderId="26" xfId="1" applyFont="1" applyFill="1" applyBorder="1" applyAlignment="1">
      <alignment horizontal="left" vertical="top"/>
    </xf>
    <xf numFmtId="0" fontId="13" fillId="0" borderId="48" xfId="1" applyFont="1" applyBorder="1" applyAlignment="1">
      <alignment horizontal="right"/>
    </xf>
    <xf numFmtId="0" fontId="13" fillId="0" borderId="54" xfId="1" applyFont="1" applyBorder="1" applyAlignment="1">
      <alignment horizontal="right"/>
    </xf>
    <xf numFmtId="0" fontId="5" fillId="0" borderId="51" xfId="1" applyBorder="1" applyAlignment="1">
      <alignment horizontal="right"/>
    </xf>
    <xf numFmtId="0" fontId="5" fillId="0" borderId="56" xfId="1" applyBorder="1" applyAlignment="1">
      <alignment horizontal="right"/>
    </xf>
    <xf numFmtId="0" fontId="5" fillId="0" borderId="57" xfId="1" applyBorder="1" applyAlignment="1">
      <alignment horizontal="right" vertical="center"/>
    </xf>
    <xf numFmtId="0" fontId="13" fillId="0" borderId="57" xfId="1" applyFont="1" applyBorder="1" applyAlignment="1">
      <alignment horizontal="right" vertical="center"/>
    </xf>
    <xf numFmtId="0" fontId="5" fillId="0" borderId="57" xfId="1" applyBorder="1" applyAlignment="1">
      <alignment horizontal="right"/>
    </xf>
    <xf numFmtId="0" fontId="13" fillId="0" borderId="58" xfId="1" applyFont="1" applyBorder="1" applyAlignment="1">
      <alignment horizontal="right"/>
    </xf>
    <xf numFmtId="0" fontId="13" fillId="0" borderId="50" xfId="1" applyFont="1" applyBorder="1" applyAlignment="1">
      <alignment horizontal="right"/>
    </xf>
    <xf numFmtId="0" fontId="14" fillId="0" borderId="51" xfId="1" applyFont="1" applyBorder="1" applyAlignment="1">
      <alignment horizontal="right"/>
    </xf>
    <xf numFmtId="0" fontId="13" fillId="0" borderId="51" xfId="1" applyFont="1" applyBorder="1" applyAlignment="1">
      <alignment horizontal="right"/>
    </xf>
    <xf numFmtId="0" fontId="13" fillId="0" borderId="52" xfId="1" quotePrefix="1" applyFont="1" applyBorder="1" applyAlignment="1">
      <alignment horizontal="right"/>
    </xf>
    <xf numFmtId="0" fontId="5" fillId="0" borderId="59" xfId="1" applyBorder="1" applyAlignment="1">
      <alignment horizontal="right"/>
    </xf>
    <xf numFmtId="0" fontId="13" fillId="0" borderId="60" xfId="1" applyFont="1" applyBorder="1" applyAlignment="1">
      <alignment horizontal="right"/>
    </xf>
    <xf numFmtId="2" fontId="13" fillId="0" borderId="60" xfId="1" applyNumberFormat="1" applyFont="1" applyBorder="1" applyAlignment="1">
      <alignment horizontal="right"/>
    </xf>
    <xf numFmtId="0" fontId="16" fillId="0" borderId="60" xfId="1" applyFont="1" applyBorder="1" applyAlignment="1">
      <alignment horizontal="right"/>
    </xf>
    <xf numFmtId="0" fontId="5" fillId="0" borderId="47" xfId="1" applyBorder="1" applyAlignment="1">
      <alignment horizontal="right"/>
    </xf>
    <xf numFmtId="2" fontId="13" fillId="0" borderId="48" xfId="1" applyNumberFormat="1" applyFont="1" applyBorder="1" applyAlignment="1">
      <alignment horizontal="right"/>
    </xf>
    <xf numFmtId="0" fontId="16" fillId="0" borderId="48" xfId="1" applyFont="1" applyBorder="1" applyAlignment="1">
      <alignment horizontal="right"/>
    </xf>
    <xf numFmtId="0" fontId="5" fillId="0" borderId="53" xfId="1" applyBorder="1" applyAlignment="1">
      <alignment horizontal="right"/>
    </xf>
    <xf numFmtId="2" fontId="13" fillId="0" borderId="54" xfId="1" applyNumberFormat="1" applyFont="1" applyBorder="1" applyAlignment="1">
      <alignment horizontal="right"/>
    </xf>
    <xf numFmtId="0" fontId="16" fillId="0" borderId="54" xfId="1" applyFont="1" applyBorder="1" applyAlignment="1">
      <alignment horizontal="right"/>
    </xf>
    <xf numFmtId="0" fontId="12" fillId="2" borderId="31" xfId="2" applyFont="1" applyFill="1" applyBorder="1" applyAlignment="1">
      <alignment horizontal="left" vertical="top"/>
    </xf>
    <xf numFmtId="0" fontId="17" fillId="8" borderId="27" xfId="2" applyFill="1"/>
    <xf numFmtId="0" fontId="15" fillId="4" borderId="10" xfId="2" applyFont="1" applyFill="1" applyBorder="1" applyAlignment="1">
      <alignment horizontal="left"/>
    </xf>
    <xf numFmtId="0" fontId="13" fillId="4" borderId="5" xfId="2" applyFont="1" applyFill="1" applyBorder="1" applyAlignment="1">
      <alignment horizontal="center"/>
    </xf>
    <xf numFmtId="0" fontId="5" fillId="4" borderId="5" xfId="2" applyFont="1" applyFill="1" applyBorder="1"/>
    <xf numFmtId="0" fontId="12" fillId="4" borderId="5" xfId="2" applyFont="1" applyFill="1" applyBorder="1" applyAlignment="1">
      <alignment horizontal="center"/>
    </xf>
    <xf numFmtId="0" fontId="17" fillId="0" borderId="27" xfId="2"/>
    <xf numFmtId="0" fontId="12" fillId="4" borderId="29" xfId="2" applyFont="1" applyFill="1" applyBorder="1" applyAlignment="1">
      <alignment horizontal="center" vertical="center"/>
    </xf>
    <xf numFmtId="0" fontId="12" fillId="4" borderId="29" xfId="2" applyFont="1" applyFill="1" applyBorder="1" applyAlignment="1">
      <alignment horizontal="center" vertical="center" wrapText="1"/>
    </xf>
    <xf numFmtId="0" fontId="13" fillId="3" borderId="5" xfId="2" applyFont="1" applyFill="1" applyBorder="1" applyAlignment="1">
      <alignment horizontal="center"/>
    </xf>
    <xf numFmtId="0" fontId="15" fillId="3" borderId="5" xfId="2" applyFont="1" applyFill="1" applyBorder="1" applyAlignment="1">
      <alignment horizontal="left"/>
    </xf>
    <xf numFmtId="0" fontId="12" fillId="4" borderId="27" xfId="2" applyFont="1" applyFill="1" applyAlignment="1">
      <alignment horizontal="center"/>
    </xf>
    <xf numFmtId="0" fontId="12" fillId="2" borderId="24" xfId="2" applyFont="1" applyFill="1" applyBorder="1" applyAlignment="1">
      <alignment horizontal="left" vertical="top"/>
    </xf>
    <xf numFmtId="0" fontId="12" fillId="2" borderId="25" xfId="2" applyFont="1" applyFill="1" applyBorder="1" applyAlignment="1">
      <alignment horizontal="left" vertical="top" wrapText="1"/>
    </xf>
    <xf numFmtId="0" fontId="12" fillId="2" borderId="26" xfId="2" applyFont="1" applyFill="1" applyBorder="1" applyAlignment="1">
      <alignment horizontal="left" vertical="top" wrapText="1"/>
    </xf>
    <xf numFmtId="0" fontId="15" fillId="3" borderId="27" xfId="2" quotePrefix="1" applyFont="1" applyFill="1" applyAlignment="1">
      <alignment horizontal="left"/>
    </xf>
    <xf numFmtId="0" fontId="13" fillId="3" borderId="27" xfId="2" applyFont="1" applyFill="1" applyAlignment="1">
      <alignment horizontal="center"/>
    </xf>
    <xf numFmtId="0" fontId="15" fillId="3" borderId="27" xfId="2" applyFont="1" applyFill="1" applyAlignment="1">
      <alignment horizontal="left"/>
    </xf>
    <xf numFmtId="0" fontId="13" fillId="3" borderId="35" xfId="2" applyFont="1" applyFill="1" applyBorder="1" applyAlignment="1">
      <alignment horizontal="right"/>
    </xf>
    <xf numFmtId="0" fontId="15" fillId="3" borderId="18" xfId="2" applyFont="1" applyFill="1" applyBorder="1" applyAlignment="1">
      <alignment horizontal="left" vertical="center"/>
    </xf>
    <xf numFmtId="0" fontId="13" fillId="3" borderId="18" xfId="2" applyFont="1" applyFill="1" applyBorder="1" applyAlignment="1">
      <alignment horizontal="center"/>
    </xf>
    <xf numFmtId="0" fontId="15" fillId="3" borderId="5" xfId="2" quotePrefix="1" applyFont="1" applyFill="1" applyBorder="1" applyAlignment="1">
      <alignment horizontal="left"/>
    </xf>
    <xf numFmtId="0" fontId="5" fillId="0" borderId="5" xfId="2" applyFont="1" applyBorder="1"/>
    <xf numFmtId="0" fontId="12" fillId="2" borderId="30" xfId="2" applyFont="1" applyFill="1" applyBorder="1" applyAlignment="1">
      <alignment horizontal="left" vertical="top"/>
    </xf>
    <xf numFmtId="0" fontId="15" fillId="3" borderId="5" xfId="2" applyFont="1" applyFill="1" applyBorder="1" applyAlignment="1">
      <alignment horizontal="left" vertical="center"/>
    </xf>
    <xf numFmtId="0" fontId="15" fillId="3" borderId="27" xfId="2" applyFont="1" applyFill="1" applyAlignment="1">
      <alignment horizontal="left" vertical="center"/>
    </xf>
    <xf numFmtId="0" fontId="13" fillId="3" borderId="27" xfId="2" applyFont="1" applyFill="1" applyAlignment="1">
      <alignment horizontal="left"/>
    </xf>
    <xf numFmtId="0" fontId="12" fillId="2" borderId="21" xfId="2" applyFont="1" applyFill="1" applyBorder="1" applyAlignment="1">
      <alignment horizontal="left" vertical="top"/>
    </xf>
    <xf numFmtId="0" fontId="12" fillId="2" borderId="22" xfId="2" applyFont="1" applyFill="1" applyBorder="1" applyAlignment="1">
      <alignment horizontal="left" vertical="top"/>
    </xf>
    <xf numFmtId="0" fontId="12" fillId="2" borderId="23" xfId="2" applyFont="1" applyFill="1" applyBorder="1" applyAlignment="1">
      <alignment horizontal="left" vertical="top"/>
    </xf>
    <xf numFmtId="0" fontId="13" fillId="2" borderId="6" xfId="2" applyFont="1" applyFill="1" applyBorder="1" applyAlignment="1">
      <alignment horizontal="left" vertical="top"/>
    </xf>
    <xf numFmtId="0" fontId="13" fillId="2" borderId="27" xfId="2" applyFont="1" applyFill="1" applyAlignment="1">
      <alignment horizontal="left" vertical="top"/>
    </xf>
    <xf numFmtId="0" fontId="5" fillId="2" borderId="27" xfId="2" applyFont="1" applyFill="1" applyAlignment="1">
      <alignment horizontal="left" vertical="top"/>
    </xf>
    <xf numFmtId="0" fontId="13" fillId="2" borderId="25" xfId="2" applyFont="1" applyFill="1" applyBorder="1" applyAlignment="1">
      <alignment horizontal="left" vertical="top"/>
    </xf>
    <xf numFmtId="0" fontId="13" fillId="2" borderId="26" xfId="2" applyFont="1" applyFill="1" applyBorder="1" applyAlignment="1">
      <alignment horizontal="left" vertical="top"/>
    </xf>
    <xf numFmtId="0" fontId="13" fillId="3" borderId="27" xfId="2" applyFont="1" applyFill="1" applyAlignment="1">
      <alignment horizontal="center" vertical="center"/>
    </xf>
    <xf numFmtId="0" fontId="13" fillId="3" borderId="28" xfId="2" applyFont="1" applyFill="1" applyBorder="1" applyAlignment="1">
      <alignment horizontal="center" vertical="center"/>
    </xf>
    <xf numFmtId="0" fontId="5" fillId="0" borderId="18" xfId="2" applyFont="1" applyBorder="1"/>
    <xf numFmtId="0" fontId="13" fillId="3" borderId="18" xfId="2" applyFont="1" applyFill="1" applyBorder="1" applyAlignment="1">
      <alignment horizontal="center" vertical="center"/>
    </xf>
    <xf numFmtId="0" fontId="15" fillId="3" borderId="18" xfId="2" applyFont="1" applyFill="1" applyBorder="1" applyAlignment="1">
      <alignment horizontal="left"/>
    </xf>
    <xf numFmtId="0" fontId="12" fillId="2" borderId="32" xfId="2" applyFont="1" applyFill="1" applyBorder="1" applyAlignment="1">
      <alignment horizontal="left" vertical="top"/>
    </xf>
    <xf numFmtId="0" fontId="13" fillId="3" borderId="10" xfId="2" applyFont="1" applyFill="1" applyBorder="1" applyAlignment="1">
      <alignment horizontal="center" vertical="center"/>
    </xf>
    <xf numFmtId="0" fontId="13" fillId="3" borderId="5" xfId="2" applyFont="1" applyFill="1" applyBorder="1" applyAlignment="1">
      <alignment horizontal="center" vertical="center"/>
    </xf>
    <xf numFmtId="0" fontId="12" fillId="2" borderId="19" xfId="2" applyFont="1" applyFill="1" applyBorder="1" applyAlignment="1">
      <alignment horizontal="left" vertical="top"/>
    </xf>
    <xf numFmtId="0" fontId="12" fillId="2" borderId="20" xfId="2" applyFont="1" applyFill="1" applyBorder="1" applyAlignment="1">
      <alignment horizontal="left" vertical="top"/>
    </xf>
    <xf numFmtId="0" fontId="13" fillId="2" borderId="42" xfId="2" applyFont="1" applyFill="1" applyBorder="1" applyAlignment="1">
      <alignment horizontal="left" vertical="top"/>
    </xf>
    <xf numFmtId="0" fontId="13" fillId="2" borderId="43" xfId="2" applyFont="1" applyFill="1" applyBorder="1" applyAlignment="1">
      <alignment horizontal="left" vertical="top"/>
    </xf>
    <xf numFmtId="0" fontId="13" fillId="2" borderId="44" xfId="2" applyFont="1" applyFill="1" applyBorder="1" applyAlignment="1">
      <alignment horizontal="left" vertical="top"/>
    </xf>
    <xf numFmtId="0" fontId="13" fillId="2" borderId="45" xfId="2" applyFont="1" applyFill="1" applyBorder="1" applyAlignment="1">
      <alignment horizontal="left" vertical="top"/>
    </xf>
    <xf numFmtId="0" fontId="13" fillId="4" borderId="18" xfId="2" applyFont="1" applyFill="1" applyBorder="1" applyAlignment="1">
      <alignment horizontal="center"/>
    </xf>
    <xf numFmtId="2" fontId="5" fillId="4" borderId="5" xfId="2" applyNumberFormat="1" applyFont="1" applyFill="1" applyBorder="1"/>
    <xf numFmtId="0" fontId="13" fillId="9" borderId="31" xfId="2" applyFont="1" applyFill="1" applyBorder="1" applyAlignment="1">
      <alignment horizontal="left" vertical="top" wrapText="1"/>
    </xf>
    <xf numFmtId="0" fontId="12" fillId="2" borderId="35" xfId="2" applyFont="1" applyFill="1" applyBorder="1" applyAlignment="1">
      <alignment vertical="top"/>
    </xf>
    <xf numFmtId="0" fontId="12" fillId="2" borderId="36" xfId="2" applyFont="1" applyFill="1" applyBorder="1" applyAlignment="1">
      <alignment vertical="top"/>
    </xf>
    <xf numFmtId="0" fontId="12" fillId="2" borderId="37" xfId="2" applyFont="1" applyFill="1" applyBorder="1" applyAlignment="1">
      <alignment vertical="top"/>
    </xf>
    <xf numFmtId="0" fontId="13" fillId="2" borderId="7" xfId="2" applyFont="1" applyFill="1" applyBorder="1" applyAlignment="1">
      <alignment horizontal="left" vertical="top"/>
    </xf>
    <xf numFmtId="0" fontId="13" fillId="4" borderId="27" xfId="2" applyFont="1" applyFill="1" applyAlignment="1">
      <alignment horizontal="center"/>
    </xf>
    <xf numFmtId="0" fontId="13" fillId="4" borderId="11" xfId="2" applyFont="1" applyFill="1" applyBorder="1" applyAlignment="1">
      <alignment horizontal="center" vertical="center"/>
    </xf>
    <xf numFmtId="0" fontId="13" fillId="4" borderId="8" xfId="2" applyFont="1" applyFill="1" applyBorder="1" applyAlignment="1">
      <alignment horizontal="center" vertical="center"/>
    </xf>
    <xf numFmtId="0" fontId="13" fillId="4" borderId="18" xfId="2" applyFont="1" applyFill="1" applyBorder="1" applyAlignment="1">
      <alignment horizontal="center" vertical="center"/>
    </xf>
    <xf numFmtId="0" fontId="13" fillId="4" borderId="28" xfId="2" applyFont="1" applyFill="1" applyBorder="1" applyAlignment="1">
      <alignment horizontal="center" vertical="center"/>
    </xf>
    <xf numFmtId="0" fontId="15" fillId="4" borderId="27" xfId="2" applyFont="1" applyFill="1" applyAlignment="1">
      <alignment horizontal="left"/>
    </xf>
    <xf numFmtId="0" fontId="12" fillId="5" borderId="38" xfId="2" applyFont="1" applyFill="1" applyBorder="1" applyAlignment="1">
      <alignment horizontal="left" vertical="top"/>
    </xf>
    <xf numFmtId="0" fontId="12" fillId="5" borderId="39" xfId="2" applyFont="1" applyFill="1" applyBorder="1" applyAlignment="1">
      <alignment horizontal="left" vertical="top"/>
    </xf>
    <xf numFmtId="0" fontId="13" fillId="3" borderId="37" xfId="2" applyFont="1" applyFill="1" applyBorder="1" applyAlignment="1">
      <alignment horizontal="right"/>
    </xf>
    <xf numFmtId="0" fontId="5" fillId="0" borderId="56" xfId="2" applyFont="1" applyBorder="1" applyAlignment="1">
      <alignment horizontal="right"/>
    </xf>
    <xf numFmtId="0" fontId="13" fillId="0" borderId="57" xfId="2" applyFont="1" applyBorder="1" applyAlignment="1">
      <alignment horizontal="right"/>
    </xf>
    <xf numFmtId="2" fontId="5" fillId="0" borderId="57" xfId="2" applyNumberFormat="1" applyFont="1" applyBorder="1" applyAlignment="1">
      <alignment horizontal="right"/>
    </xf>
    <xf numFmtId="0" fontId="5" fillId="0" borderId="57" xfId="2" applyFont="1" applyBorder="1" applyAlignment="1">
      <alignment horizontal="right"/>
    </xf>
    <xf numFmtId="0" fontId="13" fillId="0" borderId="59" xfId="2" applyFont="1" applyBorder="1" applyAlignment="1">
      <alignment horizontal="left" vertical="top"/>
    </xf>
    <xf numFmtId="0" fontId="13" fillId="0" borderId="60" xfId="2" applyFont="1" applyBorder="1" applyAlignment="1">
      <alignment horizontal="right"/>
    </xf>
    <xf numFmtId="164" fontId="13" fillId="0" borderId="60" xfId="2" applyNumberFormat="1" applyFont="1" applyBorder="1" applyAlignment="1">
      <alignment horizontal="right"/>
    </xf>
    <xf numFmtId="0" fontId="5" fillId="0" borderId="60" xfId="2" applyFont="1" applyBorder="1" applyAlignment="1">
      <alignment horizontal="right"/>
    </xf>
    <xf numFmtId="2" fontId="13" fillId="0" borderId="60" xfId="2" applyNumberFormat="1" applyFont="1" applyBorder="1" applyAlignment="1">
      <alignment horizontal="right"/>
    </xf>
    <xf numFmtId="0" fontId="17" fillId="0" borderId="60" xfId="2" applyBorder="1" applyAlignment="1">
      <alignment horizontal="right"/>
    </xf>
    <xf numFmtId="0" fontId="13" fillId="0" borderId="53" xfId="2" applyFont="1" applyBorder="1" applyAlignment="1">
      <alignment horizontal="left" vertical="top"/>
    </xf>
    <xf numFmtId="0" fontId="13" fillId="0" borderId="54" xfId="2" applyFont="1" applyBorder="1" applyAlignment="1">
      <alignment horizontal="right"/>
    </xf>
    <xf numFmtId="164" fontId="13" fillId="0" borderId="54" xfId="2" applyNumberFormat="1" applyFont="1" applyBorder="1" applyAlignment="1">
      <alignment horizontal="right"/>
    </xf>
    <xf numFmtId="0" fontId="5" fillId="0" borderId="54" xfId="2" applyFont="1" applyBorder="1" applyAlignment="1">
      <alignment horizontal="right"/>
    </xf>
    <xf numFmtId="2" fontId="13" fillId="0" borderId="54" xfId="2" applyNumberFormat="1" applyFont="1" applyBorder="1" applyAlignment="1">
      <alignment horizontal="right"/>
    </xf>
    <xf numFmtId="0" fontId="17" fillId="0" borderId="54" xfId="2" applyBorder="1" applyAlignment="1">
      <alignment horizontal="right"/>
    </xf>
    <xf numFmtId="0" fontId="13" fillId="0" borderId="47" xfId="2" applyFont="1" applyBorder="1" applyAlignment="1">
      <alignment horizontal="left" vertical="top"/>
    </xf>
    <xf numFmtId="0" fontId="13" fillId="0" borderId="48" xfId="2" applyFont="1" applyBorder="1" applyAlignment="1">
      <alignment horizontal="right"/>
    </xf>
    <xf numFmtId="164" fontId="13" fillId="0" borderId="48" xfId="2" applyNumberFormat="1" applyFont="1" applyBorder="1" applyAlignment="1">
      <alignment horizontal="right"/>
    </xf>
    <xf numFmtId="0" fontId="5" fillId="0" borderId="48" xfId="2" applyFont="1" applyBorder="1" applyAlignment="1">
      <alignment horizontal="right"/>
    </xf>
    <xf numFmtId="2" fontId="13" fillId="0" borderId="48" xfId="2" applyNumberFormat="1" applyFont="1" applyBorder="1" applyAlignment="1">
      <alignment horizontal="right"/>
    </xf>
    <xf numFmtId="0" fontId="17" fillId="0" borderId="48" xfId="2" applyBorder="1" applyAlignment="1">
      <alignment horizontal="right"/>
    </xf>
    <xf numFmtId="0" fontId="5" fillId="0" borderId="27" xfId="2" applyFont="1"/>
    <xf numFmtId="0" fontId="13" fillId="0" borderId="63" xfId="2" applyFont="1" applyBorder="1" applyAlignment="1">
      <alignment horizontal="right"/>
    </xf>
    <xf numFmtId="0" fontId="4" fillId="0" borderId="59" xfId="1" applyFont="1" applyBorder="1" applyAlignment="1">
      <alignment horizontal="right"/>
    </xf>
    <xf numFmtId="0" fontId="4" fillId="0" borderId="54" xfId="2" applyFont="1" applyBorder="1" applyAlignment="1">
      <alignment horizontal="right"/>
    </xf>
    <xf numFmtId="0" fontId="4" fillId="0" borderId="60" xfId="2" applyFont="1" applyBorder="1" applyAlignment="1">
      <alignment horizontal="right"/>
    </xf>
    <xf numFmtId="0" fontId="4" fillId="0" borderId="48" xfId="2" applyFont="1" applyBorder="1" applyAlignment="1">
      <alignment horizontal="right"/>
    </xf>
    <xf numFmtId="0" fontId="5" fillId="0" borderId="65" xfId="2" applyFont="1" applyBorder="1" applyAlignment="1">
      <alignment horizontal="right"/>
    </xf>
    <xf numFmtId="0" fontId="5" fillId="0" borderId="66" xfId="2" applyFont="1" applyBorder="1" applyAlignment="1">
      <alignment horizontal="right"/>
    </xf>
    <xf numFmtId="0" fontId="13" fillId="7" borderId="67" xfId="2" applyFont="1" applyFill="1" applyBorder="1" applyAlignment="1">
      <alignment horizontal="right"/>
    </xf>
    <xf numFmtId="2" fontId="13" fillId="7" borderId="67" xfId="2" applyNumberFormat="1" applyFont="1" applyFill="1" applyBorder="1" applyAlignment="1">
      <alignment horizontal="right"/>
    </xf>
    <xf numFmtId="0" fontId="13" fillId="7" borderId="69" xfId="2" applyFont="1" applyFill="1" applyBorder="1" applyAlignment="1">
      <alignment horizontal="right"/>
    </xf>
    <xf numFmtId="2" fontId="13" fillId="7" borderId="69" xfId="2" applyNumberFormat="1" applyFont="1" applyFill="1" applyBorder="1" applyAlignment="1">
      <alignment horizontal="right"/>
    </xf>
    <xf numFmtId="0" fontId="17" fillId="6" borderId="69" xfId="2" applyFill="1" applyBorder="1" applyAlignment="1">
      <alignment horizontal="right"/>
    </xf>
    <xf numFmtId="0" fontId="13" fillId="7" borderId="71" xfId="2" applyFont="1" applyFill="1" applyBorder="1" applyAlignment="1">
      <alignment horizontal="right"/>
    </xf>
    <xf numFmtId="2" fontId="13" fillId="7" borderId="71" xfId="2" applyNumberFormat="1" applyFont="1" applyFill="1" applyBorder="1" applyAlignment="1">
      <alignment horizontal="right"/>
    </xf>
    <xf numFmtId="0" fontId="17" fillId="6" borderId="71" xfId="2" applyFill="1" applyBorder="1" applyAlignment="1">
      <alignment horizontal="right"/>
    </xf>
    <xf numFmtId="0" fontId="4" fillId="6" borderId="67" xfId="2" applyFont="1" applyFill="1" applyBorder="1" applyAlignment="1">
      <alignment horizontal="right"/>
    </xf>
    <xf numFmtId="0" fontId="4" fillId="6" borderId="69" xfId="2" applyFont="1" applyFill="1" applyBorder="1" applyAlignment="1">
      <alignment horizontal="right"/>
    </xf>
    <xf numFmtId="0" fontId="4" fillId="6" borderId="71" xfId="2" applyFont="1" applyFill="1" applyBorder="1" applyAlignment="1">
      <alignment horizontal="right"/>
    </xf>
    <xf numFmtId="0" fontId="4" fillId="8" borderId="62" xfId="2" applyFont="1" applyFill="1" applyBorder="1" applyAlignment="1">
      <alignment horizontal="right"/>
    </xf>
    <xf numFmtId="0" fontId="13" fillId="0" borderId="74" xfId="1" applyFont="1" applyBorder="1" applyAlignment="1">
      <alignment horizontal="right"/>
    </xf>
    <xf numFmtId="2" fontId="13" fillId="0" borderId="74" xfId="1" applyNumberFormat="1" applyFont="1" applyBorder="1" applyAlignment="1">
      <alignment horizontal="right"/>
    </xf>
    <xf numFmtId="0" fontId="16" fillId="0" borderId="74" xfId="1" applyFont="1" applyBorder="1" applyAlignment="1">
      <alignment horizontal="right"/>
    </xf>
    <xf numFmtId="0" fontId="4" fillId="0" borderId="73" xfId="1" applyFont="1" applyBorder="1" applyAlignment="1">
      <alignment horizontal="right"/>
    </xf>
    <xf numFmtId="0" fontId="13" fillId="3" borderId="36" xfId="2" applyFont="1" applyFill="1" applyBorder="1" applyAlignment="1">
      <alignment horizontal="right"/>
    </xf>
    <xf numFmtId="0" fontId="4" fillId="0" borderId="64" xfId="2" applyFont="1" applyBorder="1" applyAlignment="1">
      <alignment horizontal="right"/>
    </xf>
    <xf numFmtId="0" fontId="3" fillId="8" borderId="36" xfId="1" applyFont="1" applyFill="1" applyBorder="1" applyAlignment="1">
      <alignment horizontal="right"/>
    </xf>
    <xf numFmtId="0" fontId="13" fillId="10" borderId="39" xfId="0" applyFont="1" applyFill="1" applyBorder="1" applyAlignment="1">
      <alignment horizontal="right"/>
    </xf>
    <xf numFmtId="0" fontId="0" fillId="11" borderId="34" xfId="0" applyFill="1" applyBorder="1" applyAlignment="1">
      <alignment horizontal="right"/>
    </xf>
    <xf numFmtId="0" fontId="13" fillId="10" borderId="34" xfId="0" applyFont="1" applyFill="1" applyBorder="1" applyAlignment="1">
      <alignment horizontal="right"/>
    </xf>
    <xf numFmtId="0" fontId="13" fillId="2" borderId="35" xfId="0" applyFont="1" applyFill="1" applyBorder="1" applyAlignment="1">
      <alignment horizontal="left" vertical="top"/>
    </xf>
    <xf numFmtId="0" fontId="13" fillId="2" borderId="36" xfId="0" applyFont="1" applyFill="1" applyBorder="1" applyAlignment="1">
      <alignment horizontal="left" vertical="top"/>
    </xf>
    <xf numFmtId="0" fontId="3" fillId="2" borderId="36" xfId="0" applyFont="1" applyFill="1" applyBorder="1" applyAlignment="1">
      <alignment horizontal="left" vertical="top"/>
    </xf>
    <xf numFmtId="0" fontId="13" fillId="2" borderId="37" xfId="0" applyFont="1" applyFill="1" applyBorder="1" applyAlignment="1">
      <alignment horizontal="left" vertical="top"/>
    </xf>
    <xf numFmtId="0" fontId="13" fillId="12" borderId="31" xfId="2" applyFont="1" applyFill="1" applyBorder="1" applyAlignment="1">
      <alignment vertical="top" wrapText="1"/>
    </xf>
    <xf numFmtId="0" fontId="13" fillId="12" borderId="31" xfId="2" applyFont="1" applyFill="1" applyBorder="1" applyAlignment="1">
      <alignment horizontal="left" vertical="top" wrapText="1"/>
    </xf>
    <xf numFmtId="0" fontId="13" fillId="11" borderId="25" xfId="2" applyFont="1" applyFill="1" applyBorder="1" applyAlignment="1">
      <alignment horizontal="right"/>
    </xf>
    <xf numFmtId="0" fontId="4" fillId="11" borderId="25" xfId="2" applyFont="1" applyFill="1" applyBorder="1" applyAlignment="1">
      <alignment horizontal="right"/>
    </xf>
    <xf numFmtId="0" fontId="13" fillId="11" borderId="26" xfId="2" applyFont="1" applyFill="1" applyBorder="1" applyAlignment="1">
      <alignment horizontal="right"/>
    </xf>
    <xf numFmtId="0" fontId="13" fillId="11" borderId="27" xfId="2" applyFont="1" applyFill="1" applyAlignment="1">
      <alignment horizontal="right"/>
    </xf>
    <xf numFmtId="0" fontId="4" fillId="11" borderId="27" xfId="2" applyFont="1" applyFill="1" applyAlignment="1">
      <alignment horizontal="right"/>
    </xf>
    <xf numFmtId="0" fontId="13" fillId="11" borderId="7" xfId="2" applyFont="1" applyFill="1" applyBorder="1" applyAlignment="1">
      <alignment horizontal="right"/>
    </xf>
    <xf numFmtId="0" fontId="13" fillId="11" borderId="16" xfId="2" applyFont="1" applyFill="1" applyBorder="1" applyAlignment="1">
      <alignment horizontal="right"/>
    </xf>
    <xf numFmtId="0" fontId="4" fillId="11" borderId="16" xfId="2" applyFont="1" applyFill="1" applyBorder="1" applyAlignment="1">
      <alignment horizontal="right"/>
    </xf>
    <xf numFmtId="0" fontId="13" fillId="11" borderId="17" xfId="2" applyFont="1" applyFill="1" applyBorder="1" applyAlignment="1">
      <alignment horizontal="right"/>
    </xf>
    <xf numFmtId="0" fontId="13" fillId="10" borderId="68" xfId="2" applyFont="1" applyFill="1" applyBorder="1" applyAlignment="1">
      <alignment horizontal="right" vertical="top"/>
    </xf>
    <xf numFmtId="0" fontId="13" fillId="10" borderId="70" xfId="2" applyFont="1" applyFill="1" applyBorder="1" applyAlignment="1">
      <alignment horizontal="right" vertical="top"/>
    </xf>
    <xf numFmtId="0" fontId="13" fillId="10" borderId="72" xfId="2" applyFont="1" applyFill="1" applyBorder="1" applyAlignment="1">
      <alignment horizontal="right" vertical="top"/>
    </xf>
    <xf numFmtId="0" fontId="13" fillId="0" borderId="46" xfId="2" applyFont="1" applyBorder="1" applyAlignment="1">
      <alignment horizontal="right"/>
    </xf>
    <xf numFmtId="0" fontId="3" fillId="0" borderId="54" xfId="2" applyFont="1" applyBorder="1" applyAlignment="1">
      <alignment horizontal="right"/>
    </xf>
    <xf numFmtId="2" fontId="13" fillId="11" borderId="54" xfId="1" applyNumberFormat="1" applyFont="1" applyFill="1" applyBorder="1" applyAlignment="1">
      <alignment horizontal="right"/>
    </xf>
    <xf numFmtId="2" fontId="13" fillId="11" borderId="60" xfId="1" applyNumberFormat="1" applyFont="1" applyFill="1" applyBorder="1" applyAlignment="1">
      <alignment horizontal="right"/>
    </xf>
    <xf numFmtId="2" fontId="13" fillId="11" borderId="74" xfId="1" applyNumberFormat="1" applyFont="1" applyFill="1" applyBorder="1" applyAlignment="1">
      <alignment horizontal="right"/>
    </xf>
    <xf numFmtId="2" fontId="13" fillId="11" borderId="48" xfId="1" applyNumberFormat="1" applyFont="1" applyFill="1" applyBorder="1" applyAlignment="1">
      <alignment horizontal="right"/>
    </xf>
    <xf numFmtId="11" fontId="5" fillId="6" borderId="27" xfId="1" applyNumberFormat="1" applyFill="1"/>
    <xf numFmtId="0" fontId="13" fillId="11" borderId="54" xfId="1" applyFont="1" applyFill="1" applyBorder="1" applyAlignment="1">
      <alignment horizontal="right"/>
    </xf>
    <xf numFmtId="0" fontId="13" fillId="11" borderId="60" xfId="1" applyFont="1" applyFill="1" applyBorder="1" applyAlignment="1">
      <alignment horizontal="right"/>
    </xf>
    <xf numFmtId="0" fontId="13" fillId="11" borderId="74" xfId="1" applyFont="1" applyFill="1" applyBorder="1" applyAlignment="1">
      <alignment horizontal="right"/>
    </xf>
    <xf numFmtId="0" fontId="13" fillId="11" borderId="48" xfId="1" applyFont="1" applyFill="1" applyBorder="1" applyAlignment="1">
      <alignment horizontal="right"/>
    </xf>
    <xf numFmtId="0" fontId="13" fillId="11" borderId="55" xfId="1" applyFont="1" applyFill="1" applyBorder="1" applyAlignment="1">
      <alignment horizontal="right"/>
    </xf>
    <xf numFmtId="0" fontId="13" fillId="11" borderId="61" xfId="1" applyFont="1" applyFill="1" applyBorder="1" applyAlignment="1">
      <alignment horizontal="right"/>
    </xf>
    <xf numFmtId="0" fontId="13" fillId="11" borderId="75" xfId="1" applyFont="1" applyFill="1" applyBorder="1" applyAlignment="1">
      <alignment horizontal="right"/>
    </xf>
    <xf numFmtId="2" fontId="13" fillId="11" borderId="54" xfId="2" applyNumberFormat="1" applyFont="1" applyFill="1" applyBorder="1" applyAlignment="1">
      <alignment horizontal="right"/>
    </xf>
    <xf numFmtId="2" fontId="13" fillId="11" borderId="60" xfId="2" applyNumberFormat="1" applyFont="1" applyFill="1" applyBorder="1" applyAlignment="1">
      <alignment horizontal="right"/>
    </xf>
    <xf numFmtId="2" fontId="13" fillId="11" borderId="48" xfId="2" applyNumberFormat="1" applyFont="1" applyFill="1" applyBorder="1" applyAlignment="1">
      <alignment horizontal="right"/>
    </xf>
    <xf numFmtId="0" fontId="13" fillId="0" borderId="34" xfId="0" applyFont="1" applyBorder="1" applyAlignment="1">
      <alignment horizontal="right" vertical="center"/>
    </xf>
    <xf numFmtId="0" fontId="13" fillId="10" borderId="34" xfId="0" applyFont="1" applyFill="1" applyBorder="1" applyAlignment="1">
      <alignment horizontal="right" wrapText="1"/>
    </xf>
    <xf numFmtId="0" fontId="13" fillId="11" borderId="49" xfId="1" applyFont="1" applyFill="1" applyBorder="1" applyAlignment="1">
      <alignment horizontal="right"/>
    </xf>
    <xf numFmtId="0" fontId="9" fillId="13" borderId="76" xfId="0" applyFont="1" applyFill="1" applyBorder="1" applyAlignment="1">
      <alignment wrapText="1"/>
    </xf>
    <xf numFmtId="0" fontId="2" fillId="0" borderId="0" xfId="0" applyFont="1" applyAlignment="1">
      <alignment wrapText="1"/>
    </xf>
  </cellXfs>
  <cellStyles count="3">
    <cellStyle name="Normal" xfId="0" builtinId="0"/>
    <cellStyle name="Normal 2" xfId="1" xr:uid="{854A3DD3-C381-4336-B44D-4705C9868E26}"/>
    <cellStyle name="Normal 3" xfId="2" xr:uid="{524D5D47-F55D-4F6D-B3C0-639D9F4BF4B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29</xdr:row>
      <xdr:rowOff>0</xdr:rowOff>
    </xdr:from>
    <xdr:to>
      <xdr:col>12</xdr:col>
      <xdr:colOff>789214</xdr:colOff>
      <xdr:row>44</xdr:row>
      <xdr:rowOff>166007</xdr:rowOff>
    </xdr:to>
    <xdr:pic>
      <xdr:nvPicPr>
        <xdr:cNvPr id="3" name="Graphic 2">
          <a:extLst>
            <a:ext uri="{FF2B5EF4-FFF2-40B4-BE49-F238E27FC236}">
              <a16:creationId xmlns:a16="http://schemas.microsoft.com/office/drawing/2014/main" id="{E514E372-0318-E856-1F71-7C84DBCCF3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847143" y="7097486"/>
          <a:ext cx="6667500" cy="4095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6347460</xdr:colOff>
      <xdr:row>25</xdr:row>
      <xdr:rowOff>30480</xdr:rowOff>
    </xdr:from>
    <xdr:to>
      <xdr:col>0</xdr:col>
      <xdr:colOff>9404985</xdr:colOff>
      <xdr:row>39</xdr:row>
      <xdr:rowOff>99060</xdr:rowOff>
    </xdr:to>
    <xdr:pic>
      <xdr:nvPicPr>
        <xdr:cNvPr id="5" name="Graphic 4">
          <a:extLst>
            <a:ext uri="{FF2B5EF4-FFF2-40B4-BE49-F238E27FC236}">
              <a16:creationId xmlns:a16="http://schemas.microsoft.com/office/drawing/2014/main" id="{09584482-93A8-1792-E9CE-A682488F763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47460" y="4899660"/>
          <a:ext cx="3057525" cy="26289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baptiste mabboux" id="{9C0887DE-B5FD-4FA6-BE7D-DE22D52708E1}" userId="f3aee38b355b722b" providerId="Windows Liv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K22" dT="2026-05-06T08:52:25.00" personId="{9C0887DE-B5FD-4FA6-BE7D-DE22D52708E1}" id="{1707213C-97FC-4C9D-94F6-0A0B3239384F}">
    <text>Computed from Q = m*cp*dT</text>
  </threadedComment>
  <threadedComment ref="K23" dT="2026-05-06T08:52:53.70" personId="{9C0887DE-B5FD-4FA6-BE7D-DE22D52708E1}" id="{5B5892F7-A35F-4BB6-8D40-7A65CCF379D5}">
    <text>Computed from Q = m*L (latent heat)</text>
  </threadedComment>
</ThreadedComment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2:B10"/>
  <sheetViews>
    <sheetView showGridLines="0" zoomScale="55" zoomScaleNormal="55" workbookViewId="0">
      <selection activeCell="B14" sqref="B14"/>
    </sheetView>
  </sheetViews>
  <sheetFormatPr defaultColWidth="14.44140625" defaultRowHeight="15" customHeight="1" x14ac:dyDescent="0.3"/>
  <cols>
    <col min="1" max="1" width="18.109375" bestFit="1" customWidth="1"/>
    <col min="2" max="2" width="255.77734375" style="18" customWidth="1"/>
    <col min="3" max="3" width="29.44140625" customWidth="1"/>
  </cols>
  <sheetData>
    <row r="2" spans="1:2" ht="37.799999999999997" customHeight="1" x14ac:dyDescent="0.3">
      <c r="A2" s="4" t="s">
        <v>0</v>
      </c>
      <c r="B2" s="19" t="s">
        <v>1</v>
      </c>
    </row>
    <row r="3" spans="1:2" ht="15" customHeight="1" x14ac:dyDescent="0.3">
      <c r="A3" s="16"/>
      <c r="B3" s="17"/>
    </row>
    <row r="4" spans="1:2" ht="23.55" customHeight="1" x14ac:dyDescent="0.3">
      <c r="A4" s="4" t="s">
        <v>127</v>
      </c>
      <c r="B4" s="20" t="s">
        <v>128</v>
      </c>
    </row>
    <row r="5" spans="1:2" ht="14.4" x14ac:dyDescent="0.3">
      <c r="A5" s="16"/>
      <c r="B5" s="17"/>
    </row>
    <row r="6" spans="1:2" ht="72.45" customHeight="1" x14ac:dyDescent="0.3">
      <c r="A6" s="4" t="s">
        <v>2</v>
      </c>
      <c r="B6" s="20" t="s">
        <v>129</v>
      </c>
    </row>
    <row r="7" spans="1:2" ht="14.4" x14ac:dyDescent="0.3">
      <c r="A7" s="16"/>
      <c r="B7" s="17"/>
    </row>
    <row r="8" spans="1:2" ht="39.450000000000003" customHeight="1" x14ac:dyDescent="0.3">
      <c r="A8" s="4" t="s">
        <v>3</v>
      </c>
      <c r="B8" s="19" t="s">
        <v>4</v>
      </c>
    </row>
    <row r="9" spans="1:2" ht="14.4" x14ac:dyDescent="0.3">
      <c r="A9" s="16"/>
      <c r="B9" s="17"/>
    </row>
    <row r="10" spans="1:2" ht="55.8" customHeight="1" x14ac:dyDescent="0.3">
      <c r="A10" s="4" t="s">
        <v>5</v>
      </c>
      <c r="B10" s="20" t="s">
        <v>130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23"/>
  <sheetViews>
    <sheetView showGridLines="0" zoomScale="68" zoomScaleNormal="55" workbookViewId="0">
      <selection activeCell="B18" sqref="B18"/>
    </sheetView>
  </sheetViews>
  <sheetFormatPr defaultColWidth="14.44140625" defaultRowHeight="15" customHeight="1" x14ac:dyDescent="0.3"/>
  <cols>
    <col min="1" max="1" width="59" bestFit="1" customWidth="1"/>
    <col min="2" max="2" width="90.77734375" bestFit="1" customWidth="1"/>
    <col min="3" max="3" width="17.77734375" customWidth="1"/>
    <col min="4" max="4" width="12.6640625" customWidth="1"/>
    <col min="5" max="5" width="4.6640625" customWidth="1"/>
    <col min="6" max="6" width="7" customWidth="1"/>
    <col min="7" max="26" width="10.6640625" customWidth="1"/>
    <col min="27" max="16384" width="14.44140625" style="6"/>
  </cols>
  <sheetData>
    <row r="1" spans="1:4" ht="14.4" x14ac:dyDescent="0.3">
      <c r="A1" s="8" t="s">
        <v>71</v>
      </c>
      <c r="B1" s="223"/>
      <c r="C1" s="2"/>
      <c r="D1" s="3" t="s">
        <v>105</v>
      </c>
    </row>
    <row r="2" spans="1:4" ht="14.4" x14ac:dyDescent="0.3">
      <c r="A2" s="9" t="s">
        <v>72</v>
      </c>
      <c r="B2" s="10" t="s">
        <v>156</v>
      </c>
      <c r="D2" s="21" t="s">
        <v>6</v>
      </c>
    </row>
    <row r="3" spans="1:4" ht="14.4" x14ac:dyDescent="0.3">
      <c r="A3" s="9" t="s">
        <v>73</v>
      </c>
      <c r="B3" s="10" t="s">
        <v>157</v>
      </c>
      <c r="C3" s="6"/>
      <c r="D3" s="22" t="s">
        <v>136</v>
      </c>
    </row>
    <row r="4" spans="1:4" ht="14.4" x14ac:dyDescent="0.3">
      <c r="A4" s="9" t="s">
        <v>85</v>
      </c>
      <c r="B4" s="10" t="s">
        <v>86</v>
      </c>
      <c r="C4" s="6"/>
      <c r="D4" s="22" t="s">
        <v>137</v>
      </c>
    </row>
    <row r="5" spans="1:4" ht="14.4" x14ac:dyDescent="0.3">
      <c r="A5" s="9" t="s">
        <v>76</v>
      </c>
      <c r="B5" s="23">
        <v>46128</v>
      </c>
      <c r="C5" s="6"/>
      <c r="D5" s="21" t="s">
        <v>9</v>
      </c>
    </row>
    <row r="6" spans="1:4" ht="14.4" x14ac:dyDescent="0.3">
      <c r="A6" s="9" t="s">
        <v>80</v>
      </c>
      <c r="B6" s="23">
        <v>46128</v>
      </c>
      <c r="C6" s="6"/>
      <c r="D6" s="21" t="s">
        <v>13</v>
      </c>
    </row>
    <row r="7" spans="1:4" ht="14.4" x14ac:dyDescent="0.3">
      <c r="A7" s="9" t="s">
        <v>88</v>
      </c>
      <c r="B7" s="10" t="s">
        <v>89</v>
      </c>
      <c r="D7" s="22" t="s">
        <v>138</v>
      </c>
    </row>
    <row r="8" spans="1:4" ht="14.4" x14ac:dyDescent="0.3">
      <c r="A8" s="9" t="s">
        <v>74</v>
      </c>
      <c r="B8" s="11" t="s">
        <v>99</v>
      </c>
      <c r="C8" s="6"/>
      <c r="D8" s="22" t="s">
        <v>134</v>
      </c>
    </row>
    <row r="9" spans="1:4" ht="14.4" x14ac:dyDescent="0.3">
      <c r="A9" s="9" t="s">
        <v>75</v>
      </c>
      <c r="B9" s="10" t="s">
        <v>8</v>
      </c>
      <c r="C9" s="6"/>
      <c r="D9" s="22" t="s">
        <v>135</v>
      </c>
    </row>
    <row r="10" spans="1:4" ht="14.4" x14ac:dyDescent="0.3">
      <c r="A10" s="9" t="s">
        <v>106</v>
      </c>
      <c r="B10" s="7">
        <v>1</v>
      </c>
      <c r="D10" s="22" t="s">
        <v>139</v>
      </c>
    </row>
    <row r="11" spans="1:4" ht="14.4" x14ac:dyDescent="0.3">
      <c r="A11" s="9" t="s">
        <v>78</v>
      </c>
      <c r="B11" s="10" t="s">
        <v>10</v>
      </c>
      <c r="C11" s="6"/>
      <c r="D11" s="22" t="s">
        <v>140</v>
      </c>
    </row>
    <row r="12" spans="1:4" ht="28.8" x14ac:dyDescent="0.3">
      <c r="A12" s="12" t="s">
        <v>82</v>
      </c>
      <c r="B12" s="261" t="str">
        <f>TEXT(W_bal,0)&amp;"kW of electricity produced"</f>
        <v>34kW of electricity produced</v>
      </c>
      <c r="C12" s="1"/>
      <c r="D12" s="22" t="s">
        <v>141</v>
      </c>
    </row>
    <row r="13" spans="1:4" ht="21.45" customHeight="1" x14ac:dyDescent="0.3">
      <c r="A13" s="12" t="s">
        <v>48</v>
      </c>
      <c r="B13" s="10">
        <v>9</v>
      </c>
      <c r="C13" s="1"/>
      <c r="D13" s="22" t="s">
        <v>142</v>
      </c>
    </row>
    <row r="14" spans="1:4" ht="14.4" x14ac:dyDescent="0.3">
      <c r="A14" s="9" t="s">
        <v>81</v>
      </c>
      <c r="B14" s="225" t="s">
        <v>251</v>
      </c>
      <c r="C14" s="5"/>
      <c r="D14" s="21" t="s">
        <v>14</v>
      </c>
    </row>
    <row r="15" spans="1:4" ht="14.4" x14ac:dyDescent="0.3">
      <c r="A15" s="12" t="s">
        <v>15</v>
      </c>
      <c r="B15" s="13" t="s">
        <v>250</v>
      </c>
      <c r="C15" s="1"/>
      <c r="D15" s="21" t="s">
        <v>132</v>
      </c>
    </row>
    <row r="16" spans="1:4" ht="14.4" x14ac:dyDescent="0.3">
      <c r="A16" s="12" t="s">
        <v>83</v>
      </c>
      <c r="B16" s="224"/>
      <c r="C16" s="1"/>
      <c r="D16" s="21" t="s">
        <v>131</v>
      </c>
    </row>
    <row r="17" spans="1:4" ht="14.4" x14ac:dyDescent="0.3">
      <c r="A17" s="12" t="s">
        <v>87</v>
      </c>
      <c r="B17" s="224"/>
      <c r="C17" s="1"/>
      <c r="D17" s="22" t="s">
        <v>143</v>
      </c>
    </row>
    <row r="18" spans="1:4" ht="20.55" customHeight="1" x14ac:dyDescent="0.3">
      <c r="A18" s="9" t="s">
        <v>77</v>
      </c>
      <c r="B18" s="262" t="s">
        <v>307</v>
      </c>
      <c r="C18" s="6"/>
      <c r="D18" s="22" t="s">
        <v>144</v>
      </c>
    </row>
    <row r="19" spans="1:4" ht="14.4" x14ac:dyDescent="0.3">
      <c r="A19" s="9" t="s">
        <v>79</v>
      </c>
      <c r="B19" s="10" t="s">
        <v>158</v>
      </c>
      <c r="C19" s="6"/>
      <c r="D19" s="21" t="s">
        <v>11</v>
      </c>
    </row>
    <row r="20" spans="1:4" ht="14.4" x14ac:dyDescent="0.3">
      <c r="A20" s="9" t="s">
        <v>104</v>
      </c>
      <c r="B20" s="10" t="s">
        <v>158</v>
      </c>
      <c r="C20" s="6"/>
      <c r="D20" s="22" t="s">
        <v>145</v>
      </c>
    </row>
    <row r="21" spans="1:4" ht="15.75" customHeight="1" x14ac:dyDescent="0.3">
      <c r="A21" s="12" t="s">
        <v>84</v>
      </c>
      <c r="B21" s="10" t="s">
        <v>159</v>
      </c>
      <c r="C21" s="1"/>
      <c r="D21" s="22" t="s">
        <v>146</v>
      </c>
    </row>
    <row r="22" spans="1:4" ht="14.4" x14ac:dyDescent="0.3">
      <c r="A22" s="9" t="s">
        <v>12</v>
      </c>
      <c r="B22" s="224"/>
      <c r="C22" s="6"/>
      <c r="D22" s="22" t="s">
        <v>147</v>
      </c>
    </row>
    <row r="23" spans="1:4" ht="15.75" customHeight="1" thickBot="1" x14ac:dyDescent="0.35">
      <c r="A23" s="14" t="s">
        <v>90</v>
      </c>
      <c r="B23" s="15" t="s">
        <v>102</v>
      </c>
      <c r="C23" s="1"/>
      <c r="D23" s="22" t="s">
        <v>133</v>
      </c>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2E254-FD12-40E2-BBF2-53733343A054}">
  <sheetPr codeName="Sheet3"/>
  <dimension ref="A1:P53"/>
  <sheetViews>
    <sheetView showGridLines="0" zoomScale="85" zoomScaleNormal="85" workbookViewId="0">
      <selection activeCell="C17" sqref="C17"/>
    </sheetView>
  </sheetViews>
  <sheetFormatPr defaultColWidth="14.44140625" defaultRowHeight="15" customHeight="1" x14ac:dyDescent="0.3"/>
  <cols>
    <col min="1" max="1" width="42.6640625" style="37" customWidth="1"/>
    <col min="2" max="2" width="19.44140625" style="37" bestFit="1" customWidth="1"/>
    <col min="3" max="3" width="17.33203125" style="37" customWidth="1"/>
    <col min="4" max="4" width="20.109375" style="37" bestFit="1" customWidth="1"/>
    <col min="5" max="5" width="19.44140625" style="37" bestFit="1" customWidth="1"/>
    <col min="6" max="6" width="23.44140625" style="37" customWidth="1"/>
    <col min="7" max="7" width="27" style="37" customWidth="1"/>
    <col min="8" max="8" width="23.44140625" style="37" customWidth="1"/>
    <col min="9" max="9" width="33.109375" style="37" bestFit="1" customWidth="1"/>
    <col min="10" max="10" width="27" style="37" customWidth="1"/>
    <col min="11" max="11" width="54.77734375" style="26" bestFit="1" customWidth="1"/>
    <col min="12" max="12" width="61.33203125" style="26" customWidth="1"/>
    <col min="13" max="13" width="16" style="26" customWidth="1"/>
    <col min="14" max="14" width="18.44140625" style="26" customWidth="1"/>
    <col min="15" max="15" width="14.33203125" style="26" customWidth="1"/>
    <col min="16" max="16" width="5.109375" style="26" customWidth="1"/>
    <col min="17" max="16384" width="14.44140625" style="26"/>
  </cols>
  <sheetData>
    <row r="1" spans="1:16" ht="15" customHeight="1" thickBot="1" x14ac:dyDescent="0.35"/>
    <row r="2" spans="1:16" thickBot="1" x14ac:dyDescent="0.35">
      <c r="A2" s="38" t="s">
        <v>70</v>
      </c>
      <c r="B2" s="29"/>
      <c r="C2" s="29"/>
      <c r="D2" s="29"/>
      <c r="E2" s="29"/>
      <c r="F2" s="29"/>
      <c r="G2" s="29"/>
      <c r="H2" s="29"/>
      <c r="I2" s="29"/>
      <c r="J2" s="29"/>
      <c r="K2" s="29"/>
      <c r="L2" s="46"/>
      <c r="M2" s="40"/>
      <c r="N2" s="40"/>
      <c r="O2" s="40"/>
      <c r="P2" s="40"/>
    </row>
    <row r="3" spans="1:16" thickBot="1" x14ac:dyDescent="0.35">
      <c r="A3" s="73" t="s">
        <v>16</v>
      </c>
      <c r="B3" s="74"/>
      <c r="C3" s="74"/>
      <c r="D3" s="74"/>
      <c r="E3" s="74"/>
      <c r="F3" s="74"/>
      <c r="G3" s="74"/>
      <c r="H3" s="74"/>
      <c r="I3" s="74"/>
      <c r="J3" s="74"/>
      <c r="K3" s="74"/>
      <c r="L3" s="75"/>
      <c r="M3" s="48"/>
      <c r="N3" s="40"/>
      <c r="O3" s="40"/>
      <c r="P3" s="40"/>
    </row>
    <row r="4" spans="1:16" customFormat="1" thickBot="1" x14ac:dyDescent="0.35">
      <c r="A4" s="226" t="s">
        <v>289</v>
      </c>
      <c r="B4" s="227" t="s">
        <v>17</v>
      </c>
      <c r="C4" s="227" t="s">
        <v>18</v>
      </c>
      <c r="D4" s="227" t="s">
        <v>152</v>
      </c>
      <c r="E4" s="227" t="s">
        <v>290</v>
      </c>
      <c r="F4" s="228" t="s">
        <v>20</v>
      </c>
      <c r="G4" s="227" t="s">
        <v>291</v>
      </c>
      <c r="H4" s="227" t="s">
        <v>21</v>
      </c>
      <c r="I4" s="227" t="s">
        <v>22</v>
      </c>
      <c r="J4" s="227" t="s">
        <v>23</v>
      </c>
      <c r="K4" s="227" t="s">
        <v>24</v>
      </c>
      <c r="L4" s="229" t="s">
        <v>15</v>
      </c>
    </row>
    <row r="5" spans="1:16" thickBot="1" x14ac:dyDescent="0.35">
      <c r="A5" s="95" t="s">
        <v>25</v>
      </c>
      <c r="B5" s="96" t="s">
        <v>240</v>
      </c>
      <c r="C5" s="96" t="s">
        <v>25</v>
      </c>
      <c r="D5" s="96" t="s">
        <v>26</v>
      </c>
      <c r="E5" s="97" t="s">
        <v>27</v>
      </c>
      <c r="F5" s="89" t="s">
        <v>27</v>
      </c>
      <c r="G5" s="97" t="s">
        <v>27</v>
      </c>
      <c r="H5" s="97" t="s">
        <v>27</v>
      </c>
      <c r="I5" s="97" t="s">
        <v>27</v>
      </c>
      <c r="J5" s="97" t="s">
        <v>27</v>
      </c>
      <c r="K5" s="97" t="s">
        <v>27</v>
      </c>
      <c r="L5" s="98" t="s">
        <v>292</v>
      </c>
      <c r="M5" s="37"/>
      <c r="N5" s="40"/>
      <c r="O5" s="40"/>
      <c r="P5" s="40"/>
    </row>
    <row r="6" spans="1:16" thickBot="1" x14ac:dyDescent="0.35">
      <c r="A6" s="43"/>
      <c r="B6" s="43"/>
      <c r="C6" s="43"/>
      <c r="D6" s="43"/>
      <c r="E6" s="43"/>
      <c r="F6" s="43"/>
      <c r="G6" s="43"/>
      <c r="H6" s="43"/>
      <c r="I6" s="29"/>
      <c r="J6" s="29"/>
      <c r="K6" s="29"/>
      <c r="L6" s="29"/>
      <c r="N6" s="40"/>
      <c r="O6" s="40"/>
      <c r="P6" s="40"/>
    </row>
    <row r="7" spans="1:16" thickBot="1" x14ac:dyDescent="0.35">
      <c r="A7" s="38" t="s">
        <v>69</v>
      </c>
      <c r="B7" s="44"/>
      <c r="C7" s="44"/>
      <c r="D7" s="44"/>
      <c r="E7" s="44"/>
      <c r="F7" s="44"/>
      <c r="G7" s="44"/>
      <c r="H7" s="44"/>
      <c r="I7" s="29"/>
      <c r="J7" s="36"/>
      <c r="K7" s="36"/>
      <c r="L7" s="36"/>
      <c r="M7" s="40"/>
      <c r="N7" s="40"/>
      <c r="O7" s="40"/>
      <c r="P7" s="40"/>
    </row>
    <row r="8" spans="1:16" thickBot="1" x14ac:dyDescent="0.35">
      <c r="A8" s="41" t="s">
        <v>28</v>
      </c>
      <c r="B8" s="42"/>
      <c r="C8" s="42"/>
      <c r="D8" s="42"/>
      <c r="E8" s="42"/>
      <c r="F8" s="42"/>
      <c r="G8" s="42"/>
      <c r="H8" s="42"/>
      <c r="I8" s="42"/>
      <c r="J8" s="42"/>
      <c r="K8" s="42"/>
      <c r="L8" s="86"/>
      <c r="M8" s="39"/>
      <c r="N8" s="40"/>
      <c r="O8" s="40"/>
      <c r="P8" s="40"/>
    </row>
    <row r="9" spans="1:16" customFormat="1" thickBot="1" x14ac:dyDescent="0.35">
      <c r="A9" s="226" t="s">
        <v>289</v>
      </c>
      <c r="B9" s="227" t="s">
        <v>17</v>
      </c>
      <c r="C9" s="227" t="s">
        <v>18</v>
      </c>
      <c r="D9" s="227" t="s">
        <v>152</v>
      </c>
      <c r="E9" s="227" t="s">
        <v>290</v>
      </c>
      <c r="F9" s="228" t="s">
        <v>20</v>
      </c>
      <c r="G9" s="227" t="s">
        <v>291</v>
      </c>
      <c r="H9" s="227" t="s">
        <v>21</v>
      </c>
      <c r="I9" s="227" t="s">
        <v>22</v>
      </c>
      <c r="J9" s="227" t="s">
        <v>23</v>
      </c>
      <c r="K9" s="227" t="s">
        <v>24</v>
      </c>
      <c r="L9" s="229" t="s">
        <v>15</v>
      </c>
    </row>
    <row r="10" spans="1:16" thickBot="1" x14ac:dyDescent="0.35">
      <c r="A10" s="90" t="s">
        <v>27</v>
      </c>
      <c r="B10" s="91" t="s">
        <v>27</v>
      </c>
      <c r="C10" s="92" t="s">
        <v>27</v>
      </c>
      <c r="D10" s="92" t="s">
        <v>27</v>
      </c>
      <c r="E10" s="91" t="s">
        <v>27</v>
      </c>
      <c r="F10" s="91" t="s">
        <v>27</v>
      </c>
      <c r="G10" s="91" t="s">
        <v>27</v>
      </c>
      <c r="H10" s="93" t="s">
        <v>27</v>
      </c>
      <c r="I10" s="91" t="s">
        <v>27</v>
      </c>
      <c r="J10" s="91" t="s">
        <v>27</v>
      </c>
      <c r="K10" s="92" t="s">
        <v>27</v>
      </c>
      <c r="L10" s="94" t="s">
        <v>27</v>
      </c>
      <c r="M10" s="48"/>
      <c r="N10" s="40"/>
      <c r="O10" s="40"/>
      <c r="P10" s="40"/>
    </row>
    <row r="11" spans="1:16" ht="15.75" customHeight="1" thickBot="1" x14ac:dyDescent="0.35">
      <c r="A11" s="30"/>
      <c r="B11" s="30"/>
      <c r="C11" s="30"/>
      <c r="D11" s="30"/>
      <c r="E11" s="30"/>
      <c r="F11" s="30"/>
      <c r="G11" s="31"/>
      <c r="H11" s="29"/>
      <c r="I11" s="29"/>
      <c r="J11" s="32"/>
      <c r="K11" s="45"/>
      <c r="L11" s="45"/>
      <c r="M11" s="40"/>
      <c r="N11" s="40"/>
      <c r="O11" s="40"/>
      <c r="P11" s="40"/>
    </row>
    <row r="12" spans="1:16" ht="15.75" customHeight="1" thickBot="1" x14ac:dyDescent="0.35">
      <c r="A12" s="33"/>
      <c r="B12" s="33"/>
      <c r="C12" s="33"/>
      <c r="D12" s="33"/>
      <c r="E12" s="33"/>
      <c r="F12" s="34"/>
      <c r="G12" s="35"/>
      <c r="H12" s="46"/>
      <c r="I12" s="35"/>
      <c r="J12" s="36"/>
      <c r="K12" s="47"/>
      <c r="L12" s="40"/>
      <c r="M12" s="40"/>
      <c r="N12" s="40"/>
      <c r="O12" s="40"/>
      <c r="P12" s="40"/>
    </row>
    <row r="13" spans="1:16" ht="15.75" customHeight="1" thickBot="1" x14ac:dyDescent="0.35">
      <c r="K13" s="48"/>
      <c r="L13" s="48"/>
      <c r="M13" s="40"/>
      <c r="N13" s="40"/>
      <c r="O13" s="40"/>
      <c r="P13" s="40"/>
    </row>
    <row r="14" spans="1:16" ht="15.75" customHeight="1" thickBot="1" x14ac:dyDescent="0.35">
      <c r="L14" s="48"/>
      <c r="M14" s="40"/>
      <c r="N14" s="40"/>
      <c r="O14" s="40"/>
      <c r="P14" s="40"/>
    </row>
    <row r="15" spans="1:16" ht="15.75" customHeight="1" thickBot="1" x14ac:dyDescent="0.35">
      <c r="J15" s="49"/>
      <c r="K15" s="49"/>
      <c r="L15" s="50"/>
      <c r="M15" s="40"/>
      <c r="N15" s="40"/>
      <c r="O15" s="40"/>
      <c r="P15" s="40"/>
    </row>
    <row r="16" spans="1:16" ht="15.75" customHeight="1" thickBot="1" x14ac:dyDescent="0.35">
      <c r="J16" s="49"/>
      <c r="K16" s="49"/>
      <c r="L16" s="51"/>
      <c r="M16" s="40"/>
      <c r="N16" s="40"/>
      <c r="O16" s="40"/>
      <c r="P16" s="40"/>
    </row>
    <row r="17" spans="10:16" ht="15.75" customHeight="1" thickBot="1" x14ac:dyDescent="0.35">
      <c r="J17" s="49"/>
      <c r="K17" s="49"/>
      <c r="L17" s="37"/>
      <c r="M17" s="40"/>
      <c r="N17" s="40"/>
      <c r="O17" s="40"/>
      <c r="P17" s="40"/>
    </row>
    <row r="18" spans="10:16" ht="15.75" customHeight="1" thickBot="1" x14ac:dyDescent="0.35">
      <c r="J18" s="49"/>
      <c r="K18" s="49"/>
      <c r="L18" s="37"/>
      <c r="M18" s="40"/>
      <c r="N18" s="40"/>
      <c r="O18" s="40"/>
      <c r="P18" s="40"/>
    </row>
    <row r="19" spans="10:16" ht="15.75" customHeight="1" thickBot="1" x14ac:dyDescent="0.35">
      <c r="J19" s="49"/>
      <c r="K19" s="49"/>
      <c r="L19" s="37"/>
      <c r="M19" s="40"/>
      <c r="N19" s="40"/>
      <c r="O19" s="40"/>
      <c r="P19" s="40"/>
    </row>
    <row r="20" spans="10:16" ht="15.75" customHeight="1" thickBot="1" x14ac:dyDescent="0.35">
      <c r="J20" s="49"/>
      <c r="K20" s="49"/>
      <c r="L20" s="37"/>
      <c r="M20" s="40"/>
      <c r="N20" s="40"/>
      <c r="O20" s="40"/>
      <c r="P20" s="40"/>
    </row>
    <row r="21" spans="10:16" ht="15.75" customHeight="1" thickBot="1" x14ac:dyDescent="0.35">
      <c r="J21" s="49"/>
      <c r="K21" s="49"/>
      <c r="L21" s="37"/>
      <c r="M21" s="40"/>
      <c r="N21" s="40"/>
      <c r="O21" s="40"/>
      <c r="P21" s="40"/>
    </row>
    <row r="22" spans="10:16" ht="15.75" customHeight="1" x14ac:dyDescent="0.3"/>
    <row r="23" spans="10:16" ht="15.75" customHeight="1" x14ac:dyDescent="0.3"/>
    <row r="24" spans="10:16" ht="15.75" customHeight="1" x14ac:dyDescent="0.3"/>
    <row r="25" spans="10:16" ht="15.75" customHeight="1" x14ac:dyDescent="0.3"/>
    <row r="26" spans="10:16" ht="15.75" customHeight="1" x14ac:dyDescent="0.3"/>
    <row r="27" spans="10:16" ht="15.75" customHeight="1" x14ac:dyDescent="0.3"/>
    <row r="28" spans="10:16" ht="15.75" customHeight="1" x14ac:dyDescent="0.3"/>
    <row r="29" spans="10:16" ht="15.75" customHeight="1" x14ac:dyDescent="0.3"/>
    <row r="30" spans="10:16" ht="15.75" customHeight="1" x14ac:dyDescent="0.3"/>
    <row r="31" spans="10:16" ht="15.75" customHeight="1" x14ac:dyDescent="0.3"/>
    <row r="32" spans="10:16" ht="15.75" customHeight="1" x14ac:dyDescent="0.3"/>
    <row r="33" spans="11:16" s="37" customFormat="1" ht="15.75" customHeight="1" x14ac:dyDescent="0.3">
      <c r="K33" s="26"/>
      <c r="L33" s="26"/>
      <c r="M33" s="26"/>
      <c r="N33" s="26"/>
      <c r="O33" s="26"/>
      <c r="P33" s="26"/>
    </row>
    <row r="34" spans="11:16" s="37" customFormat="1" ht="15.75" customHeight="1" x14ac:dyDescent="0.3">
      <c r="K34" s="26"/>
      <c r="L34" s="26"/>
      <c r="M34" s="26"/>
      <c r="N34" s="26"/>
      <c r="O34" s="26"/>
      <c r="P34" s="26"/>
    </row>
    <row r="35" spans="11:16" s="37" customFormat="1" ht="15.75" customHeight="1" x14ac:dyDescent="0.3">
      <c r="K35" s="26"/>
      <c r="L35" s="26"/>
      <c r="M35" s="26"/>
      <c r="N35" s="26"/>
      <c r="O35" s="26"/>
      <c r="P35" s="26"/>
    </row>
    <row r="36" spans="11:16" s="37" customFormat="1" ht="15.75" customHeight="1" x14ac:dyDescent="0.3">
      <c r="K36" s="26"/>
      <c r="L36" s="26"/>
      <c r="M36" s="26"/>
      <c r="N36" s="26"/>
      <c r="O36" s="26"/>
      <c r="P36" s="26"/>
    </row>
    <row r="37" spans="11:16" s="37" customFormat="1" ht="15.75" customHeight="1" x14ac:dyDescent="0.3">
      <c r="K37" s="26"/>
      <c r="L37" s="26"/>
      <c r="M37" s="26"/>
      <c r="N37" s="26"/>
      <c r="O37" s="26"/>
      <c r="P37" s="26"/>
    </row>
    <row r="38" spans="11:16" s="37" customFormat="1" ht="15.75" customHeight="1" x14ac:dyDescent="0.3">
      <c r="K38" s="26"/>
      <c r="L38" s="26"/>
      <c r="M38" s="26"/>
      <c r="N38" s="26"/>
      <c r="O38" s="26"/>
      <c r="P38" s="26"/>
    </row>
    <row r="39" spans="11:16" s="37" customFormat="1" ht="15.75" customHeight="1" x14ac:dyDescent="0.3">
      <c r="K39" s="26"/>
      <c r="L39" s="26"/>
      <c r="M39" s="26"/>
      <c r="N39" s="26"/>
      <c r="O39" s="26"/>
      <c r="P39" s="26"/>
    </row>
    <row r="40" spans="11:16" s="37" customFormat="1" ht="15.75" customHeight="1" x14ac:dyDescent="0.3">
      <c r="K40" s="26"/>
      <c r="L40" s="26"/>
      <c r="M40" s="26"/>
      <c r="N40" s="26"/>
      <c r="O40" s="26"/>
      <c r="P40" s="26"/>
    </row>
    <row r="41" spans="11:16" s="37" customFormat="1" ht="15.75" customHeight="1" x14ac:dyDescent="0.3">
      <c r="K41" s="26"/>
      <c r="L41" s="26"/>
      <c r="M41" s="26"/>
      <c r="N41" s="26"/>
      <c r="O41" s="26"/>
      <c r="P41" s="26"/>
    </row>
    <row r="42" spans="11:16" s="37" customFormat="1" ht="15.75" customHeight="1" x14ac:dyDescent="0.3">
      <c r="K42" s="26"/>
      <c r="L42" s="26"/>
      <c r="M42" s="26"/>
      <c r="N42" s="26"/>
      <c r="O42" s="26"/>
      <c r="P42" s="26"/>
    </row>
    <row r="43" spans="11:16" s="37" customFormat="1" ht="15.75" customHeight="1" x14ac:dyDescent="0.3">
      <c r="K43" s="26"/>
      <c r="L43" s="26"/>
      <c r="M43" s="26"/>
      <c r="N43" s="26"/>
      <c r="O43" s="26"/>
      <c r="P43" s="26"/>
    </row>
    <row r="44" spans="11:16" s="37" customFormat="1" ht="15.75" customHeight="1" x14ac:dyDescent="0.3">
      <c r="K44" s="26"/>
      <c r="L44" s="26"/>
      <c r="M44" s="26"/>
      <c r="N44" s="26"/>
      <c r="O44" s="26"/>
      <c r="P44" s="26"/>
    </row>
    <row r="45" spans="11:16" s="37" customFormat="1" ht="15.75" customHeight="1" x14ac:dyDescent="0.3">
      <c r="K45" s="26"/>
      <c r="L45" s="26"/>
      <c r="M45" s="26"/>
      <c r="N45" s="26"/>
      <c r="O45" s="26"/>
      <c r="P45" s="26"/>
    </row>
    <row r="46" spans="11:16" s="37" customFormat="1" ht="15.75" customHeight="1" x14ac:dyDescent="0.3">
      <c r="K46" s="26"/>
      <c r="L46" s="26"/>
      <c r="M46" s="26"/>
      <c r="N46" s="26"/>
      <c r="O46" s="26"/>
      <c r="P46" s="26"/>
    </row>
    <row r="47" spans="11:16" s="37" customFormat="1" ht="15.75" customHeight="1" x14ac:dyDescent="0.3">
      <c r="K47" s="26"/>
      <c r="L47" s="26"/>
      <c r="M47" s="26"/>
      <c r="N47" s="26"/>
      <c r="O47" s="26"/>
      <c r="P47" s="26"/>
    </row>
    <row r="48" spans="11:16" s="37" customFormat="1" ht="15.75" customHeight="1" x14ac:dyDescent="0.3">
      <c r="K48" s="26"/>
      <c r="L48" s="26"/>
      <c r="M48" s="26"/>
      <c r="N48" s="26"/>
      <c r="O48" s="26"/>
      <c r="P48" s="26"/>
    </row>
    <row r="49" spans="11:16" s="37" customFormat="1" ht="15.75" customHeight="1" x14ac:dyDescent="0.3">
      <c r="K49" s="26"/>
      <c r="L49" s="26"/>
      <c r="M49" s="26"/>
      <c r="N49" s="26"/>
      <c r="O49" s="26"/>
      <c r="P49" s="26"/>
    </row>
    <row r="50" spans="11:16" s="37" customFormat="1" ht="15.75" customHeight="1" x14ac:dyDescent="0.3">
      <c r="K50" s="26"/>
      <c r="L50" s="26"/>
      <c r="M50" s="26"/>
      <c r="N50" s="26"/>
      <c r="O50" s="26"/>
      <c r="P50" s="26"/>
    </row>
    <row r="51" spans="11:16" s="37" customFormat="1" ht="15.75" customHeight="1" x14ac:dyDescent="0.3">
      <c r="K51" s="26"/>
      <c r="L51" s="26"/>
      <c r="M51" s="26"/>
      <c r="N51" s="26"/>
      <c r="O51" s="26"/>
      <c r="P51" s="26"/>
    </row>
    <row r="52" spans="11:16" s="37" customFormat="1" ht="15.75" customHeight="1" x14ac:dyDescent="0.3">
      <c r="K52" s="26"/>
      <c r="L52" s="26"/>
      <c r="M52" s="26"/>
      <c r="N52" s="26"/>
      <c r="O52" s="26"/>
      <c r="P52" s="26"/>
    </row>
    <row r="53" spans="11:16" s="37" customFormat="1" ht="15.75" customHeight="1" x14ac:dyDescent="0.3">
      <c r="K53" s="26"/>
      <c r="L53" s="26"/>
      <c r="M53" s="26"/>
      <c r="N53" s="26"/>
      <c r="O53" s="26"/>
      <c r="P53" s="26"/>
    </row>
  </sheetData>
  <dataValidations count="3">
    <dataValidation type="list" allowBlank="1" showErrorMessage="1" sqref="C10" xr:uid="{30D24677-CAD3-41C6-9C16-651A13A0690A}">
      <formula1>"MASS,ELECTRICITY,EMISSIONS,ENERGY"</formula1>
    </dataValidation>
    <dataValidation type="list" allowBlank="1" showErrorMessage="1" sqref="C5" xr:uid="{3791EFC4-725F-435D-9C90-1ADA5ACD1047}">
      <formula1>"ELECTRICITY,EMISSIONS,MASS"</formula1>
    </dataValidation>
    <dataValidation type="list" errorStyle="information" allowBlank="1" showInputMessage="1" showErrorMessage="1" sqref="D5 F5 H5 D10 F10 H10" xr:uid="{A08DCDA7-574E-4688-A389-75E370700EC8}">
      <formula1>"-,kg,s,m,K,°C,W,bar,kg/h,t/h,kW,kW/m2K,W/m2K,kJ/kgK,kJ/kg,m3/h,%,eur,eur/y,kWel/kWth,year"</formula1>
    </dataValidation>
  </dataValidation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724B9-25AE-415F-82C7-1D77BC49DDE2}">
  <sheetPr codeName="Sheet4"/>
  <dimension ref="A1:R48"/>
  <sheetViews>
    <sheetView showGridLines="0" topLeftCell="B1" zoomScale="55" zoomScaleNormal="55" workbookViewId="0">
      <selection activeCell="A16" sqref="A16:L47"/>
    </sheetView>
  </sheetViews>
  <sheetFormatPr defaultColWidth="14.44140625" defaultRowHeight="15" customHeight="1" x14ac:dyDescent="0.3"/>
  <cols>
    <col min="1" max="1" width="191.77734375" style="37" customWidth="1"/>
    <col min="2" max="2" width="13.6640625" style="37" customWidth="1"/>
    <col min="3" max="3" width="36.44140625" style="37" bestFit="1" customWidth="1"/>
    <col min="4" max="4" width="14" style="37" customWidth="1"/>
    <col min="5" max="5" width="17.6640625" style="37" bestFit="1" customWidth="1"/>
    <col min="6" max="6" width="13.109375" style="37" bestFit="1" customWidth="1"/>
    <col min="7" max="7" width="97.44140625" style="37" bestFit="1" customWidth="1"/>
    <col min="8" max="8" width="10.33203125" style="37" bestFit="1" customWidth="1"/>
    <col min="9" max="9" width="13.44140625" style="37" bestFit="1" customWidth="1"/>
    <col min="10" max="10" width="24.33203125" style="37" bestFit="1" customWidth="1"/>
    <col min="11" max="11" width="20.109375" style="37" bestFit="1" customWidth="1"/>
    <col min="12" max="12" width="96" style="37" bestFit="1" customWidth="1"/>
    <col min="13" max="13" width="29.77734375" style="37" customWidth="1"/>
    <col min="14" max="39" width="10.6640625" style="37" customWidth="1"/>
    <col min="40" max="16384" width="14.44140625" style="37"/>
  </cols>
  <sheetData>
    <row r="1" spans="1:12" s="26" customFormat="1" ht="14.4" x14ac:dyDescent="0.3">
      <c r="A1" s="24" t="s">
        <v>29</v>
      </c>
      <c r="B1" s="25"/>
      <c r="C1" s="25"/>
      <c r="D1" s="25"/>
      <c r="E1" s="25"/>
      <c r="F1" s="25"/>
      <c r="G1" s="25"/>
      <c r="H1" s="25"/>
      <c r="I1" s="25"/>
      <c r="J1" s="25"/>
      <c r="K1" s="25"/>
      <c r="L1" s="25"/>
    </row>
    <row r="2" spans="1:12" ht="14.4" x14ac:dyDescent="0.3">
      <c r="A2" s="27" t="s">
        <v>30</v>
      </c>
      <c r="B2" s="25"/>
      <c r="C2" s="25"/>
      <c r="D2" s="25"/>
      <c r="E2" s="25"/>
      <c r="F2" s="25"/>
      <c r="G2" s="25"/>
      <c r="H2" s="25"/>
      <c r="I2" s="25"/>
      <c r="J2" s="25"/>
      <c r="K2" s="25"/>
      <c r="L2" s="25"/>
    </row>
    <row r="3" spans="1:12" ht="14.4" x14ac:dyDescent="0.3">
      <c r="A3" s="52" t="s">
        <v>31</v>
      </c>
      <c r="B3" s="53"/>
      <c r="C3" s="53"/>
      <c r="D3" s="53"/>
      <c r="E3" s="53"/>
      <c r="F3" s="53"/>
      <c r="G3" s="53"/>
      <c r="H3" s="53"/>
      <c r="I3" s="53"/>
      <c r="J3" s="53"/>
      <c r="K3" s="25"/>
      <c r="L3" s="25"/>
    </row>
    <row r="4" spans="1:12" ht="14.4" x14ac:dyDescent="0.3">
      <c r="A4" s="52" t="s">
        <v>32</v>
      </c>
      <c r="B4" s="53"/>
      <c r="C4" s="53"/>
      <c r="D4" s="53"/>
      <c r="E4" s="53"/>
      <c r="F4" s="53"/>
      <c r="G4" s="53"/>
      <c r="H4" s="53"/>
      <c r="I4" s="53"/>
      <c r="J4" s="53"/>
      <c r="K4" s="25"/>
      <c r="L4" s="25"/>
    </row>
    <row r="5" spans="1:12" ht="14.4" x14ac:dyDescent="0.3">
      <c r="A5" s="52" t="s">
        <v>33</v>
      </c>
      <c r="B5" s="53"/>
      <c r="C5" s="53"/>
      <c r="D5" s="53"/>
      <c r="E5" s="53"/>
      <c r="F5" s="53"/>
      <c r="G5" s="53"/>
      <c r="H5" s="53"/>
      <c r="I5" s="53"/>
      <c r="J5" s="53"/>
      <c r="K5" s="25"/>
      <c r="L5" s="25"/>
    </row>
    <row r="6" spans="1:12" ht="14.4" x14ac:dyDescent="0.3">
      <c r="A6" s="53" t="s">
        <v>148</v>
      </c>
      <c r="B6" s="53"/>
      <c r="C6" s="53"/>
      <c r="D6" s="53"/>
      <c r="E6" s="53"/>
      <c r="F6" s="53"/>
      <c r="G6" s="53"/>
      <c r="H6" s="53"/>
      <c r="I6" s="53"/>
      <c r="J6" s="53"/>
      <c r="K6" s="25"/>
      <c r="L6" s="25"/>
    </row>
    <row r="7" spans="1:12" ht="14.4" x14ac:dyDescent="0.3">
      <c r="A7" s="54" t="s">
        <v>34</v>
      </c>
      <c r="B7" s="53"/>
      <c r="C7" s="53"/>
      <c r="D7" s="53"/>
      <c r="E7" s="53"/>
      <c r="F7" s="53"/>
      <c r="G7" s="53"/>
      <c r="H7" s="53"/>
      <c r="I7" s="53"/>
      <c r="J7" s="53"/>
      <c r="K7" s="25"/>
      <c r="L7" s="25"/>
    </row>
    <row r="8" spans="1:12" ht="14.4" x14ac:dyDescent="0.3">
      <c r="A8" s="53" t="s">
        <v>35</v>
      </c>
      <c r="B8" s="53"/>
      <c r="C8" s="53"/>
      <c r="D8" s="53"/>
      <c r="E8" s="53"/>
      <c r="F8" s="53"/>
      <c r="G8" s="53"/>
      <c r="H8" s="53"/>
      <c r="I8" s="53"/>
      <c r="J8" s="53"/>
      <c r="K8" s="25"/>
      <c r="L8" s="25"/>
    </row>
    <row r="9" spans="1:12" ht="14.4" x14ac:dyDescent="0.3">
      <c r="A9" s="55" t="s">
        <v>36</v>
      </c>
      <c r="B9" s="56"/>
      <c r="C9" s="56"/>
      <c r="D9" s="56"/>
      <c r="E9" s="56"/>
      <c r="F9" s="56"/>
      <c r="G9" s="56"/>
      <c r="H9" s="56"/>
      <c r="I9" s="56"/>
      <c r="J9" s="56"/>
      <c r="K9" s="28"/>
      <c r="L9" s="28"/>
    </row>
    <row r="10" spans="1:12" ht="14.4" x14ac:dyDescent="0.3">
      <c r="A10" s="57" t="s">
        <v>37</v>
      </c>
      <c r="B10" s="56"/>
      <c r="C10" s="56"/>
      <c r="D10" s="56"/>
      <c r="E10" s="56"/>
      <c r="F10" s="56"/>
      <c r="G10" s="56"/>
      <c r="H10" s="56"/>
      <c r="I10" s="56"/>
      <c r="J10" s="56"/>
      <c r="K10" s="28"/>
      <c r="L10" s="28"/>
    </row>
    <row r="11" spans="1:12" ht="14.4" x14ac:dyDescent="0.3">
      <c r="A11" s="53"/>
      <c r="B11" s="56"/>
      <c r="C11" s="56"/>
      <c r="D11" s="56"/>
      <c r="E11" s="56"/>
      <c r="F11" s="56"/>
      <c r="G11" s="56"/>
      <c r="H11" s="56"/>
      <c r="I11" s="56"/>
      <c r="J11" s="56"/>
      <c r="K11" s="28"/>
      <c r="L11" s="28"/>
    </row>
    <row r="12" spans="1:12" ht="17.25" customHeight="1" thickBot="1" x14ac:dyDescent="0.35">
      <c r="A12" s="58"/>
      <c r="B12" s="59"/>
      <c r="C12" s="59"/>
      <c r="D12" s="59"/>
      <c r="E12" s="59"/>
      <c r="F12" s="59"/>
      <c r="G12" s="59"/>
      <c r="H12" s="59"/>
      <c r="I12" s="59"/>
      <c r="J12" s="59"/>
      <c r="K12" s="59"/>
      <c r="L12" s="59"/>
    </row>
    <row r="13" spans="1:12" thickBot="1" x14ac:dyDescent="0.35">
      <c r="A13" s="60"/>
      <c r="B13" s="61"/>
      <c r="C13" s="61"/>
      <c r="D13" s="61"/>
      <c r="E13" s="61"/>
      <c r="F13" s="61"/>
      <c r="G13" s="61"/>
      <c r="H13" s="61"/>
      <c r="I13" s="61"/>
      <c r="J13" s="61"/>
      <c r="K13" s="61"/>
      <c r="L13" s="61"/>
    </row>
    <row r="14" spans="1:12" thickBot="1" x14ac:dyDescent="0.35">
      <c r="A14" s="62" t="s">
        <v>3</v>
      </c>
      <c r="B14" s="63"/>
      <c r="C14" s="63"/>
      <c r="D14" s="63"/>
      <c r="E14" s="63"/>
      <c r="F14" s="63"/>
      <c r="G14" s="63"/>
      <c r="H14" s="63"/>
      <c r="I14" s="63"/>
      <c r="J14" s="63"/>
      <c r="K14" s="63"/>
      <c r="L14" s="64"/>
    </row>
    <row r="15" spans="1:12" thickBot="1" x14ac:dyDescent="0.35">
      <c r="A15" s="65" t="s">
        <v>103</v>
      </c>
      <c r="B15" s="66" t="s">
        <v>18</v>
      </c>
      <c r="C15" s="66" t="s">
        <v>65</v>
      </c>
      <c r="D15" s="66" t="s">
        <v>34</v>
      </c>
      <c r="E15" s="66" t="s">
        <v>155</v>
      </c>
      <c r="F15" s="66" t="s">
        <v>19</v>
      </c>
      <c r="G15" s="66" t="s">
        <v>154</v>
      </c>
      <c r="H15" s="67" t="s">
        <v>66</v>
      </c>
      <c r="I15" s="66" t="s">
        <v>67</v>
      </c>
      <c r="J15" s="66" t="s">
        <v>68</v>
      </c>
      <c r="K15" s="71" t="s">
        <v>108</v>
      </c>
      <c r="L15" s="68" t="s">
        <v>15</v>
      </c>
    </row>
    <row r="16" spans="1:12" ht="14.4" x14ac:dyDescent="0.3">
      <c r="A16" s="106" t="s">
        <v>160</v>
      </c>
      <c r="B16" s="88" t="s">
        <v>161</v>
      </c>
      <c r="C16" s="88" t="s">
        <v>162</v>
      </c>
      <c r="D16" s="88" t="s">
        <v>38</v>
      </c>
      <c r="E16" s="107">
        <v>115.7</v>
      </c>
      <c r="F16" s="88" t="s">
        <v>293</v>
      </c>
      <c r="G16" s="88" t="s">
        <v>27</v>
      </c>
      <c r="H16" s="246">
        <v>40</v>
      </c>
      <c r="I16" s="251">
        <v>300</v>
      </c>
      <c r="J16" s="108" t="s">
        <v>163</v>
      </c>
      <c r="K16" s="251" t="s">
        <v>308</v>
      </c>
      <c r="L16" s="255" t="s">
        <v>162</v>
      </c>
    </row>
    <row r="17" spans="1:12" ht="14.4" x14ac:dyDescent="0.3">
      <c r="A17" s="99" t="s">
        <v>164</v>
      </c>
      <c r="B17" s="100" t="s">
        <v>161</v>
      </c>
      <c r="C17" s="100" t="s">
        <v>165</v>
      </c>
      <c r="D17" s="100" t="s">
        <v>38</v>
      </c>
      <c r="E17" s="101">
        <v>241.4</v>
      </c>
      <c r="F17" s="100" t="s">
        <v>293</v>
      </c>
      <c r="G17" s="100" t="s">
        <v>27</v>
      </c>
      <c r="H17" s="247">
        <v>100</v>
      </c>
      <c r="I17" s="252">
        <v>318</v>
      </c>
      <c r="J17" s="102" t="s">
        <v>166</v>
      </c>
      <c r="K17" s="252" t="s">
        <v>308</v>
      </c>
      <c r="L17" s="256" t="s">
        <v>165</v>
      </c>
    </row>
    <row r="18" spans="1:12" ht="14.4" x14ac:dyDescent="0.3">
      <c r="A18" s="99" t="s">
        <v>167</v>
      </c>
      <c r="B18" s="100" t="s">
        <v>161</v>
      </c>
      <c r="C18" s="100" t="s">
        <v>168</v>
      </c>
      <c r="D18" s="100" t="s">
        <v>38</v>
      </c>
      <c r="E18" s="101">
        <v>81.13</v>
      </c>
      <c r="F18" s="100" t="s">
        <v>26</v>
      </c>
      <c r="G18" s="100" t="s">
        <v>27</v>
      </c>
      <c r="H18" s="247">
        <v>0.1</v>
      </c>
      <c r="I18" s="252">
        <v>100000</v>
      </c>
      <c r="J18" s="102" t="s">
        <v>169</v>
      </c>
      <c r="K18" s="252" t="s">
        <v>308</v>
      </c>
      <c r="L18" s="256" t="s">
        <v>168</v>
      </c>
    </row>
    <row r="19" spans="1:12" ht="14.4" x14ac:dyDescent="0.3">
      <c r="A19" s="99" t="s">
        <v>170</v>
      </c>
      <c r="B19" s="100" t="s">
        <v>161</v>
      </c>
      <c r="C19" s="100" t="s">
        <v>171</v>
      </c>
      <c r="D19" s="100" t="s">
        <v>38</v>
      </c>
      <c r="E19" s="101">
        <v>69.2</v>
      </c>
      <c r="F19" s="100" t="s">
        <v>26</v>
      </c>
      <c r="G19" s="100" t="s">
        <v>27</v>
      </c>
      <c r="H19" s="247">
        <v>0.1</v>
      </c>
      <c r="I19" s="252">
        <v>100000</v>
      </c>
      <c r="J19" s="102" t="s">
        <v>172</v>
      </c>
      <c r="K19" s="252" t="s">
        <v>308</v>
      </c>
      <c r="L19" s="256" t="s">
        <v>171</v>
      </c>
    </row>
    <row r="20" spans="1:12" ht="14.4" x14ac:dyDescent="0.3">
      <c r="A20" s="198" t="s">
        <v>252</v>
      </c>
      <c r="B20" s="100" t="s">
        <v>161</v>
      </c>
      <c r="C20" s="100" t="s">
        <v>253</v>
      </c>
      <c r="D20" s="100" t="s">
        <v>38</v>
      </c>
      <c r="E20" s="101">
        <v>241.2</v>
      </c>
      <c r="F20" s="100" t="s">
        <v>293</v>
      </c>
      <c r="G20" s="100" t="s">
        <v>27</v>
      </c>
      <c r="H20" s="247">
        <v>110.6</v>
      </c>
      <c r="I20" s="252">
        <v>318.60000000000002</v>
      </c>
      <c r="J20" s="102" t="s">
        <v>254</v>
      </c>
      <c r="K20" s="252" t="s">
        <v>308</v>
      </c>
      <c r="L20" s="256" t="s">
        <v>253</v>
      </c>
    </row>
    <row r="21" spans="1:12" ht="14.4" x14ac:dyDescent="0.3">
      <c r="A21" s="99" t="s">
        <v>173</v>
      </c>
      <c r="B21" s="100" t="s">
        <v>161</v>
      </c>
      <c r="C21" s="100" t="s">
        <v>174</v>
      </c>
      <c r="D21" s="100" t="s">
        <v>38</v>
      </c>
      <c r="E21" s="101">
        <v>22.11</v>
      </c>
      <c r="F21" s="100" t="s">
        <v>26</v>
      </c>
      <c r="G21" s="100" t="s">
        <v>27</v>
      </c>
      <c r="H21" s="247">
        <v>0</v>
      </c>
      <c r="I21" s="252">
        <v>25000</v>
      </c>
      <c r="J21" s="102" t="s">
        <v>175</v>
      </c>
      <c r="K21" s="252" t="s">
        <v>308</v>
      </c>
      <c r="L21" s="256" t="s">
        <v>174</v>
      </c>
    </row>
    <row r="22" spans="1:12" ht="14.4" x14ac:dyDescent="0.3">
      <c r="A22" s="99" t="s">
        <v>176</v>
      </c>
      <c r="B22" s="100" t="s">
        <v>161</v>
      </c>
      <c r="C22" s="100" t="s">
        <v>177</v>
      </c>
      <c r="D22" s="100" t="s">
        <v>38</v>
      </c>
      <c r="E22" s="101">
        <v>178.3</v>
      </c>
      <c r="F22" s="100" t="s">
        <v>293</v>
      </c>
      <c r="G22" s="100" t="s">
        <v>27</v>
      </c>
      <c r="H22" s="247">
        <v>50</v>
      </c>
      <c r="I22" s="252">
        <v>300</v>
      </c>
      <c r="J22" s="102" t="s">
        <v>178</v>
      </c>
      <c r="K22" s="252" t="s">
        <v>308</v>
      </c>
      <c r="L22" s="256" t="s">
        <v>177</v>
      </c>
    </row>
    <row r="23" spans="1:12" ht="14.4" x14ac:dyDescent="0.3">
      <c r="A23" s="99" t="s">
        <v>179</v>
      </c>
      <c r="B23" s="100" t="s">
        <v>161</v>
      </c>
      <c r="C23" s="100" t="s">
        <v>180</v>
      </c>
      <c r="D23" s="100" t="s">
        <v>38</v>
      </c>
      <c r="E23" s="101">
        <v>115</v>
      </c>
      <c r="F23" s="100" t="s">
        <v>293</v>
      </c>
      <c r="G23" s="100" t="s">
        <v>27</v>
      </c>
      <c r="H23" s="247">
        <v>40</v>
      </c>
      <c r="I23" s="252">
        <v>250</v>
      </c>
      <c r="J23" s="102" t="s">
        <v>181</v>
      </c>
      <c r="K23" s="252" t="s">
        <v>308</v>
      </c>
      <c r="L23" s="256" t="s">
        <v>180</v>
      </c>
    </row>
    <row r="24" spans="1:12" ht="14.4" x14ac:dyDescent="0.3">
      <c r="A24" s="99" t="s">
        <v>182</v>
      </c>
      <c r="B24" s="100" t="s">
        <v>161</v>
      </c>
      <c r="C24" s="100" t="s">
        <v>183</v>
      </c>
      <c r="D24" s="100" t="s">
        <v>38</v>
      </c>
      <c r="E24" s="101">
        <v>12.62</v>
      </c>
      <c r="F24" s="100" t="s">
        <v>26</v>
      </c>
      <c r="G24" s="100" t="s">
        <v>27</v>
      </c>
      <c r="H24" s="247">
        <v>0</v>
      </c>
      <c r="I24" s="252">
        <v>50000</v>
      </c>
      <c r="J24" s="102" t="s">
        <v>184</v>
      </c>
      <c r="K24" s="252" t="s">
        <v>308</v>
      </c>
      <c r="L24" s="256" t="s">
        <v>183</v>
      </c>
    </row>
    <row r="25" spans="1:12" ht="14.4" x14ac:dyDescent="0.3">
      <c r="A25" s="198" t="s">
        <v>279</v>
      </c>
      <c r="B25" s="100" t="s">
        <v>280</v>
      </c>
      <c r="C25" s="100" t="s">
        <v>281</v>
      </c>
      <c r="D25" s="100" t="s">
        <v>38</v>
      </c>
      <c r="E25" s="101">
        <v>2.2000000000000002</v>
      </c>
      <c r="F25" s="100" t="s">
        <v>282</v>
      </c>
      <c r="G25" s="100" t="s">
        <v>27</v>
      </c>
      <c r="H25" s="247">
        <v>1.4</v>
      </c>
      <c r="I25" s="252">
        <v>2.8</v>
      </c>
      <c r="J25" s="102" t="s">
        <v>283</v>
      </c>
      <c r="K25" s="252" t="s">
        <v>308</v>
      </c>
      <c r="L25" s="256" t="s">
        <v>281</v>
      </c>
    </row>
    <row r="26" spans="1:12" ht="14.4" x14ac:dyDescent="0.3">
      <c r="A26" s="99" t="s">
        <v>185</v>
      </c>
      <c r="B26" s="100" t="s">
        <v>161</v>
      </c>
      <c r="C26" s="100" t="s">
        <v>186</v>
      </c>
      <c r="D26" s="100" t="s">
        <v>38</v>
      </c>
      <c r="E26" s="101">
        <v>45.36</v>
      </c>
      <c r="F26" s="100" t="s">
        <v>26</v>
      </c>
      <c r="G26" s="100" t="s">
        <v>27</v>
      </c>
      <c r="H26" s="247">
        <v>0.1</v>
      </c>
      <c r="I26" s="252">
        <v>50000</v>
      </c>
      <c r="J26" s="102" t="s">
        <v>187</v>
      </c>
      <c r="K26" s="252" t="s">
        <v>308</v>
      </c>
      <c r="L26" s="256" t="s">
        <v>186</v>
      </c>
    </row>
    <row r="27" spans="1:12" ht="14.4" x14ac:dyDescent="0.3">
      <c r="A27" s="198" t="s">
        <v>255</v>
      </c>
      <c r="B27" s="100" t="s">
        <v>161</v>
      </c>
      <c r="C27" s="100" t="s">
        <v>256</v>
      </c>
      <c r="D27" s="100" t="s">
        <v>38</v>
      </c>
      <c r="E27" s="101">
        <v>115</v>
      </c>
      <c r="F27" s="100" t="s">
        <v>293</v>
      </c>
      <c r="G27" s="100" t="s">
        <v>27</v>
      </c>
      <c r="H27" s="247">
        <v>40</v>
      </c>
      <c r="I27" s="252">
        <v>150</v>
      </c>
      <c r="J27" s="102" t="s">
        <v>257</v>
      </c>
      <c r="K27" s="252" t="s">
        <v>308</v>
      </c>
      <c r="L27" s="256" t="s">
        <v>256</v>
      </c>
    </row>
    <row r="28" spans="1:12" ht="14.4" x14ac:dyDescent="0.3">
      <c r="A28" s="99" t="s">
        <v>188</v>
      </c>
      <c r="B28" s="100" t="s">
        <v>161</v>
      </c>
      <c r="C28" s="100" t="s">
        <v>189</v>
      </c>
      <c r="D28" s="100" t="s">
        <v>38</v>
      </c>
      <c r="E28" s="101">
        <v>12.57</v>
      </c>
      <c r="F28" s="100" t="s">
        <v>26</v>
      </c>
      <c r="G28" s="100" t="s">
        <v>27</v>
      </c>
      <c r="H28" s="247">
        <v>0</v>
      </c>
      <c r="I28" s="252">
        <v>25000</v>
      </c>
      <c r="J28" s="102" t="s">
        <v>190</v>
      </c>
      <c r="K28" s="252" t="s">
        <v>308</v>
      </c>
      <c r="L28" s="256" t="s">
        <v>189</v>
      </c>
    </row>
    <row r="29" spans="1:12" ht="14.4" x14ac:dyDescent="0.3">
      <c r="A29" s="99" t="s">
        <v>191</v>
      </c>
      <c r="B29" s="100" t="s">
        <v>161</v>
      </c>
      <c r="C29" s="100" t="s">
        <v>192</v>
      </c>
      <c r="D29" s="100" t="s">
        <v>38</v>
      </c>
      <c r="E29" s="101">
        <v>125.3</v>
      </c>
      <c r="F29" s="100" t="s">
        <v>293</v>
      </c>
      <c r="G29" s="100" t="s">
        <v>27</v>
      </c>
      <c r="H29" s="247">
        <v>40</v>
      </c>
      <c r="I29" s="252">
        <v>200</v>
      </c>
      <c r="J29" s="102" t="s">
        <v>193</v>
      </c>
      <c r="K29" s="252" t="s">
        <v>308</v>
      </c>
      <c r="L29" s="256" t="s">
        <v>192</v>
      </c>
    </row>
    <row r="30" spans="1:12" ht="14.4" x14ac:dyDescent="0.3">
      <c r="A30" s="99" t="s">
        <v>194</v>
      </c>
      <c r="B30" s="100" t="s">
        <v>161</v>
      </c>
      <c r="C30" s="100" t="s">
        <v>195</v>
      </c>
      <c r="D30" s="100" t="s">
        <v>38</v>
      </c>
      <c r="E30" s="101">
        <v>34.18</v>
      </c>
      <c r="F30" s="100" t="s">
        <v>293</v>
      </c>
      <c r="G30" s="100" t="s">
        <v>27</v>
      </c>
      <c r="H30" s="247">
        <v>15</v>
      </c>
      <c r="I30" s="252">
        <v>100</v>
      </c>
      <c r="J30" s="102" t="s">
        <v>196</v>
      </c>
      <c r="K30" s="252" t="s">
        <v>308</v>
      </c>
      <c r="L30" s="256" t="s">
        <v>195</v>
      </c>
    </row>
    <row r="31" spans="1:12" ht="14.4" x14ac:dyDescent="0.3">
      <c r="A31" s="99" t="s">
        <v>197</v>
      </c>
      <c r="B31" s="100" t="s">
        <v>161</v>
      </c>
      <c r="C31" s="100" t="s">
        <v>198</v>
      </c>
      <c r="D31" s="100" t="s">
        <v>38</v>
      </c>
      <c r="E31" s="101">
        <v>18.670000000000002</v>
      </c>
      <c r="F31" s="100" t="s">
        <v>26</v>
      </c>
      <c r="G31" s="100" t="s">
        <v>27</v>
      </c>
      <c r="H31" s="247">
        <v>0</v>
      </c>
      <c r="I31" s="252">
        <v>50000</v>
      </c>
      <c r="J31" s="102" t="s">
        <v>199</v>
      </c>
      <c r="K31" s="252" t="s">
        <v>308</v>
      </c>
      <c r="L31" s="256" t="s">
        <v>198</v>
      </c>
    </row>
    <row r="32" spans="1:12" ht="14.4" x14ac:dyDescent="0.3">
      <c r="A32" s="99" t="s">
        <v>200</v>
      </c>
      <c r="B32" s="100" t="s">
        <v>161</v>
      </c>
      <c r="C32" s="100" t="s">
        <v>201</v>
      </c>
      <c r="D32" s="100" t="s">
        <v>38</v>
      </c>
      <c r="E32" s="101">
        <v>62.15</v>
      </c>
      <c r="F32" s="100" t="s">
        <v>26</v>
      </c>
      <c r="G32" s="100" t="s">
        <v>27</v>
      </c>
      <c r="H32" s="247">
        <v>0.1</v>
      </c>
      <c r="I32" s="252">
        <v>100000</v>
      </c>
      <c r="J32" s="102" t="s">
        <v>202</v>
      </c>
      <c r="K32" s="252" t="s">
        <v>308</v>
      </c>
      <c r="L32" s="256" t="s">
        <v>201</v>
      </c>
    </row>
    <row r="33" spans="1:18" ht="14.4" x14ac:dyDescent="0.3">
      <c r="A33" s="198" t="s">
        <v>258</v>
      </c>
      <c r="B33" s="100" t="s">
        <v>161</v>
      </c>
      <c r="C33" s="100" t="s">
        <v>256</v>
      </c>
      <c r="D33" s="100" t="s">
        <v>38</v>
      </c>
      <c r="E33" s="101">
        <v>34.18</v>
      </c>
      <c r="F33" s="100" t="s">
        <v>293</v>
      </c>
      <c r="G33" s="100" t="s">
        <v>27</v>
      </c>
      <c r="H33" s="247">
        <v>15</v>
      </c>
      <c r="I33" s="252">
        <v>90</v>
      </c>
      <c r="J33" s="102" t="s">
        <v>259</v>
      </c>
      <c r="K33" s="252" t="s">
        <v>308</v>
      </c>
      <c r="L33" s="256" t="s">
        <v>256</v>
      </c>
    </row>
    <row r="34" spans="1:18" ht="14.4" x14ac:dyDescent="0.3">
      <c r="A34" s="99" t="s">
        <v>203</v>
      </c>
      <c r="B34" s="100" t="s">
        <v>161</v>
      </c>
      <c r="C34" s="100" t="s">
        <v>204</v>
      </c>
      <c r="D34" s="100" t="s">
        <v>38</v>
      </c>
      <c r="E34" s="101">
        <v>0.61970000000000003</v>
      </c>
      <c r="F34" s="100" t="s">
        <v>26</v>
      </c>
      <c r="G34" s="100" t="s">
        <v>27</v>
      </c>
      <c r="H34" s="247">
        <v>0</v>
      </c>
      <c r="I34" s="252">
        <v>5000</v>
      </c>
      <c r="J34" s="102" t="s">
        <v>205</v>
      </c>
      <c r="K34" s="252" t="s">
        <v>308</v>
      </c>
      <c r="L34" s="256" t="s">
        <v>204</v>
      </c>
    </row>
    <row r="35" spans="1:18" ht="14.4" x14ac:dyDescent="0.3">
      <c r="A35" s="99" t="s">
        <v>206</v>
      </c>
      <c r="B35" s="100" t="s">
        <v>161</v>
      </c>
      <c r="C35" s="100" t="s">
        <v>207</v>
      </c>
      <c r="D35" s="100" t="s">
        <v>38</v>
      </c>
      <c r="E35" s="101">
        <v>2.5999999999999999E-2</v>
      </c>
      <c r="F35" s="100" t="s">
        <v>26</v>
      </c>
      <c r="G35" s="100" t="s">
        <v>27</v>
      </c>
      <c r="H35" s="247">
        <v>0</v>
      </c>
      <c r="I35" s="252">
        <v>1000</v>
      </c>
      <c r="J35" s="102" t="s">
        <v>208</v>
      </c>
      <c r="K35" s="252" t="s">
        <v>308</v>
      </c>
      <c r="L35" s="256" t="s">
        <v>207</v>
      </c>
    </row>
    <row r="36" spans="1:18" ht="14.4" x14ac:dyDescent="0.3">
      <c r="A36" s="99" t="s">
        <v>209</v>
      </c>
      <c r="B36" s="100" t="s">
        <v>161</v>
      </c>
      <c r="C36" s="100" t="s">
        <v>210</v>
      </c>
      <c r="D36" s="100" t="s">
        <v>38</v>
      </c>
      <c r="E36" s="101">
        <v>34.22</v>
      </c>
      <c r="F36" s="100" t="s">
        <v>293</v>
      </c>
      <c r="G36" s="100" t="s">
        <v>27</v>
      </c>
      <c r="H36" s="247">
        <v>15</v>
      </c>
      <c r="I36" s="252">
        <v>95</v>
      </c>
      <c r="J36" s="102" t="s">
        <v>211</v>
      </c>
      <c r="K36" s="252" t="s">
        <v>308</v>
      </c>
      <c r="L36" s="256" t="s">
        <v>210</v>
      </c>
    </row>
    <row r="37" spans="1:18" ht="14.4" x14ac:dyDescent="0.3">
      <c r="A37" s="99" t="s">
        <v>212</v>
      </c>
      <c r="B37" s="100" t="s">
        <v>161</v>
      </c>
      <c r="C37" s="100" t="s">
        <v>213</v>
      </c>
      <c r="D37" s="100" t="s">
        <v>38</v>
      </c>
      <c r="E37" s="101">
        <v>115</v>
      </c>
      <c r="F37" s="100" t="s">
        <v>293</v>
      </c>
      <c r="G37" s="100" t="s">
        <v>27</v>
      </c>
      <c r="H37" s="247">
        <v>40</v>
      </c>
      <c r="I37" s="252">
        <v>150</v>
      </c>
      <c r="J37" s="102" t="s">
        <v>214</v>
      </c>
      <c r="K37" s="252" t="s">
        <v>308</v>
      </c>
      <c r="L37" s="256" t="s">
        <v>213</v>
      </c>
    </row>
    <row r="38" spans="1:18" ht="14.4" x14ac:dyDescent="0.3">
      <c r="A38" s="99" t="s">
        <v>215</v>
      </c>
      <c r="B38" s="100" t="s">
        <v>161</v>
      </c>
      <c r="C38" s="100" t="s">
        <v>216</v>
      </c>
      <c r="D38" s="100" t="s">
        <v>38</v>
      </c>
      <c r="E38" s="101">
        <v>22.51</v>
      </c>
      <c r="F38" s="100" t="s">
        <v>26</v>
      </c>
      <c r="G38" s="100" t="s">
        <v>27</v>
      </c>
      <c r="H38" s="247">
        <v>0</v>
      </c>
      <c r="I38" s="252">
        <v>50000</v>
      </c>
      <c r="J38" s="102" t="s">
        <v>217</v>
      </c>
      <c r="K38" s="252" t="s">
        <v>308</v>
      </c>
      <c r="L38" s="256" t="s">
        <v>216</v>
      </c>
    </row>
    <row r="39" spans="1:18" ht="14.4" x14ac:dyDescent="0.3">
      <c r="A39" s="99" t="s">
        <v>218</v>
      </c>
      <c r="B39" s="100" t="s">
        <v>161</v>
      </c>
      <c r="C39" s="100" t="s">
        <v>219</v>
      </c>
      <c r="D39" s="100" t="s">
        <v>38</v>
      </c>
      <c r="E39" s="101">
        <v>2</v>
      </c>
      <c r="F39" s="100" t="s">
        <v>293</v>
      </c>
      <c r="G39" s="100" t="s">
        <v>27</v>
      </c>
      <c r="H39" s="247">
        <v>0.5</v>
      </c>
      <c r="I39" s="252">
        <v>25</v>
      </c>
      <c r="J39" s="102" t="s">
        <v>220</v>
      </c>
      <c r="K39" s="252" t="s">
        <v>308</v>
      </c>
      <c r="L39" s="256" t="s">
        <v>219</v>
      </c>
    </row>
    <row r="40" spans="1:18" ht="14.4" x14ac:dyDescent="0.3">
      <c r="A40" s="99" t="s">
        <v>221</v>
      </c>
      <c r="B40" s="100" t="s">
        <v>161</v>
      </c>
      <c r="C40" s="100" t="s">
        <v>222</v>
      </c>
      <c r="D40" s="100" t="s">
        <v>38</v>
      </c>
      <c r="E40" s="101">
        <v>40</v>
      </c>
      <c r="F40" s="100" t="s">
        <v>304</v>
      </c>
      <c r="G40" s="100" t="s">
        <v>27</v>
      </c>
      <c r="H40" s="247">
        <v>5</v>
      </c>
      <c r="I40" s="252">
        <v>60</v>
      </c>
      <c r="J40" s="102" t="s">
        <v>223</v>
      </c>
      <c r="K40" s="252" t="s">
        <v>308</v>
      </c>
      <c r="L40" s="256" t="s">
        <v>222</v>
      </c>
    </row>
    <row r="41" spans="1:18" ht="14.4" x14ac:dyDescent="0.3">
      <c r="A41" s="99" t="s">
        <v>224</v>
      </c>
      <c r="B41" s="100" t="s">
        <v>161</v>
      </c>
      <c r="C41" s="100" t="s">
        <v>225</v>
      </c>
      <c r="D41" s="100" t="s">
        <v>38</v>
      </c>
      <c r="E41" s="101">
        <v>0.06</v>
      </c>
      <c r="F41" s="100" t="s">
        <v>27</v>
      </c>
      <c r="G41" s="100" t="s">
        <v>27</v>
      </c>
      <c r="H41" s="247">
        <v>0</v>
      </c>
      <c r="I41" s="252">
        <v>1</v>
      </c>
      <c r="J41" s="102" t="s">
        <v>226</v>
      </c>
      <c r="K41" s="252" t="s">
        <v>308</v>
      </c>
      <c r="L41" s="256" t="s">
        <v>225</v>
      </c>
    </row>
    <row r="42" spans="1:18" ht="14.4" x14ac:dyDescent="0.3">
      <c r="A42" s="99" t="s">
        <v>227</v>
      </c>
      <c r="B42" s="100" t="s">
        <v>161</v>
      </c>
      <c r="C42" s="100" t="s">
        <v>273</v>
      </c>
      <c r="D42" s="100" t="s">
        <v>38</v>
      </c>
      <c r="E42" s="101">
        <v>596.20000000000005</v>
      </c>
      <c r="F42" s="100" t="s">
        <v>27</v>
      </c>
      <c r="G42" s="100" t="s">
        <v>27</v>
      </c>
      <c r="H42" s="247">
        <v>400</v>
      </c>
      <c r="I42" s="252">
        <v>1200</v>
      </c>
      <c r="J42" s="102" t="s">
        <v>228</v>
      </c>
      <c r="K42" s="252" t="s">
        <v>308</v>
      </c>
      <c r="L42" s="256" t="s">
        <v>273</v>
      </c>
    </row>
    <row r="43" spans="1:18" ht="14.4" x14ac:dyDescent="0.3">
      <c r="A43" s="99" t="s">
        <v>229</v>
      </c>
      <c r="B43" s="100" t="s">
        <v>161</v>
      </c>
      <c r="C43" s="100" t="s">
        <v>230</v>
      </c>
      <c r="D43" s="100" t="s">
        <v>38</v>
      </c>
      <c r="E43" s="101">
        <v>575.4</v>
      </c>
      <c r="F43" s="100" t="s">
        <v>27</v>
      </c>
      <c r="G43" s="100" t="s">
        <v>27</v>
      </c>
      <c r="H43" s="247">
        <v>400</v>
      </c>
      <c r="I43" s="252">
        <v>1200</v>
      </c>
      <c r="J43" s="102" t="s">
        <v>231</v>
      </c>
      <c r="K43" s="252" t="s">
        <v>308</v>
      </c>
      <c r="L43" s="256" t="s">
        <v>230</v>
      </c>
    </row>
    <row r="44" spans="1:18" ht="14.4" x14ac:dyDescent="0.3">
      <c r="A44" s="99" t="s">
        <v>232</v>
      </c>
      <c r="B44" s="100" t="s">
        <v>161</v>
      </c>
      <c r="C44" s="100" t="s">
        <v>233</v>
      </c>
      <c r="D44" s="100" t="s">
        <v>38</v>
      </c>
      <c r="E44" s="101">
        <f>TURB1+TURB2-Pump1-Pump2</f>
        <v>34.034299999999995</v>
      </c>
      <c r="F44" s="100" t="s">
        <v>26</v>
      </c>
      <c r="G44" s="100" t="s">
        <v>300</v>
      </c>
      <c r="H44" s="247">
        <v>0</v>
      </c>
      <c r="I44" s="252">
        <v>50000</v>
      </c>
      <c r="J44" s="102" t="s">
        <v>234</v>
      </c>
      <c r="K44" s="252" t="s">
        <v>308</v>
      </c>
      <c r="L44" s="256" t="s">
        <v>233</v>
      </c>
    </row>
    <row r="45" spans="1:18" ht="14.4" x14ac:dyDescent="0.3">
      <c r="A45" s="99" t="s">
        <v>235</v>
      </c>
      <c r="B45" s="100" t="s">
        <v>161</v>
      </c>
      <c r="C45" s="100" t="s">
        <v>236</v>
      </c>
      <c r="D45" s="100" t="s">
        <v>38</v>
      </c>
      <c r="E45" s="101">
        <f>(i*(i+1)^n)/((1+i)^n-1)</f>
        <v>6.6461535920675496E-2</v>
      </c>
      <c r="F45" s="100" t="s">
        <v>27</v>
      </c>
      <c r="G45" s="100" t="s">
        <v>301</v>
      </c>
      <c r="H45" s="247">
        <v>0.02</v>
      </c>
      <c r="I45" s="252">
        <v>0.5</v>
      </c>
      <c r="J45" s="102" t="s">
        <v>237</v>
      </c>
      <c r="K45" s="252" t="s">
        <v>308</v>
      </c>
      <c r="L45" s="256" t="s">
        <v>236</v>
      </c>
    </row>
    <row r="46" spans="1:18" ht="14.4" x14ac:dyDescent="0.3">
      <c r="A46" s="219" t="s">
        <v>274</v>
      </c>
      <c r="B46" s="216" t="s">
        <v>161</v>
      </c>
      <c r="C46" s="216" t="s">
        <v>275</v>
      </c>
      <c r="D46" s="216" t="s">
        <v>38</v>
      </c>
      <c r="E46" s="217">
        <f>W_bal*1000</f>
        <v>34034.299999999996</v>
      </c>
      <c r="F46" s="216" t="s">
        <v>305</v>
      </c>
      <c r="G46" s="216" t="s">
        <v>302</v>
      </c>
      <c r="H46" s="248">
        <v>1000</v>
      </c>
      <c r="I46" s="253">
        <v>1000000000</v>
      </c>
      <c r="J46" s="218" t="s">
        <v>299</v>
      </c>
      <c r="K46" s="253" t="s">
        <v>308</v>
      </c>
      <c r="L46" s="257" t="s">
        <v>275</v>
      </c>
    </row>
    <row r="47" spans="1:18" thickBot="1" x14ac:dyDescent="0.35">
      <c r="A47" s="103" t="s">
        <v>238</v>
      </c>
      <c r="B47" s="87" t="s">
        <v>161</v>
      </c>
      <c r="C47" s="87" t="s">
        <v>298</v>
      </c>
      <c r="D47" s="87" t="s">
        <v>38</v>
      </c>
      <c r="E47" s="104">
        <f>1000*W_bal*(CEPCI_2020/CEPCI_2008)*Annuity</f>
        <v>2343.7393433324373</v>
      </c>
      <c r="F47" s="87" t="s">
        <v>306</v>
      </c>
      <c r="G47" s="87" t="s">
        <v>303</v>
      </c>
      <c r="H47" s="249">
        <v>100</v>
      </c>
      <c r="I47" s="254">
        <v>100000000</v>
      </c>
      <c r="J47" s="105" t="s">
        <v>239</v>
      </c>
      <c r="K47" s="254" t="s">
        <v>308</v>
      </c>
      <c r="L47" s="263" t="s">
        <v>298</v>
      </c>
      <c r="R47" s="250"/>
    </row>
    <row r="48" spans="1:18" ht="15" customHeight="1" x14ac:dyDescent="0.3">
      <c r="R48" s="250"/>
    </row>
  </sheetData>
  <dataValidations count="3">
    <dataValidation type="list" allowBlank="1" showErrorMessage="1" sqref="D16:D47" xr:uid="{B7BAE726-72BF-4177-A71E-687F2FF694F9}">
      <formula1>"MANDATORY,OPTIONAL,PRIVATE"</formula1>
    </dataValidation>
    <dataValidation type="list" allowBlank="1" showErrorMessage="1" sqref="B16:B47" xr:uid="{8CC3BA24-7164-4CCE-B6B4-97D9EE1DC875}">
      <formula1>"CONTEXT,LITERATURE,MEASURED,DECISION"</formula1>
    </dataValidation>
    <dataValidation type="list" errorStyle="information" allowBlank="1" showInputMessage="1" showErrorMessage="1" sqref="F16:F47" xr:uid="{C9D40D19-A3ED-4A7B-B04F-CCBDB92030D5}">
      <formula1>"-,kg,s,m,K,°C,W,bar,kg/h,t/h,kW,kW/m2K,W/m2K,kJ/kgK,kJ/kg,m3/h,%,eur,eur/y,kWel/kWth,year"</formula1>
    </dataValidation>
  </dataValidations>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A8052-453F-4DBF-A616-F31EE1119040}">
  <sheetPr codeName="Sheet5"/>
  <dimension ref="A1:U45"/>
  <sheetViews>
    <sheetView showGridLines="0" topLeftCell="E10" zoomScale="70" zoomScaleNormal="70" workbookViewId="0">
      <selection activeCell="L51" sqref="L51"/>
    </sheetView>
  </sheetViews>
  <sheetFormatPr defaultColWidth="14.44140625" defaultRowHeight="15" customHeight="1" x14ac:dyDescent="0.3"/>
  <cols>
    <col min="1" max="1" width="59.109375" style="115" customWidth="1"/>
    <col min="2" max="2" width="43.77734375" style="115" customWidth="1"/>
    <col min="3" max="3" width="59.33203125" style="115" customWidth="1"/>
    <col min="4" max="4" width="45.33203125" style="115" customWidth="1"/>
    <col min="5" max="5" width="37.6640625" style="115" customWidth="1"/>
    <col min="6" max="6" width="42.109375" style="115" customWidth="1"/>
    <col min="7" max="7" width="34.33203125" style="115" customWidth="1"/>
    <col min="8" max="8" width="34.6640625" style="115" customWidth="1"/>
    <col min="9" max="9" width="29.109375" style="115" customWidth="1"/>
    <col min="10" max="10" width="35.33203125" style="115" customWidth="1"/>
    <col min="11" max="11" width="42.6640625" style="115" customWidth="1"/>
    <col min="12" max="12" width="43" style="115" customWidth="1"/>
    <col min="13" max="13" width="43.44140625" style="115" bestFit="1" customWidth="1"/>
    <col min="14" max="14" width="60.77734375" style="115" customWidth="1"/>
    <col min="15" max="15" width="22.33203125" style="115" bestFit="1" customWidth="1"/>
    <col min="16" max="16" width="19.77734375" style="115" customWidth="1"/>
    <col min="17" max="17" width="31.44140625" style="115" bestFit="1" customWidth="1"/>
    <col min="18" max="18" width="29" style="115" bestFit="1" customWidth="1"/>
    <col min="19" max="19" width="16.77734375" style="115" bestFit="1" customWidth="1"/>
    <col min="20" max="20" width="30.109375" style="115" customWidth="1"/>
    <col min="21" max="21" width="53.77734375" style="115" bestFit="1" customWidth="1"/>
    <col min="22" max="28" width="10.6640625" style="115" customWidth="1"/>
    <col min="29" max="16384" width="14.44140625" style="115"/>
  </cols>
  <sheetData>
    <row r="1" spans="1:21" ht="14.25" customHeight="1" thickBot="1" x14ac:dyDescent="0.35">
      <c r="A1" s="109" t="s">
        <v>51</v>
      </c>
      <c r="B1" s="110"/>
      <c r="C1" s="110"/>
      <c r="D1" s="111"/>
      <c r="E1" s="112"/>
      <c r="F1" s="112"/>
      <c r="G1" s="112"/>
      <c r="H1" s="112"/>
      <c r="I1" s="113"/>
      <c r="J1" s="113"/>
      <c r="K1" s="114"/>
      <c r="L1" s="114"/>
      <c r="M1" s="114"/>
      <c r="N1" s="114"/>
    </row>
    <row r="2" spans="1:21" ht="75" customHeight="1" thickBot="1" x14ac:dyDescent="0.35">
      <c r="A2" s="230" t="s">
        <v>294</v>
      </c>
      <c r="B2" s="110"/>
      <c r="C2" s="110"/>
      <c r="D2" s="111"/>
      <c r="E2" s="112"/>
      <c r="F2" s="112"/>
      <c r="G2" s="112"/>
      <c r="H2" s="112"/>
      <c r="I2" s="113"/>
      <c r="J2" s="113"/>
      <c r="K2" s="114"/>
      <c r="L2" s="114"/>
      <c r="M2" s="114"/>
      <c r="N2" s="114"/>
    </row>
    <row r="3" spans="1:21" ht="14.25" customHeight="1" thickBot="1" x14ac:dyDescent="0.35">
      <c r="D3" s="111"/>
      <c r="E3" s="112"/>
      <c r="F3" s="112"/>
      <c r="G3" s="112"/>
      <c r="H3" s="112"/>
      <c r="I3" s="113"/>
      <c r="J3" s="113"/>
      <c r="K3" s="114"/>
      <c r="L3" s="114"/>
      <c r="M3" s="114"/>
      <c r="N3" s="114"/>
    </row>
    <row r="4" spans="1:21" thickBot="1" x14ac:dyDescent="0.35">
      <c r="A4" s="116"/>
      <c r="B4" s="117"/>
      <c r="C4" s="117"/>
      <c r="D4" s="113"/>
      <c r="E4" s="118"/>
      <c r="F4" s="118"/>
      <c r="G4" s="118"/>
      <c r="H4" s="119"/>
      <c r="I4" s="120"/>
      <c r="J4" s="120"/>
      <c r="K4" s="120"/>
      <c r="L4" s="120"/>
      <c r="M4" s="120"/>
      <c r="N4" s="120"/>
    </row>
    <row r="5" spans="1:21" thickBot="1" x14ac:dyDescent="0.35">
      <c r="A5" s="121" t="s">
        <v>53</v>
      </c>
      <c r="B5" s="122" t="s">
        <v>55</v>
      </c>
      <c r="C5" s="123" t="s">
        <v>54</v>
      </c>
      <c r="D5" s="124" t="s">
        <v>153</v>
      </c>
      <c r="E5" s="125"/>
      <c r="F5" s="125"/>
      <c r="G5" s="125"/>
      <c r="H5" s="126"/>
      <c r="I5" s="114"/>
      <c r="J5" s="114"/>
      <c r="K5" s="114"/>
      <c r="L5" s="114"/>
      <c r="M5" s="114"/>
      <c r="N5" s="114"/>
    </row>
    <row r="6" spans="1:21" thickBot="1" x14ac:dyDescent="0.35">
      <c r="A6" s="127" t="s">
        <v>241</v>
      </c>
      <c r="B6" s="220">
        <v>0</v>
      </c>
      <c r="C6" s="173">
        <v>100000</v>
      </c>
      <c r="D6" s="124"/>
      <c r="E6" s="125"/>
      <c r="F6" s="125"/>
      <c r="G6" s="125"/>
      <c r="H6" s="126"/>
      <c r="I6" s="112"/>
      <c r="J6" s="112"/>
      <c r="K6" s="112"/>
      <c r="L6" s="112"/>
      <c r="M6" s="112"/>
      <c r="N6" s="112"/>
    </row>
    <row r="7" spans="1:21" thickBot="1" x14ac:dyDescent="0.35">
      <c r="A7" s="128"/>
      <c r="B7" s="129"/>
      <c r="C7" s="129"/>
      <c r="D7" s="130"/>
      <c r="E7" s="131"/>
      <c r="F7" s="118"/>
      <c r="G7" s="118"/>
      <c r="H7" s="119"/>
      <c r="I7" s="118"/>
      <c r="J7" s="118"/>
      <c r="K7" s="118"/>
      <c r="L7" s="118"/>
      <c r="M7" s="118"/>
      <c r="N7" s="118"/>
    </row>
    <row r="8" spans="1:21" ht="17.25" customHeight="1" thickBot="1" x14ac:dyDescent="0.35">
      <c r="A8" s="132" t="s">
        <v>52</v>
      </c>
      <c r="B8" s="110"/>
      <c r="C8" s="110"/>
      <c r="D8" s="119"/>
      <c r="E8" s="131"/>
      <c r="F8" s="118"/>
      <c r="G8" s="118"/>
      <c r="H8" s="119"/>
      <c r="I8" s="118"/>
      <c r="J8" s="118"/>
      <c r="K8" s="118"/>
      <c r="L8" s="118"/>
      <c r="M8" s="118"/>
      <c r="N8" s="118"/>
    </row>
    <row r="9" spans="1:21" ht="36.6" customHeight="1" thickBot="1" x14ac:dyDescent="0.35">
      <c r="A9" s="230" t="s">
        <v>295</v>
      </c>
      <c r="B9" s="110"/>
      <c r="C9" s="110"/>
      <c r="D9" s="131"/>
      <c r="E9" s="131"/>
      <c r="F9" s="118"/>
      <c r="G9" s="118"/>
      <c r="H9" s="119"/>
      <c r="I9" s="118"/>
      <c r="J9" s="118"/>
      <c r="K9" s="118"/>
      <c r="L9" s="118"/>
      <c r="M9" s="118"/>
      <c r="N9" s="118"/>
    </row>
    <row r="10" spans="1:21" thickBot="1" x14ac:dyDescent="0.35">
      <c r="A10" s="133"/>
      <c r="B10" s="118"/>
      <c r="C10" s="118"/>
      <c r="D10" s="131"/>
      <c r="E10" s="131"/>
      <c r="F10" s="118"/>
      <c r="G10" s="118"/>
      <c r="H10" s="119"/>
      <c r="I10" s="118"/>
      <c r="J10" s="118"/>
      <c r="K10" s="118"/>
      <c r="L10" s="118"/>
      <c r="M10" s="118"/>
      <c r="N10" s="118"/>
    </row>
    <row r="11" spans="1:21" thickBot="1" x14ac:dyDescent="0.35">
      <c r="A11" s="134" t="s">
        <v>64</v>
      </c>
      <c r="B11" s="118"/>
      <c r="C11" s="118"/>
      <c r="D11" s="131"/>
      <c r="E11" s="131"/>
      <c r="F11" s="118"/>
      <c r="G11" s="118"/>
      <c r="H11" s="119"/>
      <c r="I11" s="118"/>
      <c r="J11" s="118"/>
      <c r="K11" s="118"/>
      <c r="L11" s="118"/>
      <c r="M11" s="118"/>
      <c r="N11" s="118"/>
    </row>
    <row r="12" spans="1:21" thickBot="1" x14ac:dyDescent="0.35">
      <c r="A12" s="126" t="s">
        <v>63</v>
      </c>
      <c r="B12" s="125"/>
      <c r="D12" s="125"/>
      <c r="E12" s="125"/>
      <c r="F12" s="125"/>
      <c r="G12" s="125"/>
      <c r="H12" s="125"/>
      <c r="I12" s="135"/>
      <c r="J12" s="125"/>
      <c r="K12" s="125"/>
      <c r="L12" s="125"/>
      <c r="M12" s="125"/>
      <c r="N12" s="125"/>
    </row>
    <row r="13" spans="1:21" ht="19.5" customHeight="1" thickBot="1" x14ac:dyDescent="0.35">
      <c r="A13" s="136" t="s">
        <v>2</v>
      </c>
      <c r="B13" s="137"/>
      <c r="C13" s="137"/>
      <c r="D13" s="137"/>
      <c r="E13" s="137"/>
      <c r="F13" s="137"/>
      <c r="G13" s="137"/>
      <c r="H13" s="137"/>
      <c r="I13" s="137"/>
      <c r="J13" s="137"/>
      <c r="K13" s="137"/>
      <c r="L13" s="137"/>
      <c r="M13" s="137"/>
      <c r="N13" s="138"/>
    </row>
    <row r="14" spans="1:21" thickBot="1" x14ac:dyDescent="0.35">
      <c r="A14" s="139" t="s">
        <v>17</v>
      </c>
      <c r="B14" s="140" t="s">
        <v>18</v>
      </c>
      <c r="C14" s="140" t="s">
        <v>39</v>
      </c>
      <c r="D14" s="140" t="s">
        <v>151</v>
      </c>
      <c r="E14" s="140" t="s">
        <v>152</v>
      </c>
      <c r="F14" s="140" t="s">
        <v>149</v>
      </c>
      <c r="G14" s="141" t="s">
        <v>20</v>
      </c>
      <c r="H14" s="140" t="s">
        <v>150</v>
      </c>
      <c r="I14" s="140" t="s">
        <v>21</v>
      </c>
      <c r="J14" s="140" t="s">
        <v>22</v>
      </c>
      <c r="K14" s="140" t="s">
        <v>23</v>
      </c>
      <c r="L14" s="142" t="s">
        <v>24</v>
      </c>
      <c r="M14" s="142" t="s">
        <v>125</v>
      </c>
      <c r="N14" s="143" t="s">
        <v>15</v>
      </c>
    </row>
    <row r="15" spans="1:21" thickBot="1" x14ac:dyDescent="0.35">
      <c r="A15" s="174" t="s">
        <v>25</v>
      </c>
      <c r="B15" s="175" t="s">
        <v>25</v>
      </c>
      <c r="C15" s="175" t="s">
        <v>41</v>
      </c>
      <c r="D15" s="176">
        <f>W_bal</f>
        <v>34.034299999999995</v>
      </c>
      <c r="E15" s="175" t="s">
        <v>26</v>
      </c>
      <c r="F15" s="177" t="s">
        <v>27</v>
      </c>
      <c r="G15" s="177" t="s">
        <v>27</v>
      </c>
      <c r="H15" s="177" t="s">
        <v>27</v>
      </c>
      <c r="I15" s="177" t="s">
        <v>27</v>
      </c>
      <c r="J15" s="177" t="s">
        <v>27</v>
      </c>
      <c r="K15" s="177" t="s">
        <v>27</v>
      </c>
      <c r="L15" s="197" t="s">
        <v>27</v>
      </c>
      <c r="M15" s="215" t="s">
        <v>264</v>
      </c>
      <c r="N15" s="244" t="s">
        <v>233</v>
      </c>
      <c r="O15" s="144"/>
      <c r="P15" s="144"/>
      <c r="Q15" s="144"/>
      <c r="R15" s="144"/>
      <c r="S15" s="144"/>
      <c r="T15" s="144"/>
      <c r="U15" s="144"/>
    </row>
    <row r="16" spans="1:21" thickBot="1" x14ac:dyDescent="0.35">
      <c r="A16" s="145"/>
      <c r="B16" s="129"/>
      <c r="C16" s="129"/>
      <c r="D16" s="129"/>
      <c r="E16" s="146"/>
      <c r="F16" s="147"/>
      <c r="G16" s="147"/>
      <c r="H16" s="147"/>
      <c r="I16" s="147"/>
      <c r="J16" s="146"/>
      <c r="K16" s="148"/>
      <c r="L16" s="129"/>
      <c r="M16" s="129"/>
      <c r="N16" s="129"/>
      <c r="O16" s="129"/>
      <c r="P16" s="129"/>
      <c r="Q16" s="129"/>
      <c r="R16" s="129"/>
      <c r="S16" s="129"/>
      <c r="T16" s="129"/>
      <c r="U16" s="129"/>
    </row>
    <row r="17" spans="1:21" ht="14.25" customHeight="1" thickBot="1" x14ac:dyDescent="0.35">
      <c r="A17" s="149" t="s">
        <v>61</v>
      </c>
      <c r="C17" s="110"/>
      <c r="D17" s="111"/>
      <c r="E17" s="112"/>
      <c r="F17" s="112"/>
      <c r="G17" s="112" t="s">
        <v>27</v>
      </c>
      <c r="H17" s="112"/>
      <c r="I17" s="113"/>
      <c r="J17" s="113"/>
      <c r="K17" s="114"/>
      <c r="L17" s="114"/>
      <c r="M17" s="114"/>
      <c r="N17" s="114"/>
      <c r="O17" s="112"/>
      <c r="P17" s="112"/>
      <c r="Q17" s="112"/>
      <c r="R17" s="112"/>
      <c r="S17" s="112"/>
      <c r="T17" s="112"/>
      <c r="U17" s="112"/>
    </row>
    <row r="18" spans="1:21" ht="47.4" customHeight="1" thickBot="1" x14ac:dyDescent="0.35">
      <c r="A18" s="230" t="s">
        <v>296</v>
      </c>
      <c r="C18" s="110"/>
      <c r="D18" s="111"/>
      <c r="E18" s="112"/>
      <c r="F18" s="112"/>
      <c r="G18" s="112" t="s">
        <v>27</v>
      </c>
      <c r="H18" s="112"/>
      <c r="I18" s="113"/>
      <c r="J18" s="113"/>
      <c r="K18" s="114"/>
      <c r="L18" s="114"/>
      <c r="M18" s="114"/>
      <c r="N18" s="114"/>
      <c r="O18" s="112"/>
      <c r="P18" s="112"/>
      <c r="Q18" s="112"/>
      <c r="R18" s="112"/>
      <c r="S18" s="112"/>
      <c r="T18" s="112"/>
      <c r="U18" s="112"/>
    </row>
    <row r="19" spans="1:21" thickBot="1" x14ac:dyDescent="0.35">
      <c r="A19" s="150"/>
      <c r="B19" s="118"/>
      <c r="C19" s="118"/>
      <c r="D19" s="118"/>
      <c r="E19" s="131"/>
      <c r="F19" s="151"/>
      <c r="G19" s="151"/>
      <c r="H19" s="151"/>
      <c r="I19" s="151"/>
      <c r="J19" s="131"/>
      <c r="K19" s="119"/>
      <c r="L19" s="118"/>
      <c r="M19" s="118"/>
      <c r="N19" s="118"/>
      <c r="O19" s="118"/>
      <c r="P19" s="118"/>
      <c r="Q19" s="118"/>
      <c r="R19" s="118"/>
      <c r="S19" s="118"/>
      <c r="T19" s="118"/>
      <c r="U19" s="118"/>
    </row>
    <row r="20" spans="1:21" thickBot="1" x14ac:dyDescent="0.35">
      <c r="A20" s="152" t="s">
        <v>42</v>
      </c>
      <c r="B20" s="153"/>
      <c r="C20" s="153"/>
      <c r="D20" s="153"/>
      <c r="E20" s="153"/>
      <c r="F20" s="153"/>
      <c r="G20" s="153"/>
      <c r="H20" s="153"/>
      <c r="I20" s="153"/>
      <c r="J20" s="153"/>
      <c r="K20" s="153"/>
      <c r="L20" s="153"/>
      <c r="M20" s="153"/>
      <c r="N20" s="153"/>
      <c r="O20" s="153"/>
      <c r="P20" s="153"/>
      <c r="Q20" s="153"/>
      <c r="R20" s="153"/>
      <c r="S20" s="153"/>
      <c r="T20" s="153"/>
      <c r="U20" s="138"/>
    </row>
    <row r="21" spans="1:21" thickBot="1" x14ac:dyDescent="0.35">
      <c r="A21" s="154" t="s">
        <v>57</v>
      </c>
      <c r="B21" s="155" t="s">
        <v>18</v>
      </c>
      <c r="C21" s="155" t="s">
        <v>113</v>
      </c>
      <c r="D21" s="156" t="s">
        <v>109</v>
      </c>
      <c r="E21" s="155" t="s">
        <v>114</v>
      </c>
      <c r="F21" s="155" t="s">
        <v>110</v>
      </c>
      <c r="G21" s="155" t="s">
        <v>115</v>
      </c>
      <c r="H21" s="155" t="s">
        <v>116</v>
      </c>
      <c r="I21" s="155" t="s">
        <v>117</v>
      </c>
      <c r="J21" s="155" t="s">
        <v>111</v>
      </c>
      <c r="K21" s="155" t="s">
        <v>118</v>
      </c>
      <c r="L21" s="155" t="s">
        <v>112</v>
      </c>
      <c r="M21" s="155" t="s">
        <v>119</v>
      </c>
      <c r="N21" s="155" t="s">
        <v>120</v>
      </c>
      <c r="O21" s="155" t="s">
        <v>121</v>
      </c>
      <c r="P21" s="155" t="s">
        <v>122</v>
      </c>
      <c r="Q21" s="155" t="s">
        <v>123</v>
      </c>
      <c r="R21" s="155" t="s">
        <v>124</v>
      </c>
      <c r="S21" s="157" t="s">
        <v>56</v>
      </c>
      <c r="T21" s="157" t="s">
        <v>125</v>
      </c>
      <c r="U21" s="143" t="s">
        <v>15</v>
      </c>
    </row>
    <row r="22" spans="1:21" ht="15.75" customHeight="1" x14ac:dyDescent="0.3">
      <c r="A22" s="184" t="s">
        <v>242</v>
      </c>
      <c r="B22" s="185" t="s">
        <v>44</v>
      </c>
      <c r="C22" s="186">
        <f>HX1_Tin</f>
        <v>115.7</v>
      </c>
      <c r="D22" s="245" t="s">
        <v>293</v>
      </c>
      <c r="E22" s="186">
        <f>HX1_Tout</f>
        <v>241.4</v>
      </c>
      <c r="F22" s="187" t="s">
        <v>293</v>
      </c>
      <c r="G22" s="188">
        <f>HX1_Q</f>
        <v>81.13</v>
      </c>
      <c r="H22" s="199" t="s">
        <v>26</v>
      </c>
      <c r="I22" s="188">
        <v>0</v>
      </c>
      <c r="J22" s="187" t="s">
        <v>26</v>
      </c>
      <c r="K22" s="258">
        <f>(I22-G22)/M22/(C22-E22)*3600</f>
        <v>7.122184735370988</v>
      </c>
      <c r="L22" s="189" t="s">
        <v>282</v>
      </c>
      <c r="M22" s="258">
        <f>$M$24</f>
        <v>326.2386902197328</v>
      </c>
      <c r="N22" s="221" t="s">
        <v>284</v>
      </c>
      <c r="O22" s="204">
        <f t="shared" ref="O22:O28" si="0">dtmin_2ph</f>
        <v>2</v>
      </c>
      <c r="P22" s="212" t="s">
        <v>260</v>
      </c>
      <c r="Q22" s="205">
        <v>1</v>
      </c>
      <c r="R22" s="212" t="s">
        <v>261</v>
      </c>
      <c r="S22" s="205" t="s">
        <v>262</v>
      </c>
      <c r="T22" s="205" t="s">
        <v>263</v>
      </c>
      <c r="U22" s="241" t="s">
        <v>265</v>
      </c>
    </row>
    <row r="23" spans="1:21" ht="15.75" customHeight="1" x14ac:dyDescent="0.3">
      <c r="A23" s="178" t="s">
        <v>243</v>
      </c>
      <c r="B23" s="179" t="s">
        <v>44</v>
      </c>
      <c r="C23" s="180">
        <f>HX2_T</f>
        <v>241.2</v>
      </c>
      <c r="D23" s="200" t="s">
        <v>293</v>
      </c>
      <c r="E23" s="180">
        <f>HX2_T</f>
        <v>241.2</v>
      </c>
      <c r="F23" s="181" t="s">
        <v>293</v>
      </c>
      <c r="G23" s="182">
        <f>HX2_Q</f>
        <v>69.2</v>
      </c>
      <c r="H23" s="200" t="s">
        <v>26</v>
      </c>
      <c r="I23" s="182">
        <v>0</v>
      </c>
      <c r="J23" s="181" t="s">
        <v>26</v>
      </c>
      <c r="K23" s="259">
        <f>-(I23-G23)/M23*3600</f>
        <v>763.61267828843131</v>
      </c>
      <c r="L23" s="183" t="s">
        <v>309</v>
      </c>
      <c r="M23" s="259">
        <f>$M$24</f>
        <v>326.2386902197328</v>
      </c>
      <c r="N23" s="202" t="s">
        <v>284</v>
      </c>
      <c r="O23" s="206">
        <f t="shared" si="0"/>
        <v>2</v>
      </c>
      <c r="P23" s="213" t="s">
        <v>260</v>
      </c>
      <c r="Q23" s="207">
        <v>1</v>
      </c>
      <c r="R23" s="208" t="s">
        <v>261</v>
      </c>
      <c r="S23" s="207" t="s">
        <v>262</v>
      </c>
      <c r="T23" s="207" t="s">
        <v>263</v>
      </c>
      <c r="U23" s="242" t="s">
        <v>266</v>
      </c>
    </row>
    <row r="24" spans="1:21" ht="15.75" customHeight="1" x14ac:dyDescent="0.3">
      <c r="A24" s="178" t="s">
        <v>244</v>
      </c>
      <c r="B24" s="179" t="s">
        <v>43</v>
      </c>
      <c r="C24" s="180">
        <f>HX3_Tin</f>
        <v>178.3</v>
      </c>
      <c r="D24" s="200" t="s">
        <v>293</v>
      </c>
      <c r="E24" s="180">
        <f>HX3_Tout</f>
        <v>115</v>
      </c>
      <c r="F24" s="181" t="s">
        <v>293</v>
      </c>
      <c r="G24" s="182">
        <v>0</v>
      </c>
      <c r="H24" s="200" t="s">
        <v>26</v>
      </c>
      <c r="I24" s="182">
        <f>HX3_Q</f>
        <v>12.62</v>
      </c>
      <c r="J24" s="181" t="s">
        <v>26</v>
      </c>
      <c r="K24" s="259">
        <f>Cp</f>
        <v>2.2000000000000002</v>
      </c>
      <c r="L24" s="200" t="s">
        <v>282</v>
      </c>
      <c r="M24" s="259">
        <f>I24/K24/(C24-E24)*3600</f>
        <v>326.2386902197328</v>
      </c>
      <c r="N24" s="202" t="s">
        <v>284</v>
      </c>
      <c r="O24" s="206">
        <f t="shared" si="0"/>
        <v>2</v>
      </c>
      <c r="P24" s="213" t="s">
        <v>260</v>
      </c>
      <c r="Q24" s="207">
        <v>1</v>
      </c>
      <c r="R24" s="208" t="s">
        <v>261</v>
      </c>
      <c r="S24" s="207" t="s">
        <v>262</v>
      </c>
      <c r="T24" s="207" t="s">
        <v>263</v>
      </c>
      <c r="U24" s="242" t="s">
        <v>269</v>
      </c>
    </row>
    <row r="25" spans="1:21" ht="15.75" customHeight="1" x14ac:dyDescent="0.3">
      <c r="A25" s="178" t="s">
        <v>245</v>
      </c>
      <c r="B25" s="179" t="s">
        <v>43</v>
      </c>
      <c r="C25" s="180">
        <f>HX4_T</f>
        <v>115</v>
      </c>
      <c r="D25" s="200" t="s">
        <v>293</v>
      </c>
      <c r="E25" s="180">
        <f>HX4_T</f>
        <v>115</v>
      </c>
      <c r="F25" s="181" t="s">
        <v>293</v>
      </c>
      <c r="G25" s="182">
        <v>0</v>
      </c>
      <c r="H25" s="200" t="s">
        <v>26</v>
      </c>
      <c r="I25" s="182">
        <f>HX4_Q</f>
        <v>45.36</v>
      </c>
      <c r="J25" s="181" t="s">
        <v>26</v>
      </c>
      <c r="K25" s="259">
        <f>(I25-G25)/M25*3600</f>
        <v>500.5414896988907</v>
      </c>
      <c r="L25" s="183" t="s">
        <v>309</v>
      </c>
      <c r="M25" s="259">
        <f>$M$24</f>
        <v>326.2386902197328</v>
      </c>
      <c r="N25" s="202" t="s">
        <v>284</v>
      </c>
      <c r="O25" s="206">
        <f t="shared" si="0"/>
        <v>2</v>
      </c>
      <c r="P25" s="213" t="s">
        <v>260</v>
      </c>
      <c r="Q25" s="207">
        <v>1</v>
      </c>
      <c r="R25" s="208" t="s">
        <v>261</v>
      </c>
      <c r="S25" s="207" t="s">
        <v>262</v>
      </c>
      <c r="T25" s="207" t="s">
        <v>263</v>
      </c>
      <c r="U25" s="242" t="s">
        <v>267</v>
      </c>
    </row>
    <row r="26" spans="1:21" ht="15.75" customHeight="1" x14ac:dyDescent="0.3">
      <c r="A26" s="178" t="s">
        <v>246</v>
      </c>
      <c r="B26" s="179" t="s">
        <v>43</v>
      </c>
      <c r="C26" s="180">
        <f>HX5_Tin</f>
        <v>125.3</v>
      </c>
      <c r="D26" s="200" t="s">
        <v>293</v>
      </c>
      <c r="E26" s="180">
        <f>HX5_Tout</f>
        <v>34.18</v>
      </c>
      <c r="F26" s="181" t="s">
        <v>293</v>
      </c>
      <c r="G26" s="182">
        <v>0</v>
      </c>
      <c r="H26" s="200" t="s">
        <v>26</v>
      </c>
      <c r="I26" s="182">
        <f>HX5_Q</f>
        <v>18.670000000000002</v>
      </c>
      <c r="J26" s="181" t="s">
        <v>26</v>
      </c>
      <c r="K26" s="259">
        <f t="shared" ref="K26:K28" si="1">(I26-G26)/M26/(C26-E26)*3600</f>
        <v>2.2609848005242736</v>
      </c>
      <c r="L26" s="183" t="s">
        <v>282</v>
      </c>
      <c r="M26" s="259">
        <f t="shared" ref="M26:M28" si="2">$M$24</f>
        <v>326.2386902197328</v>
      </c>
      <c r="N26" s="202" t="s">
        <v>284</v>
      </c>
      <c r="O26" s="206">
        <f t="shared" si="0"/>
        <v>2</v>
      </c>
      <c r="P26" s="213" t="s">
        <v>260</v>
      </c>
      <c r="Q26" s="207">
        <v>1</v>
      </c>
      <c r="R26" s="208" t="s">
        <v>261</v>
      </c>
      <c r="S26" s="207" t="s">
        <v>262</v>
      </c>
      <c r="T26" s="207" t="s">
        <v>263</v>
      </c>
      <c r="U26" s="242" t="s">
        <v>268</v>
      </c>
    </row>
    <row r="27" spans="1:21" ht="15.75" customHeight="1" x14ac:dyDescent="0.3">
      <c r="A27" s="178" t="s">
        <v>247</v>
      </c>
      <c r="B27" s="179" t="s">
        <v>43</v>
      </c>
      <c r="C27" s="180">
        <f>HX6_T</f>
        <v>34.18</v>
      </c>
      <c r="D27" s="200" t="s">
        <v>293</v>
      </c>
      <c r="E27" s="180">
        <f>HX6_T</f>
        <v>34.18</v>
      </c>
      <c r="F27" s="181" t="s">
        <v>293</v>
      </c>
      <c r="G27" s="182">
        <v>0</v>
      </c>
      <c r="H27" s="200" t="s">
        <v>26</v>
      </c>
      <c r="I27" s="182">
        <f>HX6_Q</f>
        <v>62.15</v>
      </c>
      <c r="J27" s="181" t="s">
        <v>26</v>
      </c>
      <c r="K27" s="259">
        <f>(I27-G27)/M27*3600</f>
        <v>685.8168779714739</v>
      </c>
      <c r="L27" s="183" t="s">
        <v>309</v>
      </c>
      <c r="M27" s="259">
        <f t="shared" si="2"/>
        <v>326.2386902197328</v>
      </c>
      <c r="N27" s="202" t="s">
        <v>284</v>
      </c>
      <c r="O27" s="206">
        <f t="shared" si="0"/>
        <v>2</v>
      </c>
      <c r="P27" s="213" t="s">
        <v>260</v>
      </c>
      <c r="Q27" s="207">
        <v>1</v>
      </c>
      <c r="R27" s="208" t="s">
        <v>261</v>
      </c>
      <c r="S27" s="207" t="s">
        <v>262</v>
      </c>
      <c r="T27" s="207" t="s">
        <v>263</v>
      </c>
      <c r="U27" s="242" t="s">
        <v>267</v>
      </c>
    </row>
    <row r="28" spans="1:21" ht="15.75" customHeight="1" thickBot="1" x14ac:dyDescent="0.35">
      <c r="A28" s="190" t="s">
        <v>248</v>
      </c>
      <c r="B28" s="191" t="s">
        <v>44</v>
      </c>
      <c r="C28" s="192">
        <f>HX7_Tin</f>
        <v>34.22</v>
      </c>
      <c r="D28" s="201" t="s">
        <v>293</v>
      </c>
      <c r="E28" s="192">
        <f>HX7_Tout</f>
        <v>115</v>
      </c>
      <c r="F28" s="193" t="s">
        <v>293</v>
      </c>
      <c r="G28" s="194">
        <f>HX7_Q</f>
        <v>22.51</v>
      </c>
      <c r="H28" s="201" t="s">
        <v>26</v>
      </c>
      <c r="I28" s="194">
        <v>0</v>
      </c>
      <c r="J28" s="193" t="s">
        <v>26</v>
      </c>
      <c r="K28" s="260">
        <f t="shared" si="1"/>
        <v>3.0749544163110158</v>
      </c>
      <c r="L28" s="195" t="s">
        <v>282</v>
      </c>
      <c r="M28" s="260">
        <f t="shared" si="2"/>
        <v>326.2386902197328</v>
      </c>
      <c r="N28" s="203" t="s">
        <v>284</v>
      </c>
      <c r="O28" s="209">
        <f t="shared" si="0"/>
        <v>2</v>
      </c>
      <c r="P28" s="214" t="s">
        <v>260</v>
      </c>
      <c r="Q28" s="210">
        <v>1</v>
      </c>
      <c r="R28" s="211" t="s">
        <v>261</v>
      </c>
      <c r="S28" s="210" t="s">
        <v>262</v>
      </c>
      <c r="T28" s="210" t="s">
        <v>263</v>
      </c>
      <c r="U28" s="243" t="s">
        <v>270</v>
      </c>
    </row>
    <row r="29" spans="1:21" ht="14.25" customHeight="1" thickBot="1" x14ac:dyDescent="0.35">
      <c r="A29" s="125"/>
      <c r="B29" s="125"/>
      <c r="C29" s="125"/>
      <c r="D29" s="125"/>
      <c r="E29" s="125"/>
      <c r="F29" s="125"/>
      <c r="G29" s="125"/>
      <c r="H29" s="125"/>
      <c r="I29" s="125"/>
      <c r="J29" s="125"/>
      <c r="K29" s="125"/>
      <c r="L29" s="110"/>
      <c r="M29" s="110"/>
      <c r="N29" s="110"/>
      <c r="O29" s="158"/>
      <c r="P29" s="158"/>
      <c r="Q29" s="158"/>
      <c r="R29" s="158"/>
      <c r="S29" s="158"/>
      <c r="T29" s="158"/>
      <c r="U29" s="158"/>
    </row>
    <row r="30" spans="1:21" ht="14.25" customHeight="1" thickBot="1" x14ac:dyDescent="0.35">
      <c r="A30" s="109" t="s">
        <v>49</v>
      </c>
      <c r="B30" s="110"/>
      <c r="C30" s="110"/>
      <c r="D30" s="111"/>
      <c r="E30" s="112"/>
      <c r="F30" s="112"/>
      <c r="G30" s="112" t="s">
        <v>27</v>
      </c>
      <c r="H30" s="112"/>
      <c r="I30" s="159"/>
      <c r="J30" s="113"/>
      <c r="K30" s="114"/>
      <c r="L30" s="110"/>
      <c r="M30" s="110"/>
      <c r="N30" s="110"/>
      <c r="O30" s="112"/>
      <c r="P30" s="112"/>
      <c r="Q30" s="112"/>
      <c r="R30" s="112"/>
      <c r="S30" s="112"/>
      <c r="T30" s="112"/>
      <c r="U30" s="112"/>
    </row>
    <row r="31" spans="1:21" ht="49.2" customHeight="1" thickBot="1" x14ac:dyDescent="0.35">
      <c r="A31" s="231" t="s">
        <v>297</v>
      </c>
      <c r="B31" s="110"/>
      <c r="C31" s="110"/>
      <c r="D31" s="111"/>
      <c r="E31" s="112"/>
      <c r="F31" s="112"/>
      <c r="G31" s="112"/>
      <c r="H31" s="112"/>
      <c r="I31" s="113"/>
      <c r="J31" s="113"/>
      <c r="K31" s="114"/>
      <c r="L31" s="110"/>
      <c r="M31" s="110"/>
      <c r="N31" s="110"/>
      <c r="O31" s="112"/>
      <c r="P31" s="112"/>
      <c r="Q31" s="112"/>
      <c r="R31" s="112"/>
      <c r="S31" s="112"/>
      <c r="T31" s="112"/>
      <c r="U31" s="112"/>
    </row>
    <row r="32" spans="1:21" ht="15.75" customHeight="1" thickBot="1" x14ac:dyDescent="0.35">
      <c r="A32" s="125"/>
      <c r="B32" s="125"/>
      <c r="C32" s="125"/>
      <c r="D32" s="125"/>
      <c r="E32" s="125"/>
      <c r="F32" s="125"/>
      <c r="G32" s="125"/>
      <c r="H32" s="125"/>
      <c r="I32" s="125"/>
      <c r="J32" s="125"/>
      <c r="K32" s="125"/>
      <c r="L32" s="125"/>
      <c r="M32" s="125"/>
      <c r="O32" s="125"/>
      <c r="P32" s="125"/>
      <c r="Q32" s="125"/>
      <c r="R32" s="125"/>
      <c r="S32" s="125"/>
      <c r="T32" s="125"/>
      <c r="U32" s="125"/>
    </row>
    <row r="33" spans="1:21" ht="15.75" customHeight="1" thickBot="1" x14ac:dyDescent="0.35">
      <c r="A33" s="161" t="s">
        <v>45</v>
      </c>
      <c r="B33" s="162"/>
      <c r="C33" s="162"/>
      <c r="D33" s="162"/>
      <c r="E33" s="162"/>
      <c r="F33" s="162"/>
      <c r="G33" s="163"/>
      <c r="H33" s="124" t="s">
        <v>126</v>
      </c>
      <c r="I33" s="125"/>
      <c r="J33" s="125"/>
      <c r="K33" s="125"/>
      <c r="L33" s="125"/>
      <c r="M33" s="125"/>
      <c r="N33" s="125"/>
      <c r="O33" s="125"/>
      <c r="P33" s="125"/>
      <c r="Q33" s="125"/>
      <c r="R33" s="125"/>
      <c r="S33" s="125"/>
      <c r="T33" s="125"/>
      <c r="U33" s="125"/>
    </row>
    <row r="34" spans="1:21" ht="15.75" customHeight="1" thickBot="1" x14ac:dyDescent="0.35">
      <c r="A34" s="139" t="s">
        <v>57</v>
      </c>
      <c r="B34" s="140" t="s">
        <v>18</v>
      </c>
      <c r="C34" s="140" t="s">
        <v>107</v>
      </c>
      <c r="D34" s="140" t="s">
        <v>108</v>
      </c>
      <c r="E34" s="140" t="s">
        <v>58</v>
      </c>
      <c r="F34" s="140" t="s">
        <v>40</v>
      </c>
      <c r="G34" s="164"/>
      <c r="H34" s="165"/>
      <c r="I34" s="165"/>
      <c r="J34" s="165"/>
      <c r="K34" s="125"/>
      <c r="L34" s="125"/>
      <c r="M34" s="125"/>
      <c r="N34" s="125"/>
      <c r="O34" s="125"/>
      <c r="P34" s="125"/>
      <c r="Q34" s="125"/>
      <c r="R34" s="125"/>
      <c r="S34" s="125"/>
      <c r="T34" s="125"/>
      <c r="U34" s="125"/>
    </row>
    <row r="35" spans="1:21" ht="15.75" customHeight="1" thickBot="1" x14ac:dyDescent="0.35">
      <c r="A35" s="232" t="s">
        <v>249</v>
      </c>
      <c r="B35" s="232" t="s">
        <v>46</v>
      </c>
      <c r="C35" s="232" t="s">
        <v>277</v>
      </c>
      <c r="D35" s="232" t="s">
        <v>278</v>
      </c>
      <c r="E35" s="233" t="s">
        <v>271</v>
      </c>
      <c r="F35" s="232">
        <f>n</f>
        <v>40</v>
      </c>
      <c r="G35" s="234" t="s">
        <v>27</v>
      </c>
      <c r="H35" s="165"/>
      <c r="I35" s="165"/>
      <c r="J35" s="112"/>
      <c r="K35" s="131"/>
      <c r="L35" s="131"/>
      <c r="M35" s="118"/>
      <c r="N35" s="125"/>
      <c r="O35" s="125"/>
      <c r="P35" s="125"/>
      <c r="Q35" s="125"/>
      <c r="R35" s="125"/>
      <c r="S35" s="125"/>
      <c r="T35" s="125"/>
      <c r="U35" s="125"/>
    </row>
    <row r="36" spans="1:21" ht="15.75" customHeight="1" x14ac:dyDescent="0.3">
      <c r="A36" s="235"/>
      <c r="B36" s="235"/>
      <c r="C36" s="235"/>
      <c r="D36" s="235"/>
      <c r="E36" s="236" t="s">
        <v>225</v>
      </c>
      <c r="F36" s="235">
        <f>i</f>
        <v>0.06</v>
      </c>
      <c r="G36" s="237" t="s">
        <v>272</v>
      </c>
      <c r="H36" s="165"/>
      <c r="I36" s="165"/>
      <c r="J36" s="165"/>
      <c r="K36" s="196"/>
      <c r="L36" s="196"/>
      <c r="M36" s="125"/>
      <c r="N36" s="125"/>
      <c r="O36" s="125"/>
      <c r="P36" s="125"/>
      <c r="Q36" s="125"/>
      <c r="R36" s="125"/>
      <c r="S36" s="125"/>
      <c r="T36" s="125"/>
      <c r="U36" s="125"/>
    </row>
    <row r="37" spans="1:21" ht="15.75" customHeight="1" x14ac:dyDescent="0.3">
      <c r="A37" s="235"/>
      <c r="B37" s="235"/>
      <c r="C37" s="235"/>
      <c r="D37" s="235"/>
      <c r="E37" s="236" t="s">
        <v>275</v>
      </c>
      <c r="F37" s="235">
        <f>Cinv_ORC</f>
        <v>34034.299999999996</v>
      </c>
      <c r="G37" s="237" t="s">
        <v>276</v>
      </c>
      <c r="H37" s="165"/>
      <c r="I37" s="165"/>
      <c r="J37" s="165"/>
      <c r="K37" s="196"/>
      <c r="L37" s="196"/>
      <c r="M37" s="125"/>
      <c r="N37" s="125"/>
      <c r="O37" s="125"/>
      <c r="P37" s="125"/>
      <c r="Q37" s="125"/>
      <c r="R37" s="125"/>
      <c r="S37" s="125"/>
      <c r="T37" s="125"/>
      <c r="U37" s="125"/>
    </row>
    <row r="38" spans="1:21" ht="15.75" customHeight="1" thickBot="1" x14ac:dyDescent="0.35">
      <c r="A38" s="238"/>
      <c r="B38" s="238"/>
      <c r="C38" s="238"/>
      <c r="D38" s="238"/>
      <c r="E38" s="239" t="s">
        <v>230</v>
      </c>
      <c r="F38" s="238">
        <f>CEPCI_2008</f>
        <v>575.4</v>
      </c>
      <c r="G38" s="240" t="s">
        <v>27</v>
      </c>
      <c r="H38" s="165"/>
      <c r="I38" s="165"/>
      <c r="J38" s="165"/>
      <c r="K38" s="196"/>
      <c r="L38" s="196"/>
      <c r="M38" s="125"/>
      <c r="N38" s="125"/>
      <c r="O38" s="125"/>
      <c r="P38" s="125"/>
      <c r="Q38" s="125"/>
      <c r="R38" s="125"/>
      <c r="S38" s="125"/>
      <c r="T38" s="125"/>
      <c r="U38" s="125"/>
    </row>
    <row r="39" spans="1:21" ht="42" customHeight="1" thickBot="1" x14ac:dyDescent="0.35">
      <c r="A39" s="166"/>
      <c r="B39" s="167"/>
      <c r="D39" s="167"/>
      <c r="E39" s="167"/>
      <c r="F39" s="167"/>
      <c r="G39" s="167"/>
      <c r="H39" s="165"/>
    </row>
    <row r="40" spans="1:21" ht="15.75" customHeight="1" thickBot="1" x14ac:dyDescent="0.35">
      <c r="A40" s="109" t="s">
        <v>50</v>
      </c>
      <c r="B40" s="110"/>
      <c r="C40" s="110"/>
      <c r="D40" s="165"/>
      <c r="E40" s="165"/>
      <c r="F40" s="165"/>
      <c r="G40" s="165"/>
      <c r="H40" s="168"/>
    </row>
    <row r="41" spans="1:21" ht="34.799999999999997" customHeight="1" thickBot="1" x14ac:dyDescent="0.35">
      <c r="A41" s="160" t="s">
        <v>47</v>
      </c>
      <c r="B41" s="110"/>
      <c r="C41" s="110"/>
      <c r="D41" s="165"/>
      <c r="E41" s="165"/>
      <c r="F41" s="165"/>
      <c r="G41" s="165"/>
      <c r="H41" s="165"/>
    </row>
    <row r="42" spans="1:21" ht="15.75" customHeight="1" thickBot="1" x14ac:dyDescent="0.35">
      <c r="A42" s="169"/>
      <c r="B42" s="168"/>
      <c r="C42" s="146"/>
      <c r="D42" s="168"/>
      <c r="E42" s="168"/>
      <c r="F42" s="168"/>
      <c r="G42" s="168"/>
      <c r="H42" s="165"/>
    </row>
    <row r="43" spans="1:21" ht="15.75" customHeight="1" thickBot="1" x14ac:dyDescent="0.35">
      <c r="A43" s="170" t="s">
        <v>62</v>
      </c>
      <c r="B43" s="165"/>
      <c r="C43" s="165"/>
      <c r="D43" s="165"/>
      <c r="E43" s="165"/>
      <c r="F43" s="165"/>
      <c r="G43" s="165"/>
      <c r="H43" s="165"/>
    </row>
    <row r="44" spans="1:21" ht="15.75" customHeight="1" thickBot="1" x14ac:dyDescent="0.35">
      <c r="A44" s="171" t="s">
        <v>59</v>
      </c>
      <c r="B44" s="172" t="s">
        <v>60</v>
      </c>
      <c r="C44" s="165"/>
      <c r="D44" s="165"/>
      <c r="E44" s="165"/>
      <c r="F44" s="165"/>
      <c r="G44" s="165"/>
      <c r="H44" s="165"/>
    </row>
    <row r="45" spans="1:21" ht="15.75" customHeight="1" thickBot="1" x14ac:dyDescent="0.35">
      <c r="A45" s="127">
        <v>0</v>
      </c>
      <c r="B45" s="173">
        <v>0</v>
      </c>
      <c r="C45" s="165"/>
      <c r="D45" s="165"/>
      <c r="E45" s="165"/>
      <c r="F45" s="165"/>
      <c r="G45" s="165"/>
      <c r="H45" s="165"/>
    </row>
  </sheetData>
  <dataValidations count="4">
    <dataValidation type="list" allowBlank="1" showErrorMessage="1" sqref="B15" xr:uid="{847BD95E-B4D7-4BB8-A8F0-25A092DA3699}">
      <formula1>"MASS,ELECTRICITY,EMISSIONS,ENERGY"</formula1>
    </dataValidation>
    <dataValidation type="list" allowBlank="1" showErrorMessage="1" sqref="C15" xr:uid="{4F60AD04-F57B-4BC3-9909-C7937E88110F}">
      <formula1>"IN,OUT"</formula1>
    </dataValidation>
    <dataValidation type="list" allowBlank="1" showErrorMessage="1" sqref="B22:B28" xr:uid="{F10B4410-E2FD-41B5-94EB-7BB5ED898792}">
      <formula1>"Cold,Hot"</formula1>
    </dataValidation>
    <dataValidation type="list" errorStyle="information" allowBlank="1" showInputMessage="1" showErrorMessage="1" sqref="E15 G15 I15 D22:D28 F22:F28 H22:H28 J22:J28 L22:L28 N22:N28 P22:P28 R22:R28" xr:uid="{8F154F9F-DA17-42A3-9984-5FB010DF7864}">
      <formula1>"-,kg,s,m,K,°C,W,bar,kg/h,t/h,kW,kW/m2K,W/m2K,kJ/kgK,kJ/kg,m3/h,%,eur,eur/y,kWel/kWth,year"</formula1>
    </dataValidation>
  </dataValidations>
  <pageMargins left="0.7" right="0.7" top="0.75" bottom="0.75" header="0" footer="0"/>
  <pageSetup orientation="landscape"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32F1F-CF62-4AB0-9578-ECB85EC0D266}">
  <sheetPr codeName="Sheet7">
    <outlinePr summaryBelow="0" summaryRight="0"/>
  </sheetPr>
  <dimension ref="A1:C2"/>
  <sheetViews>
    <sheetView showGridLines="0" zoomScale="85" zoomScaleNormal="85" workbookViewId="0">
      <selection activeCell="F32" sqref="D32:F32"/>
    </sheetView>
  </sheetViews>
  <sheetFormatPr defaultColWidth="14.44140625" defaultRowHeight="15" customHeight="1" x14ac:dyDescent="0.3"/>
  <cols>
    <col min="1" max="1" width="32.109375" style="26" bestFit="1" customWidth="1"/>
    <col min="2" max="2" width="20" style="26" customWidth="1"/>
    <col min="3" max="3" width="16.44140625" style="26" customWidth="1"/>
    <col min="4" max="5" width="14.44140625" style="26"/>
    <col min="6" max="6" width="24" style="26" customWidth="1"/>
    <col min="7" max="16384" width="14.44140625" style="26"/>
  </cols>
  <sheetData>
    <row r="1" spans="1:3" ht="15" customHeight="1" thickBot="1" x14ac:dyDescent="0.35">
      <c r="A1" s="73" t="s">
        <v>101</v>
      </c>
      <c r="B1" s="74" t="s">
        <v>40</v>
      </c>
      <c r="C1" s="75" t="s">
        <v>19</v>
      </c>
    </row>
    <row r="2" spans="1:3" thickBot="1" x14ac:dyDescent="0.35">
      <c r="A2" s="76" t="s">
        <v>27</v>
      </c>
      <c r="B2" s="77" t="s">
        <v>27</v>
      </c>
      <c r="C2" s="78" t="s">
        <v>27</v>
      </c>
    </row>
  </sheetData>
  <dataValidations count="1">
    <dataValidation type="list" errorStyle="information" allowBlank="1" showInputMessage="1" showErrorMessage="1" sqref="C2" xr:uid="{EC7B5127-262C-4FF4-B042-78274232C1C3}">
      <formula1>"-,kg,s,m,K,°C,W,bar,kg/h,t/h,kW,kW/m2K,W/m2K,kJ/kgK,kJ/kg,m3/h,%,eur,eur/y,kWel/kWth,year"</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3B9A0-EC48-4770-AA0C-536A7A99E06A}">
  <sheetPr codeName="Sheet8">
    <outlinePr summaryBelow="0" summaryRight="0"/>
  </sheetPr>
  <dimension ref="A1:D2"/>
  <sheetViews>
    <sheetView showGridLines="0" workbookViewId="0">
      <selection activeCell="F18" sqref="F18"/>
    </sheetView>
  </sheetViews>
  <sheetFormatPr defaultColWidth="14.44140625" defaultRowHeight="15" customHeight="1" x14ac:dyDescent="0.3"/>
  <cols>
    <col min="1" max="1" width="14.44140625" style="26"/>
    <col min="2" max="2" width="29.77734375" style="26" bestFit="1" customWidth="1"/>
    <col min="3" max="16384" width="14.44140625" style="26"/>
  </cols>
  <sheetData>
    <row r="1" spans="1:4" thickBot="1" x14ac:dyDescent="0.35">
      <c r="A1" s="73" t="s">
        <v>74</v>
      </c>
      <c r="B1" s="74" t="s">
        <v>98</v>
      </c>
      <c r="C1" s="74" t="s">
        <v>96</v>
      </c>
      <c r="D1" s="75" t="s">
        <v>97</v>
      </c>
    </row>
    <row r="2" spans="1:4" ht="15" customHeight="1" thickBot="1" x14ac:dyDescent="0.35">
      <c r="A2" s="79" t="s">
        <v>99</v>
      </c>
      <c r="B2" s="80" t="s">
        <v>7</v>
      </c>
      <c r="C2" s="81">
        <v>45690</v>
      </c>
      <c r="D2" s="82" t="s">
        <v>100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1B99B-46C8-419E-AB29-5184622303F2}">
  <sheetPr codeName="Sheet9"/>
  <dimension ref="A1:G3"/>
  <sheetViews>
    <sheetView showGridLines="0" zoomScale="85" zoomScaleNormal="85" workbookViewId="0">
      <selection activeCell="H19" sqref="H19"/>
    </sheetView>
  </sheetViews>
  <sheetFormatPr defaultColWidth="8.77734375" defaultRowHeight="14.4" x14ac:dyDescent="0.3"/>
  <cols>
    <col min="1" max="1" width="12.77734375" style="26" customWidth="1"/>
    <col min="2" max="2" width="18.44140625" style="26" customWidth="1"/>
    <col min="3" max="3" width="12.77734375" style="26" customWidth="1"/>
    <col min="4" max="4" width="11.44140625" style="26" customWidth="1"/>
    <col min="5" max="5" width="10" style="26" customWidth="1"/>
    <col min="6" max="6" width="32" style="26" customWidth="1"/>
    <col min="7" max="7" width="14.44140625" style="26" bestFit="1" customWidth="1"/>
    <col min="8" max="16384" width="8.77734375" style="26"/>
  </cols>
  <sheetData>
    <row r="1" spans="1:7" ht="15" thickBot="1" x14ac:dyDescent="0.35">
      <c r="A1" s="62" t="s">
        <v>94</v>
      </c>
      <c r="B1" s="69"/>
      <c r="C1" s="69"/>
      <c r="D1" s="69"/>
      <c r="E1" s="69"/>
      <c r="F1" s="69"/>
      <c r="G1" s="70"/>
    </row>
    <row r="2" spans="1:7" ht="15" thickBot="1" x14ac:dyDescent="0.35">
      <c r="A2" s="83" t="s">
        <v>95</v>
      </c>
      <c r="B2" s="71" t="s">
        <v>57</v>
      </c>
      <c r="C2" s="71" t="s">
        <v>18</v>
      </c>
      <c r="D2" s="71" t="s">
        <v>93</v>
      </c>
      <c r="E2" s="71" t="s">
        <v>92</v>
      </c>
      <c r="F2" s="71" t="s">
        <v>91</v>
      </c>
      <c r="G2" s="72" t="s">
        <v>76</v>
      </c>
    </row>
    <row r="3" spans="1:7" ht="15" thickBot="1" x14ac:dyDescent="0.35">
      <c r="A3" s="84">
        <v>1</v>
      </c>
      <c r="B3" s="222" t="s">
        <v>285</v>
      </c>
      <c r="C3" s="222" t="s">
        <v>286</v>
      </c>
      <c r="D3" s="222" t="s">
        <v>287</v>
      </c>
      <c r="E3" s="222" t="s">
        <v>288</v>
      </c>
      <c r="F3" s="80" t="s">
        <v>7</v>
      </c>
      <c r="G3" s="85">
        <v>46131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AC2DA-EE0D-4270-BA93-3F53B2EBA927}">
  <sheetPr codeName="Sheet10"/>
  <dimension ref="A1:A50"/>
  <sheetViews>
    <sheetView showGridLines="0" tabSelected="1" workbookViewId="0">
      <selection activeCell="A8" sqref="A8"/>
    </sheetView>
  </sheetViews>
  <sheetFormatPr defaultRowHeight="14.4" x14ac:dyDescent="0.3"/>
  <cols>
    <col min="1" max="1" width="140.77734375" style="265" customWidth="1"/>
    <col min="2" max="16384" width="8.88671875" style="265"/>
  </cols>
  <sheetData>
    <row r="1" spans="1:1" ht="15.6" thickTop="1" thickBot="1" x14ac:dyDescent="0.35">
      <c r="A1" s="264" t="s">
        <v>310</v>
      </c>
    </row>
    <row r="2" spans="1:1" ht="29.4" thickTop="1" x14ac:dyDescent="0.3">
      <c r="A2" s="265" t="s">
        <v>311</v>
      </c>
    </row>
    <row r="3" spans="1:1" x14ac:dyDescent="0.3">
      <c r="A3" s="265" t="s">
        <v>312</v>
      </c>
    </row>
    <row r="4" spans="1:1" ht="15" thickBot="1" x14ac:dyDescent="0.35"/>
    <row r="5" spans="1:1" ht="15.6" thickTop="1" thickBot="1" x14ac:dyDescent="0.35">
      <c r="A5" s="264" t="s">
        <v>313</v>
      </c>
    </row>
    <row r="6" spans="1:1" ht="15" thickTop="1" x14ac:dyDescent="0.3">
      <c r="A6" s="265" t="s">
        <v>314</v>
      </c>
    </row>
    <row r="7" spans="1:1" x14ac:dyDescent="0.3">
      <c r="A7" s="265" t="s">
        <v>315</v>
      </c>
    </row>
    <row r="8" spans="1:1" x14ac:dyDescent="0.3">
      <c r="A8" s="265" t="s">
        <v>316</v>
      </c>
    </row>
    <row r="9" spans="1:1" x14ac:dyDescent="0.3">
      <c r="A9" s="265" t="s">
        <v>317</v>
      </c>
    </row>
    <row r="10" spans="1:1" x14ac:dyDescent="0.3">
      <c r="A10" s="265" t="s">
        <v>318</v>
      </c>
    </row>
    <row r="11" spans="1:1" x14ac:dyDescent="0.3">
      <c r="A11" s="265" t="s">
        <v>319</v>
      </c>
    </row>
    <row r="12" spans="1:1" ht="15" thickBot="1" x14ac:dyDescent="0.35"/>
    <row r="13" spans="1:1" ht="15.6" thickTop="1" thickBot="1" x14ac:dyDescent="0.35">
      <c r="A13" s="264" t="s">
        <v>320</v>
      </c>
    </row>
    <row r="14" spans="1:1" ht="15" thickTop="1" x14ac:dyDescent="0.3">
      <c r="A14" s="265" t="str">
        <f>"Net Power Generation (W_bal): "&amp;TEXT(W_bal,"#,##0.00")&amp;" kW"</f>
        <v>Net Power Generation (W_bal): 34.03 kW</v>
      </c>
    </row>
    <row r="15" spans="1:1" x14ac:dyDescent="0.3">
      <c r="A15" s="265" t="str">
        <f>"Total Turbine Power (TURB1 + TURB2): "&amp;TEXT(TURB1+TURB2,"#,##0.00")&amp;" kW"</f>
        <v>Total Turbine Power (TURB1 + TURB2): 34.68 kW</v>
      </c>
    </row>
    <row r="16" spans="1:1" x14ac:dyDescent="0.3">
      <c r="A16" s="265" t="str">
        <f>"Annualized Investment Cost: "&amp;TEXT(Cinv2_ORC,"#,##0.00")&amp;" Euro/year"</f>
        <v>Annualized Investment Cost: 2,343.74 Euro/year</v>
      </c>
    </row>
    <row r="17" spans="1:1" x14ac:dyDescent="0.3">
      <c r="A17" s="265" t="str">
        <f>"Project Life Cycle: "&amp;TEXT(n,"0")&amp;" years at "&amp;TEXT(i*100,"0")&amp;"% interest rate."</f>
        <v>Project Life Cycle: 40 years at 6% interest rate.</v>
      </c>
    </row>
    <row r="18" spans="1:1" ht="15" thickBot="1" x14ac:dyDescent="0.35"/>
    <row r="19" spans="1:1" ht="15.6" thickTop="1" thickBot="1" x14ac:dyDescent="0.35">
      <c r="A19" s="264" t="s">
        <v>321</v>
      </c>
    </row>
    <row r="20" spans="1:1" ht="15" thickTop="1" x14ac:dyDescent="0.3">
      <c r="A20" s="265" t="str">
        <f>"Temperature inlet of the waste heat recovery boiler: "&amp;TEXT(HX1_Tin,"#,##0.00")&amp;" "&amp;"°C"</f>
        <v>Temperature inlet of the waste heat recovery boiler: 115.70 °C</v>
      </c>
    </row>
    <row r="21" spans="1:1" x14ac:dyDescent="0.3">
      <c r="A21" s="265" t="str">
        <f>"Temperature outlet of the waste heat recovery boiler: "&amp;TEXT(HX1_Tout,"#,##0.00")&amp;" "&amp;"°C"</f>
        <v>Temperature outlet of the waste heat recovery boiler: 241.40 °C</v>
      </c>
    </row>
    <row r="22" spans="1:1" x14ac:dyDescent="0.3">
      <c r="A22" s="265" t="str">
        <f>"Heating requirement for increasing the toluene temperature up to the saturation value (115.7 to 241.4 C): "&amp;TEXT(HX1_Q,"#,##0.00")&amp;" "&amp;"kW"</f>
        <v>Heating requirement for increasing the toluene temperature up to the saturation value (115.7 to 241.4 C): 81.13 kW</v>
      </c>
    </row>
    <row r="23" spans="1:1" x14ac:dyDescent="0.3">
      <c r="A23" s="265" t="str">
        <f>"Vaporization enthalpy of toluene at 241.4 C: "&amp;TEXT(HX2_Q,"#,##0.00")&amp;" "&amp;"kW"</f>
        <v>Vaporization enthalpy of toluene at 241.4 C: 69.20 kW</v>
      </c>
    </row>
    <row r="24" spans="1:1" x14ac:dyDescent="0.3">
      <c r="A24" s="265" t="str">
        <f>"Vaporization temperature of toluene: "&amp;TEXT(HX2_T,"#,##0.00")&amp;" "&amp;"°C"</f>
        <v>Vaporization temperature of toluene: 241.20 °C</v>
      </c>
    </row>
    <row r="25" spans="1:1" x14ac:dyDescent="0.3">
      <c r="A25" s="265" t="str">
        <f>"Power generation in the first expansion stage: "&amp;TEXT(TURB1,"#,##0.00")&amp;" "&amp;"kW"</f>
        <v>Power generation in the first expansion stage: 22.11 kW</v>
      </c>
    </row>
    <row r="26" spans="1:1" x14ac:dyDescent="0.3">
      <c r="A26" s="265" t="str">
        <f>"Temperature inlet of the process heat exchanger: "&amp;TEXT(HX3_Tin,"#,##0.00")&amp;" "&amp;"°C"</f>
        <v>Temperature inlet of the process heat exchanger: 178.30 °C</v>
      </c>
    </row>
    <row r="27" spans="1:1" x14ac:dyDescent="0.3">
      <c r="A27" s="265" t="str">
        <f>"Temperature outlet of the process heat exchanger: "&amp;TEXT(HX3_Tout,"#,##0.00")&amp;" "&amp;"°C"</f>
        <v>Temperature outlet of the process heat exchanger: 115.00 °C</v>
      </c>
    </row>
    <row r="28" spans="1:1" x14ac:dyDescent="0.3">
      <c r="A28" s="265" t="str">
        <f>"Heat supply to process heat exchanger (178.3C to 115C): "&amp;TEXT(HX3_Q,"#,##0.00")&amp;" "&amp;"kW"</f>
        <v>Heat supply to process heat exchanger (178.3C to 115C): 12.62 kW</v>
      </c>
    </row>
    <row r="29" spans="1:1" x14ac:dyDescent="0.3">
      <c r="A29" s="265" t="str">
        <f>"Cp of toluene at 150C: "&amp;TEXT(Cp,"#,##0.00")&amp;" "&amp;"kJ/kgK"</f>
        <v>Cp of toluene at 150C: 2.20 kJ/kgK</v>
      </c>
    </row>
    <row r="30" spans="1:1" x14ac:dyDescent="0.3">
      <c r="A30" s="265" t="str">
        <f>"Condensation enthalpy of toluene at 115 C: "&amp;TEXT(HX4_Q,"#,##0.00")&amp;" "&amp;"kW"</f>
        <v>Condensation enthalpy of toluene at 115 C: 45.36 kW</v>
      </c>
    </row>
    <row r="31" spans="1:1" x14ac:dyDescent="0.3">
      <c r="A31" s="265" t="str">
        <f>"Condensation temperature of toluene: "&amp;TEXT(HX4_T,"#,##0.00")&amp;" "&amp;"°C"</f>
        <v>Condensation temperature of toluene: 115.00 °C</v>
      </c>
    </row>
    <row r="32" spans="1:1" x14ac:dyDescent="0.3">
      <c r="A32" s="265" t="str">
        <f>"Power generation in the second expansion stage: "&amp;TEXT(TURB2,"#,##0.00")&amp;" "&amp;"kW"</f>
        <v>Power generation in the second expansion stage: 12.57 kW</v>
      </c>
    </row>
    <row r="33" spans="1:1" x14ac:dyDescent="0.3">
      <c r="A33" s="265" t="str">
        <f>"Temperature inlet of the second process heat exchanger: "&amp;TEXT(HX5_Tin,"#,##0.00")&amp;" "&amp;"°C"</f>
        <v>Temperature inlet of the second process heat exchanger: 125.30 °C</v>
      </c>
    </row>
    <row r="34" spans="1:1" x14ac:dyDescent="0.3">
      <c r="A34" s="265" t="str">
        <f>"Temperature outlet of the second process heat exchanger: "&amp;TEXT(HX5_Tout,"#,##0.00")&amp;" "&amp;"°C"</f>
        <v>Temperature outlet of the second process heat exchanger: 34.18 °C</v>
      </c>
    </row>
    <row r="35" spans="1:1" x14ac:dyDescent="0.3">
      <c r="A35" s="265" t="str">
        <f>"Heat supply to process heat exchanger (125.3C to 34.18C): "&amp;TEXT(HX5_Q,"#,##0.00")&amp;" "&amp;"kW"</f>
        <v>Heat supply to process heat exchanger (125.3C to 34.18C): 18.67 kW</v>
      </c>
    </row>
    <row r="36" spans="1:1" x14ac:dyDescent="0.3">
      <c r="A36" s="265" t="str">
        <f>"Condensation enthalpy of toluene at 34.18 C: "&amp;TEXT(HX6_Q,"#,##0.00")&amp;" "&amp;"kW"</f>
        <v>Condensation enthalpy of toluene at 34.18 C: 62.15 kW</v>
      </c>
    </row>
    <row r="37" spans="1:1" x14ac:dyDescent="0.3">
      <c r="A37" s="265" t="str">
        <f>"Condensation temperature of toluene: "&amp;TEXT(HX6_T,"#,##0.00")&amp;" "&amp;"°C"</f>
        <v>Condensation temperature of toluene: 34.18 °C</v>
      </c>
    </row>
    <row r="38" spans="1:1" x14ac:dyDescent="0.3">
      <c r="A38" s="265" t="str">
        <f>"Power consumed in the first pump: "&amp;TEXT(Pump1,"#,##0.00")&amp;" "&amp;"kW"</f>
        <v>Power consumed in the first pump: 0.62 kW</v>
      </c>
    </row>
    <row r="39" spans="1:1" x14ac:dyDescent="0.3">
      <c r="A39" s="265" t="str">
        <f>"Power consumed in the second pump: "&amp;TEXT(Pump2,"#,##0.00")&amp;" "&amp;"kW"</f>
        <v>Power consumed in the second pump: 0.03 kW</v>
      </c>
    </row>
    <row r="40" spans="1:1" x14ac:dyDescent="0.3">
      <c r="A40" s="265" t="str">
        <f>"Temperature inlet of the toluene preheater: "&amp;TEXT(HX7_Tin,"#,##0.00")&amp;" "&amp;"°C"</f>
        <v>Temperature inlet of the toluene preheater: 34.22 °C</v>
      </c>
    </row>
    <row r="41" spans="1:1" x14ac:dyDescent="0.3">
      <c r="A41" s="265" t="str">
        <f>"Temperature outlet of the toluene preheater: "&amp;TEXT(HX7_Tout,"#,##0.00")&amp;" "&amp;"°C"</f>
        <v>Temperature outlet of the toluene preheater: 115.00 °C</v>
      </c>
    </row>
    <row r="42" spans="1:1" x14ac:dyDescent="0.3">
      <c r="A42" s="265" t="str">
        <f>"Heating requirement for increasing the toluene temperature up to 115C: "&amp;TEXT(HX7_Q,"#,##0.00")&amp;" "&amp;"kW"</f>
        <v>Heating requirement for increasing the toluene temperature up to 115C: 22.51 kW</v>
      </c>
    </row>
    <row r="43" spans="1:1" x14ac:dyDescent="0.3">
      <c r="A43" s="265" t="str">
        <f>"Minimum temperature difference contribution: "&amp;TEXT(dtmin_2ph,"#,##0.00")&amp;" "&amp;"°C"</f>
        <v>Minimum temperature difference contribution: 2.00 °C</v>
      </c>
    </row>
    <row r="44" spans="1:1" x14ac:dyDescent="0.3">
      <c r="A44" s="265" t="str">
        <f>"Lifetime of an ORC: "&amp;TEXT(n,"#,##0.00")&amp;" "&amp;"year"</f>
        <v>Lifetime of an ORC: 40.00 year</v>
      </c>
    </row>
    <row r="45" spans="1:1" x14ac:dyDescent="0.3">
      <c r="A45" s="265" t="str">
        <f>"Interest rate: "&amp;TEXT(i,"#,##0.00")&amp;" "&amp;"-"</f>
        <v>Interest rate: 0.06 -</v>
      </c>
    </row>
    <row r="46" spans="1:1" x14ac:dyDescent="0.3">
      <c r="A46" s="265" t="str">
        <f>"Net power generation: "&amp;TEXT(W_bal,"#,##0.00")&amp;" "&amp;"kW"</f>
        <v>Net power generation: 34.03 kW</v>
      </c>
    </row>
    <row r="47" spans="1:1" x14ac:dyDescent="0.3">
      <c r="A47" s="265" t="str">
        <f>"Annualized investment cost for 2020: "&amp;TEXT(Cinv2_ORC,"#,##0.00")&amp;" "&amp;"eur/y"</f>
        <v>Annualized investment cost for 2020: 2,343.74 eur/y</v>
      </c>
    </row>
    <row r="48" spans="1:1" ht="15" thickBot="1" x14ac:dyDescent="0.35"/>
    <row r="49" spans="1:1" ht="15.6" thickTop="1" thickBot="1" x14ac:dyDescent="0.35">
      <c r="A49" s="264" t="s">
        <v>322</v>
      </c>
    </row>
    <row r="50" spans="1:1" ht="58.2" thickTop="1" x14ac:dyDescent="0.3">
      <c r="A50" s="265" t="s">
        <v>323</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92</vt:i4>
      </vt:variant>
    </vt:vector>
  </HeadingPairs>
  <TitlesOfParts>
    <vt:vector size="101" baseType="lpstr">
      <vt:lpstr>README</vt:lpstr>
      <vt:lpstr>METADATA</vt:lpstr>
      <vt:lpstr>CONNECTORS</vt:lpstr>
      <vt:lpstr>VARIABLES</vt:lpstr>
      <vt:lpstr>OrgRC</vt:lpstr>
      <vt:lpstr>CALCULATIONS</vt:lpstr>
      <vt:lpstr>CHANGELOG</vt:lpstr>
      <vt:lpstr>SUPPL MATERIAL</vt:lpstr>
      <vt:lpstr>DOCUMENTATION</vt:lpstr>
      <vt:lpstr>Annuity</vt:lpstr>
      <vt:lpstr>Annuity_max</vt:lpstr>
      <vt:lpstr>Annuity_min</vt:lpstr>
      <vt:lpstr>CEPCI_2008</vt:lpstr>
      <vt:lpstr>CEPCI_2008_max</vt:lpstr>
      <vt:lpstr>CEPCI_2008_min</vt:lpstr>
      <vt:lpstr>CEPCI_2020</vt:lpstr>
      <vt:lpstr>CEPCI_2020_max</vt:lpstr>
      <vt:lpstr>CEPCI_2020_min</vt:lpstr>
      <vt:lpstr>Cinv_ORC</vt:lpstr>
      <vt:lpstr>Cinv2_ORC</vt:lpstr>
      <vt:lpstr>Cinv2_ORC_max</vt:lpstr>
      <vt:lpstr>Cinv2_ORC_min</vt:lpstr>
      <vt:lpstr>Cp</vt:lpstr>
      <vt:lpstr>dtmin_2ph</vt:lpstr>
      <vt:lpstr>dtmin_2ph_max</vt:lpstr>
      <vt:lpstr>dtmin_2ph_min</vt:lpstr>
      <vt:lpstr>HX1_Q</vt:lpstr>
      <vt:lpstr>HX1_Q_max</vt:lpstr>
      <vt:lpstr>HX1_Q_min</vt:lpstr>
      <vt:lpstr>HX1_Tin</vt:lpstr>
      <vt:lpstr>HX1_Tin_max</vt:lpstr>
      <vt:lpstr>HX1_Tin_min</vt:lpstr>
      <vt:lpstr>HX1_Tout</vt:lpstr>
      <vt:lpstr>HX1_Tout_max</vt:lpstr>
      <vt:lpstr>HX1_Tout_min</vt:lpstr>
      <vt:lpstr>HX2_Q</vt:lpstr>
      <vt:lpstr>HX2_Q_max</vt:lpstr>
      <vt:lpstr>HX2_Q_min</vt:lpstr>
      <vt:lpstr>HX2_T</vt:lpstr>
      <vt:lpstr>HX2_T_max</vt:lpstr>
      <vt:lpstr>HX2_T_min</vt:lpstr>
      <vt:lpstr>HX3_Q</vt:lpstr>
      <vt:lpstr>HX3_Q_max</vt:lpstr>
      <vt:lpstr>HX3_Q_min</vt:lpstr>
      <vt:lpstr>HX3_Tin</vt:lpstr>
      <vt:lpstr>HX3_Tin_max</vt:lpstr>
      <vt:lpstr>HX3_Tin_min</vt:lpstr>
      <vt:lpstr>HX3_Tout</vt:lpstr>
      <vt:lpstr>HX3_Tout_max</vt:lpstr>
      <vt:lpstr>HX3_Tout_min</vt:lpstr>
      <vt:lpstr>HX4_Q</vt:lpstr>
      <vt:lpstr>HX4_Q_max</vt:lpstr>
      <vt:lpstr>HX4_Q_min</vt:lpstr>
      <vt:lpstr>HX4_T</vt:lpstr>
      <vt:lpstr>HX4_T_max</vt:lpstr>
      <vt:lpstr>HX4_T_min</vt:lpstr>
      <vt:lpstr>HX5_Q</vt:lpstr>
      <vt:lpstr>HX5_Q_max</vt:lpstr>
      <vt:lpstr>HX5_Q_min</vt:lpstr>
      <vt:lpstr>HX5_Tin</vt:lpstr>
      <vt:lpstr>HX5_Tin_max</vt:lpstr>
      <vt:lpstr>HX5_Tin_min</vt:lpstr>
      <vt:lpstr>HX5_Tout</vt:lpstr>
      <vt:lpstr>HX5_Tout_max</vt:lpstr>
      <vt:lpstr>HX5_Tout_min</vt:lpstr>
      <vt:lpstr>HX6_Q</vt:lpstr>
      <vt:lpstr>HX6_Q_max</vt:lpstr>
      <vt:lpstr>HX6_Q_min</vt:lpstr>
      <vt:lpstr>HX6_T</vt:lpstr>
      <vt:lpstr>HX6_T_max</vt:lpstr>
      <vt:lpstr>HX6_T_min</vt:lpstr>
      <vt:lpstr>HX7_Q</vt:lpstr>
      <vt:lpstr>HX7_Q_max</vt:lpstr>
      <vt:lpstr>HX7_Q_min</vt:lpstr>
      <vt:lpstr>HX7_Tin</vt:lpstr>
      <vt:lpstr>HX7_Tin_max</vt:lpstr>
      <vt:lpstr>HX7_Tin_min</vt:lpstr>
      <vt:lpstr>HX7_Tout</vt:lpstr>
      <vt:lpstr>HX7_Tout_max</vt:lpstr>
      <vt:lpstr>HX7_Tout_min</vt:lpstr>
      <vt:lpstr>i</vt:lpstr>
      <vt:lpstr>i_max</vt:lpstr>
      <vt:lpstr>i_min</vt:lpstr>
      <vt:lpstr>n</vt:lpstr>
      <vt:lpstr>n_max</vt:lpstr>
      <vt:lpstr>n_min</vt:lpstr>
      <vt:lpstr>Pump1</vt:lpstr>
      <vt:lpstr>Pump1_max</vt:lpstr>
      <vt:lpstr>Pump1_min</vt:lpstr>
      <vt:lpstr>Pump2</vt:lpstr>
      <vt:lpstr>Pump2_max</vt:lpstr>
      <vt:lpstr>Pump2_min</vt:lpstr>
      <vt:lpstr>TURB1</vt:lpstr>
      <vt:lpstr>TURB1_max</vt:lpstr>
      <vt:lpstr>TURB1_min</vt:lpstr>
      <vt:lpstr>TURB2</vt:lpstr>
      <vt:lpstr>TURB2_max</vt:lpstr>
      <vt:lpstr>TURB2_min</vt:lpstr>
      <vt:lpstr>W_bal</vt:lpstr>
      <vt:lpstr>W_bal_max</vt:lpstr>
      <vt:lpstr>W_bal_min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A Florez Orrego</dc:creator>
  <cp:lastModifiedBy>baptiste mabboux</cp:lastModifiedBy>
  <dcterms:created xsi:type="dcterms:W3CDTF">2023-07-04T12:09:19Z</dcterms:created>
  <dcterms:modified xsi:type="dcterms:W3CDTF">2026-05-06T12:20:02Z</dcterms:modified>
</cp:coreProperties>
</file>