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workbookPr codeName="ThisWorkbook"/>
  <mc:AlternateContent xmlns:mc="http://schemas.openxmlformats.org/markup-compatibility/2006">
    <mc:Choice Requires="x15">
      <x15ac:absPath xmlns:x15ac="http://schemas.microsoft.com/office/spreadsheetml/2010/11/ac" url="C:\Users\Quentin\Documents\epfl\ipese project\Code\models\thermal_conversion\Organic_Rankine\"/>
    </mc:Choice>
  </mc:AlternateContent>
  <xr:revisionPtr revIDLastSave="0" documentId="13_ncr:1_{156774DF-7AD1-4542-8E56-20B63056E2BA}" xr6:coauthVersionLast="47" xr6:coauthVersionMax="47" xr10:uidLastSave="{00000000-0000-0000-0000-000000000000}"/>
  <bookViews>
    <workbookView xWindow="-98" yWindow="-98" windowWidth="21795" windowHeight="12975" activeTab="4" xr2:uid="{00000000-000D-0000-FFFF-FFFF00000000}"/>
  </bookViews>
  <sheets>
    <sheet name="README" sheetId="1" r:id="rId1"/>
    <sheet name="METADATA" sheetId="2" r:id="rId2"/>
    <sheet name="CONNECTORS" sheetId="23" r:id="rId3"/>
    <sheet name="VARIABLES" sheetId="18" r:id="rId4"/>
    <sheet name="OrgRC" sheetId="26" r:id="rId5"/>
    <sheet name="CALCULATIONS" sheetId="20" r:id="rId6"/>
    <sheet name="CHANGELOG" sheetId="21" r:id="rId7"/>
    <sheet name="SUPPL MATERIAL" sheetId="22" r:id="rId8"/>
    <sheet name="DOCUMENTATION" sheetId="28" r:id="rId9"/>
  </sheets>
  <definedNames>
    <definedName name="Annuity">VARIABLES!$E$45</definedName>
    <definedName name="Annuity_max">VARIABLES!$I$45</definedName>
    <definedName name="Annuity_min">VARIABLES!$H$45</definedName>
    <definedName name="CEPCI_2008">VARIABLES!$E$43</definedName>
    <definedName name="CEPCI_2008_max">VARIABLES!$I$43</definedName>
    <definedName name="CEPCI_2008_min">VARIABLES!$H$43</definedName>
    <definedName name="CEPCI_2020">VARIABLES!$E$42</definedName>
    <definedName name="CEPCI_2020_max">VARIABLES!$I$42</definedName>
    <definedName name="CEPCI_2020_min">VARIABLES!$H$42</definedName>
    <definedName name="Cinv_ORC">VARIABLES!$E$46</definedName>
    <definedName name="Cinv2_ORC">VARIABLES!$E$47</definedName>
    <definedName name="Cinv2_ORC_max">VARIABLES!$I$47</definedName>
    <definedName name="Cinv2_ORC_min">VARIABLES!$H$47</definedName>
    <definedName name="Cp">VARIABLES!$E$25</definedName>
    <definedName name="dtmin_2ph">VARIABLES!$E$39</definedName>
    <definedName name="dtmin_2ph_max">VARIABLES!$I$39</definedName>
    <definedName name="dtmin_2ph_min">VARIABLES!$H$39</definedName>
    <definedName name="HX1_Q">VARIABLES!$E$18</definedName>
    <definedName name="HX1_Q_max">VARIABLES!$I$18</definedName>
    <definedName name="HX1_Q_min">VARIABLES!$H$18</definedName>
    <definedName name="HX1_Tin">VARIABLES!$E$16</definedName>
    <definedName name="HX1_Tin_max">VARIABLES!$I$16</definedName>
    <definedName name="HX1_Tin_min">VARIABLES!$H$16</definedName>
    <definedName name="HX1_Tout">VARIABLES!$E$17</definedName>
    <definedName name="HX1_Tout_max">VARIABLES!$I$17</definedName>
    <definedName name="HX1_Tout_min">VARIABLES!$H$17</definedName>
    <definedName name="HX2_Q">VARIABLES!$E$19</definedName>
    <definedName name="HX2_Q_max">VARIABLES!$I$19</definedName>
    <definedName name="HX2_Q_min">VARIABLES!$H$19</definedName>
    <definedName name="HX2_T">VARIABLES!$E$20</definedName>
    <definedName name="HX2_T_max">VARIABLES!$I$20</definedName>
    <definedName name="HX2_T_min">VARIABLES!$H$20</definedName>
    <definedName name="HX3_Q">VARIABLES!$E$24</definedName>
    <definedName name="HX3_Q_max">VARIABLES!$I$24</definedName>
    <definedName name="HX3_Q_min">VARIABLES!$H$24</definedName>
    <definedName name="HX3_Tin">VARIABLES!$E$22</definedName>
    <definedName name="HX3_Tin_max">VARIABLES!$I$22</definedName>
    <definedName name="HX3_Tin_min">VARIABLES!$H$22</definedName>
    <definedName name="HX3_Tout">VARIABLES!$E$23</definedName>
    <definedName name="HX3_Tout_max">VARIABLES!$I$23</definedName>
    <definedName name="HX3_Tout_min">VARIABLES!$H$23</definedName>
    <definedName name="HX4_Q">VARIABLES!$E$26</definedName>
    <definedName name="HX4_Q_max">VARIABLES!$I$26</definedName>
    <definedName name="HX4_Q_min">VARIABLES!$H$26</definedName>
    <definedName name="HX4_T">VARIABLES!$E$27</definedName>
    <definedName name="HX4_T_max">VARIABLES!$I$27</definedName>
    <definedName name="HX4_T_min">VARIABLES!$H$27</definedName>
    <definedName name="HX5_Q">VARIABLES!$E$31</definedName>
    <definedName name="HX5_Q_max">VARIABLES!$I$31</definedName>
    <definedName name="HX5_Q_min">VARIABLES!$H$31</definedName>
    <definedName name="HX5_Tin">VARIABLES!$E$29</definedName>
    <definedName name="HX5_Tin_max">VARIABLES!$I$29</definedName>
    <definedName name="HX5_Tin_min">VARIABLES!$H$29</definedName>
    <definedName name="HX5_Tout">VARIABLES!$E$30</definedName>
    <definedName name="HX5_Tout_max">VARIABLES!$I$30</definedName>
    <definedName name="HX5_Tout_min">VARIABLES!$H$30</definedName>
    <definedName name="HX6_Q">VARIABLES!$E$32</definedName>
    <definedName name="HX6_Q_max">VARIABLES!$I$32</definedName>
    <definedName name="HX6_Q_min">VARIABLES!$H$32</definedName>
    <definedName name="HX6_T">VARIABLES!$E$33</definedName>
    <definedName name="HX6_T_max">VARIABLES!$I$33</definedName>
    <definedName name="HX6_T_min">VARIABLES!$H$33</definedName>
    <definedName name="HX7_Q">VARIABLES!$E$38</definedName>
    <definedName name="HX7_Q_max">VARIABLES!$I$38</definedName>
    <definedName name="HX7_Q_min">VARIABLES!$H$38</definedName>
    <definedName name="HX7_Tin">VARIABLES!$E$36</definedName>
    <definedName name="HX7_Tin_max">VARIABLES!$I$36</definedName>
    <definedName name="HX7_Tin_min">VARIABLES!$H$36</definedName>
    <definedName name="HX7_Tout">VARIABLES!$E$37</definedName>
    <definedName name="HX7_Tout_max">VARIABLES!$I$37</definedName>
    <definedName name="HX7_Tout_min">VARIABLES!$H$37</definedName>
    <definedName name="i">VARIABLES!$E$41</definedName>
    <definedName name="i_max">VARIABLES!$I$41</definedName>
    <definedName name="i_min">VARIABLES!$H$41</definedName>
    <definedName name="n">VARIABLES!$E$40</definedName>
    <definedName name="n_max">VARIABLES!$I$40</definedName>
    <definedName name="n_min">VARIABLES!$H$40</definedName>
    <definedName name="Pump1">VARIABLES!$E$34</definedName>
    <definedName name="Pump1_max">VARIABLES!$I$34</definedName>
    <definedName name="Pump1_min">VARIABLES!$H$34</definedName>
    <definedName name="Pump2">VARIABLES!$E$35</definedName>
    <definedName name="Pump2_max">VARIABLES!$I$35</definedName>
    <definedName name="Pump2_min">VARIABLES!$H$35</definedName>
    <definedName name="TURB1">VARIABLES!$E$21</definedName>
    <definedName name="TURB1_max">VARIABLES!$I$21</definedName>
    <definedName name="TURB1_min">VARIABLES!$H$21</definedName>
    <definedName name="TURB2">VARIABLES!$E$28</definedName>
    <definedName name="TURB2_max">VARIABLES!$I$28</definedName>
    <definedName name="TURB2_min">VARIABLES!$H$28</definedName>
    <definedName name="W_bal">VARIABLES!$E$44</definedName>
    <definedName name="W_bal_max">VARIABLES!$I$44</definedName>
    <definedName name="W_bal_min">VARIABLES!$H$44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47" i="28" l="1"/>
  <c r="A46" i="28"/>
  <c r="A45" i="28"/>
  <c r="A44" i="28"/>
  <c r="A43" i="28"/>
  <c r="A42" i="28"/>
  <c r="A41" i="28"/>
  <c r="A40" i="28"/>
  <c r="A39" i="28"/>
  <c r="A38" i="28"/>
  <c r="A37" i="28"/>
  <c r="A36" i="28"/>
  <c r="A35" i="28"/>
  <c r="A34" i="28"/>
  <c r="A33" i="28"/>
  <c r="A32" i="28"/>
  <c r="A31" i="28"/>
  <c r="A30" i="28"/>
  <c r="A29" i="28"/>
  <c r="A28" i="28"/>
  <c r="A27" i="28"/>
  <c r="A26" i="28"/>
  <c r="A25" i="28"/>
  <c r="A24" i="28"/>
  <c r="A23" i="28"/>
  <c r="A22" i="28"/>
  <c r="A21" i="28"/>
  <c r="A20" i="28"/>
  <c r="A17" i="28"/>
  <c r="A16" i="28"/>
  <c r="A15" i="28"/>
  <c r="A14" i="28"/>
  <c r="B12" i="2"/>
  <c r="E47" i="18"/>
  <c r="E46" i="18"/>
  <c r="E45" i="18"/>
  <c r="E44" i="18"/>
  <c r="K23" i="26" l="1"/>
  <c r="K27" i="26"/>
  <c r="K25" i="26"/>
  <c r="K26" i="26"/>
  <c r="K28" i="26"/>
  <c r="K22" i="26"/>
  <c r="M26" i="26"/>
  <c r="M27" i="26"/>
  <c r="M28" i="26"/>
  <c r="M25" i="26"/>
  <c r="M23" i="26"/>
  <c r="M22" i="26"/>
  <c r="M24" i="26"/>
  <c r="K24" i="26"/>
  <c r="G28" i="26" l="1"/>
  <c r="G23" i="26"/>
  <c r="G22" i="26"/>
  <c r="F38" i="26"/>
  <c r="F36" i="26"/>
  <c r="F35" i="26"/>
  <c r="O28" i="26" l="1"/>
  <c r="O24" i="26"/>
  <c r="O25" i="26"/>
  <c r="O26" i="26"/>
  <c r="O27" i="26"/>
  <c r="O23" i="26"/>
  <c r="O22" i="26"/>
  <c r="I27" i="26"/>
  <c r="I26" i="26"/>
  <c r="I25" i="26"/>
  <c r="I24" i="26"/>
  <c r="E28" i="26"/>
  <c r="E27" i="26"/>
  <c r="E26" i="26"/>
  <c r="E25" i="26"/>
  <c r="E24" i="26"/>
  <c r="E23" i="26"/>
  <c r="E22" i="26"/>
  <c r="C28" i="26"/>
  <c r="C27" i="26"/>
  <c r="C26" i="26"/>
  <c r="C25" i="26"/>
  <c r="C24" i="26"/>
  <c r="C23" i="26"/>
  <c r="C22" i="26"/>
  <c r="D15" i="26" l="1"/>
  <c r="F37"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tc={1707213C-97FC-4C9D-94F6-0A0B3239384F}</author>
    <author>tc={5B5892F7-A35F-4BB6-8D40-7A65CCF379D5}</author>
  </authors>
  <commentList>
    <comment ref="K22" authorId="0" shapeId="0" xr:uid="{1707213C-97FC-4C9D-94F6-0A0B3239384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Computed from Q = m*cp*dT</t>
      </text>
    </comment>
    <comment ref="K23" authorId="1" shapeId="0" xr:uid="{5B5892F7-A35F-4BB6-8D40-7A65CCF379D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Computed from Q = m*L (latent heat)</t>
      </text>
    </comment>
  </commentList>
</comments>
</file>

<file path=xl/sharedStrings.xml><?xml version="1.0" encoding="utf-8"?>
<sst xmlns="http://schemas.openxmlformats.org/spreadsheetml/2006/main" count="657" uniqueCount="324">
  <si>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</si>
  <si>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</si>
  <si>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</si>
  <si>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</si>
  <si>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</si>
  <si>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</si>
  <si>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</si>
  <si>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</si>
  <si>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</si>
  <si>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</si>
  <si>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</si>
  <si>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</si>
  <si>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</si>
  <si>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</si>
  <si>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</si>
  <si>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</si>
  <si>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</si>
  <si>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</si>
  <si>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</si>
  <si>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</si>
  <si>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 UNIT</t>
  </si>
  <si>
    <t>PRESSURE UNIT</t>
  </si>
  <si>
    <t>VAPOR FRACTION [MASS]</t>
  </si>
  <si>
    <t>PHASE</t>
  </si>
  <si>
    <t>COMPOSITION [MOLE/MASS]</t>
  </si>
  <si>
    <t>ELECTRICITY</t>
  </si>
  <si>
    <t>kW</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</si>
  <si>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</si>
  <si>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</si>
  <si>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</si>
  <si>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</si>
  <si>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</si>
  <si>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</si>
  <si>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</si>
  <si>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</si>
  <si>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</si>
  <si>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</si>
  <si>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</si>
  <si>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MANDATORY</t>
  </si>
  <si>
    <t>DIRECTION</t>
  </si>
  <si>
    <t>VALUE</t>
  </si>
  <si>
    <t>OUT</t>
  </si>
  <si>
    <t>HEAT STREAMS</t>
  </si>
  <si>
    <t>Cold</t>
  </si>
  <si>
    <t>Hot</t>
  </si>
  <si>
    <t>EQUIPMENTS</t>
  </si>
  <si>
    <t>Asset</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</si>
  <si>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</si>
  <si>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</si>
  <si>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</si>
  <si>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</si>
  <si>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</si>
  <si>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</si>
  <si>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</si>
  <si>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</si>
  <si>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</si>
  <si>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</si>
  <si>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</si>
  <si>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</si>
  <si>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</si>
  <si>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</si>
  <si>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</si>
  <si>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</si>
  <si>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</si>
  <si>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</si>
  <si>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</si>
  <si>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</si>
  <si>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</si>
  <si>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</si>
  <si>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</si>
  <si>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</si>
  <si>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</si>
  <si>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</si>
  <si>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</si>
  <si>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</si>
  <si>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</si>
  <si>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</si>
  <si>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</si>
  <si>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</si>
  <si>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</si>
  <si>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</si>
  <si>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</si>
  <si>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</si>
  <si>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</si>
  <si>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</si>
  <si>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</si>
  <si>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</si>
  <si>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</si>
  <si>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</si>
  <si>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</si>
  <si>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</si>
  <si>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</si>
  <si>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</si>
  <si>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</si>
  <si>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</si>
  <si>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</si>
  <si>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</si>
  <si>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</si>
  <si>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</si>
  <si>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</si>
  <si>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</si>
  <si>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</si>
  <si>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</si>
  <si>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</si>
  <si>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</si>
  <si>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</si>
  <si>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</si>
  <si>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</si>
  <si>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</si>
  <si>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</si>
  <si>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</si>
  <si>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</si>
  <si>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</si>
  <si>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</si>
  <si>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</si>
  <si>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</si>
  <si>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</si>
  <si>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</si>
  <si>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</si>
  <si>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</si>
  <si>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</si>
  <si>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</si>
  <si>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</si>
  <si>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</si>
  <si>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</si>
  <si>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</si>
  <si>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</si>
  <si>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</si>
  <si>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</si>
  <si>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</si>
  <si>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</si>
  <si>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</si>
  <si>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</si>
  <si>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</si>
  <si>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</si>
  <si>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</si>
  <si>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</si>
  <si>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</si>
  <si>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</si>
  <si>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</si>
  <si>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</si>
  <si>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</si>
  <si>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</si>
  <si>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</si>
  <si>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</si>
  <si>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</si>
  <si>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</si>
  <si>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</si>
  <si>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</si>
  <si>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</si>
  <si>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</si>
  <si>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</si>
  <si>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</si>
  <si>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Compare Fmin and Fmax to define if it scalable of fixed, if fixed Fmin=Fmax=Fmult</t>
  </si>
  <si>
    <t>FORMULA OR PATH</t>
  </si>
  <si>
    <t>DEFAULT VALUE</t>
  </si>
  <si>
    <t>Organic Rankine</t>
  </si>
  <si>
    <t>Daniel Flórez-Orrego, EPFL IPESE research group</t>
  </si>
  <si>
    <t>None</t>
  </si>
  <si>
    <t>Figures/orc.svg</t>
  </si>
  <si>
    <t>HX1_Tin</t>
  </si>
  <si>
    <t>CONTEXT</t>
  </si>
  <si>
    <t>Temperature inlet of the waste heat recovery boiler</t>
  </si>
  <si>
    <t>$HX1_{Tin}$</t>
  </si>
  <si>
    <t>HX1_Tout</t>
  </si>
  <si>
    <t>Temperature outlet of the waste heat recovery boiler</t>
  </si>
  <si>
    <t>$HX1_{Tout}$</t>
  </si>
  <si>
    <t>HX1_Q</t>
  </si>
  <si>
    <t>Heating requirement for increasing the toluene temperature up to the saturation value (115.7 to 241.4 C)</t>
  </si>
  <si>
    <t>$HX1_{Q}$</t>
  </si>
  <si>
    <t>HX2_Q</t>
  </si>
  <si>
    <t>Vaporization enthalpy of toluene at 241.4 C</t>
  </si>
  <si>
    <t>$HX2_{Q}$</t>
  </si>
  <si>
    <t>TURB1</t>
  </si>
  <si>
    <t>Power generation in the first expansion stage</t>
  </si>
  <si>
    <t>$TURB1$</t>
  </si>
  <si>
    <t>HX3_Tin</t>
  </si>
  <si>
    <t>Temperature inlet of the process heat exchanger</t>
  </si>
  <si>
    <t>$HX3_{Tin}$</t>
  </si>
  <si>
    <t>HX3_Tout</t>
  </si>
  <si>
    <t>Temperature outlet of the process heat exchanger</t>
  </si>
  <si>
    <t>$HX3_{Tout}$</t>
  </si>
  <si>
    <t>HX3_Q</t>
  </si>
  <si>
    <t>Heat supply to process heat exchanger (178.3C to 115C)</t>
  </si>
  <si>
    <t>$HX3_{Q}$</t>
  </si>
  <si>
    <t>HX4_Q</t>
  </si>
  <si>
    <t>Condensation enthalpy of toluene at 115 C</t>
  </si>
  <si>
    <t>$HX4_{Q}$</t>
  </si>
  <si>
    <t>TURB2</t>
  </si>
  <si>
    <t>Power generation in the second expansion stage</t>
  </si>
  <si>
    <t>$TURB2$</t>
  </si>
  <si>
    <t>HX5_Tin</t>
  </si>
  <si>
    <t>Temperature inlet of the second process heat exchanger</t>
  </si>
  <si>
    <t>$HX5_{Tin}$</t>
  </si>
  <si>
    <t>HX5_Tout</t>
  </si>
  <si>
    <t>Temperature outlet of the second process heat exchanger</t>
  </si>
  <si>
    <t>$HX5_{Tout}$</t>
  </si>
  <si>
    <t>HX5_Q</t>
  </si>
  <si>
    <t>Heat supply to process heat exchanger (125.3C to 34.18C)</t>
  </si>
  <si>
    <t>$HX5_{Q}$</t>
  </si>
  <si>
    <t>HX6_Q</t>
  </si>
  <si>
    <t>Condensation enthalpy of toluene at 34.18 C</t>
  </si>
  <si>
    <t>$HX6_{Q}$</t>
  </si>
  <si>
    <t>Pump1</t>
  </si>
  <si>
    <t>Power consumed in the first pump</t>
  </si>
  <si>
    <t>$Pump1$</t>
  </si>
  <si>
    <t>Pump2</t>
  </si>
  <si>
    <t>Power consumed in the second pump</t>
  </si>
  <si>
    <t>$Pump2$</t>
  </si>
  <si>
    <t>HX7_Tin</t>
  </si>
  <si>
    <t>Temperature inlet of the toluene preheater</t>
  </si>
  <si>
    <t>$HX7_{Tin}$</t>
  </si>
  <si>
    <t>HX7_Tout</t>
  </si>
  <si>
    <t>Temperature outlet of the toluene preheater</t>
  </si>
  <si>
    <t>$HX7_{Tout}$</t>
  </si>
  <si>
    <t>HX7_Q</t>
  </si>
  <si>
    <t>Heating requirement for increasing the toluene temperature up to 115C</t>
  </si>
  <si>
    <t>$HX7_{Q}$</t>
  </si>
  <si>
    <t>dtmin_2ph</t>
  </si>
  <si>
    <t>Minimum temperature difference contribution</t>
  </si>
  <si>
    <t>$dtmin_{2ph}$</t>
  </si>
  <si>
    <t>n</t>
  </si>
  <si>
    <t>Lifetime of an ORC</t>
  </si>
  <si>
    <t>$n$</t>
  </si>
  <si>
    <t>i</t>
  </si>
  <si>
    <t>Interest rate</t>
  </si>
  <si>
    <t>$i$</t>
  </si>
  <si>
    <t>CEPCI_2020</t>
  </si>
  <si>
    <t>$CEPCI_{2020}$</t>
  </si>
  <si>
    <t>CEPCI_2008</t>
  </si>
  <si>
    <t>CEPCI 2008</t>
  </si>
  <si>
    <t>$CEPCI_{2008}$</t>
  </si>
  <si>
    <t>W_bal</t>
  </si>
  <si>
    <t>Net power generation</t>
  </si>
  <si>
    <t>$W_{bal}$</t>
  </si>
  <si>
    <t>Annuity</t>
  </si>
  <si>
    <t>Annualization factor</t>
  </si>
  <si>
    <t>$Annuity$</t>
  </si>
  <si>
    <t>Cinv2_ORC</t>
  </si>
  <si>
    <t>$Cinv2_{ORC}$</t>
  </si>
  <si>
    <t>Electricity</t>
  </si>
  <si>
    <t>OrgRC</t>
  </si>
  <si>
    <t>hex1</t>
  </si>
  <si>
    <t>hex2</t>
  </si>
  <si>
    <t>hex3</t>
  </si>
  <si>
    <t>hex4</t>
  </si>
  <si>
    <t>hex5</t>
  </si>
  <si>
    <t>hex6</t>
  </si>
  <si>
    <t>hex7</t>
  </si>
  <si>
    <t>RankineCycle</t>
  </si>
  <si>
    <t>Organic Rankine Cycle for waste heat recovery and electricity generation</t>
  </si>
  <si>
    <t xml:space="preserve">Rankine Cycle, Waste heat recovery, Power generation, Organic fluid, Electricity </t>
  </si>
  <si>
    <t>HX2_T</t>
  </si>
  <si>
    <t>Vaporization temperature of toluene</t>
  </si>
  <si>
    <t>$HX2_T$</t>
  </si>
  <si>
    <t>HX4_T</t>
  </si>
  <si>
    <t>Condensation temperature of toluene</t>
  </si>
  <si>
    <t>$HX4_T$</t>
  </si>
  <si>
    <t>HX6_T</t>
  </si>
  <si>
    <t>$HX6_T$</t>
  </si>
  <si>
    <t>K</t>
  </si>
  <si>
    <t>kW/m2K</t>
  </si>
  <si>
    <t>DEFAULT</t>
  </si>
  <si>
    <t>No</t>
  </si>
  <si>
    <t>Yes</t>
  </si>
  <si>
    <t>Waste heat recovery boiler</t>
  </si>
  <si>
    <t>Vaporization</t>
  </si>
  <si>
    <t xml:space="preserve">Condensation </t>
  </si>
  <si>
    <t>Second process heat exchanger</t>
  </si>
  <si>
    <t>First process heat exchanger</t>
  </si>
  <si>
    <t>Preheater</t>
  </si>
  <si>
    <t>Lifetime</t>
  </si>
  <si>
    <t>%</t>
  </si>
  <si>
    <t>CEPCI 2020</t>
  </si>
  <si>
    <t>Cinv_ORC</t>
  </si>
  <si>
    <t>Total investment cost</t>
  </si>
  <si>
    <t>Eur</t>
  </si>
  <si>
    <t>Organic Rankine Cycle</t>
  </si>
  <si>
    <t>@Florez-Orrego et al</t>
  </si>
  <si>
    <t>Cp</t>
  </si>
  <si>
    <t>LITERATURE</t>
  </si>
  <si>
    <t>Cp of toluene at 150C</t>
  </si>
  <si>
    <t>kJ/kgK</t>
  </si>
  <si>
    <t>$c_p$</t>
  </si>
  <si>
    <t>kg/h</t>
  </si>
  <si>
    <t>orc</t>
  </si>
  <si>
    <t>Drawio</t>
  </si>
  <si>
    <t>.svg</t>
  </si>
  <si>
    <t>50 kB</t>
  </si>
  <si>
    <t>UID</t>
  </si>
  <si>
    <t>TEMPERATURE</t>
  </si>
  <si>
    <t>PRESSURE</t>
  </si>
  <si>
    <t>Generated electricity</t>
  </si>
  <si>
    <t>°C</t>
  </si>
  <si>
    <t>The OrgRC is a scalable utility unit designed to convert thermal energy into electricity. The organic working fluid is pumped to a waste heat recovery boiler where it is heated and evaporated. It then expands through a turbine before passing through a condenser to return to a liquid state.</t>
  </si>
  <si>
    <t>The system's primary output is electrical power. It generates a net flow of 34.03 kW of electricity.</t>
  </si>
  <si>
    <t>Thermal flows representing heating (e.g., vaporization) and cooling (e.g., condensation) stages, used to balance cycle energy and optimize waste heat recovery.</t>
  </si>
  <si>
    <t>Physical system assets (e.g., the ORC unit) defining financial parameters like lifetime, interest rate, and total investment cost (CAPEX) for economic calculations.</t>
  </si>
  <si>
    <t>Annualized investment cost for 2020</t>
  </si>
  <si>
    <t>$Cinv_{ORC}$</t>
  </si>
  <si>
    <t>TURB1+TURB2-Pump1-Pump2</t>
  </si>
  <si>
    <t>(i*(i+1)^n)/((1+i)^n-1)</t>
  </si>
  <si>
    <t>W_bal*1000</t>
  </si>
  <si>
    <t>1000*W_bal*(CEPCI_2020/CEPCI_2008)*Annuity</t>
  </si>
  <si>
    <t>year</t>
  </si>
  <si>
    <t>eur</t>
  </si>
  <si>
    <t>eur/y</t>
  </si>
  <si>
    <t xml:space="preserve">[1] Pardeep Garg, Matthew S. Orosz, Pramod Kumar,Thermo-economic evaluation of ORCs for various working fluids,Applied Thermal Engineering,Volume 109, Part B,2016,Pages 841-853,ISSN 1359-4311,https://doi.org/10.1016/j.applthermaleng.2016.06.083;
[2] Turton et al, 2012;
[3] Bruno et al, 1998
</t>
  </si>
  <si>
    <t>EPFL IPESE research group</t>
  </si>
  <si>
    <t>kJ/kg</t>
  </si>
  <si>
    <t>1. System Overview</t>
  </si>
  <si>
    <t>The Organic Rankine Cycle (ORC) is a variation of the Rankine cycle that utilizes an organic, high-molecular-mass fluid. Because these fluids have lower vaporization temperatures than water, they enable heat recovery from low-temperature sources such as biomass combustion, industrial waste heat, and geothermal reservoirs.</t>
  </si>
  <si>
    <t>This low-temperature heat is converted into useful mechanical work, which is subsequently transformed into electricity.</t>
  </si>
  <si>
    <t>2. Working Principle</t>
  </si>
  <si>
    <t>The cycle follows four primary stages:</t>
  </si>
  <si>
    <t>• 1-2: Isentropic compression in a pump.</t>
  </si>
  <si>
    <t>• 2-3: Constant pressure heat addition in a boiler (waste heat recovery).</t>
  </si>
  <si>
    <t>• 3-4: Isentropic expansion in a turbine (power generation).</t>
  </si>
  <si>
    <t>• 4-1: Constant pressure heat rejection in a condenser.</t>
  </si>
  <si>
    <t>In real-world applications, irreversibilities during expansion and pressure drops in heat exchangers reduce the theoretical efficiency.</t>
  </si>
  <si>
    <t>3. Key Performance Indicators</t>
  </si>
  <si>
    <t>4. Model Parameters</t>
  </si>
  <si>
    <t>5. References</t>
  </si>
  <si>
    <t>[1] Pardeep Garg, Matthew S. Orosz, Pramod Kumar,Thermo-economic evaluation of ORCs for various working fluids,Applied Thermal Engineering,Volume 109, Part B,2016,Pages 841-853,ISSN 1359-4311,https://doi.org/10.1016/j.applthermaleng.2016.06.083;
[2] Turton et al, 2012;
[3] Bruno et al, 1998.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</si>
</sst>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s>
  <fills count="14">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theme="0"/>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DDEBF7"/>
        <bgColor indexed="64"/>
      </patternFill>
    </fill>
  </fills>
  <borders count="77">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style="thin">
        <color rgb="FFFFFFFF"/>
      </left>
      <right/>
      <top style="thin">
        <color rgb="FFFFFFFF"/>
      </top>
      <bottom/>
      <diagonal/>
    </border>
    <border>
      <left/>
      <right/>
      <top style="medium">
        <color rgb="FFFFFFFF"/>
      </top>
      <bottom style="medium">
        <color rgb="FFFFFFFF"/>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right/>
      <top/>
      <bottom style="medium">
        <color rgb="FF000000"/>
      </bottom>
      <diagonal/>
    </border>
    <border>
      <left/>
      <right style="medium">
        <color rgb="FF000000"/>
      </right>
      <top/>
      <bottom style="medium">
        <color rgb="FF000000"/>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right style="medium">
        <color rgb="FFFFFFFF"/>
      </right>
      <top/>
      <bottom style="medium">
        <color rgb="FFFFFFFF"/>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style="thin">
        <color theme="6" tint="0.59996337778862885"/>
      </left>
      <right style="medium">
        <color indexed="64"/>
      </right>
      <top style="medium">
        <color indexed="64"/>
      </top>
      <bottom style="medium">
        <color indexed="64"/>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bottom style="medium">
        <color rgb="FF000000"/>
      </bottom>
      <diagonal/>
    </border>
    <border>
      <left style="thin">
        <color theme="0" tint="-0.14999847407452621"/>
      </left>
      <right style="thin">
        <color theme="0" tint="-0.14999847407452621"/>
      </right>
      <top/>
      <bottom style="medium">
        <color rgb="FF000000"/>
      </bottom>
      <diagonal/>
    </border>
    <border>
      <left style="thin">
        <color theme="0" tint="-0.14999847407452621"/>
      </left>
      <right style="medium">
        <color rgb="FF000000"/>
      </right>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style="thin">
        <color theme="0" tint="-0.14999847407452621"/>
      </bottom>
      <diagonal/>
    </border>
    <border>
      <left/>
      <right style="thin">
        <color theme="6" tint="0.59996337778862885"/>
      </right>
      <top style="medium">
        <color indexed="64"/>
      </top>
      <bottom style="medium">
        <color indexed="64"/>
      </bottom>
      <diagonal/>
    </border>
    <border>
      <left style="thin">
        <color theme="0" tint="-0.14999847407452621"/>
      </left>
      <right style="thin">
        <color theme="0" tint="-0.14996795556505021"/>
      </right>
      <top style="medium">
        <color rgb="FF000000"/>
      </top>
      <bottom style="medium">
        <color rgb="FF000000"/>
      </bottom>
      <diagonal/>
    </border>
    <border>
      <left style="thin">
        <color theme="0" tint="-0.14999847407452621"/>
      </left>
      <right/>
      <top style="medium">
        <color rgb="FF000000"/>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top style="thin">
        <color theme="0" tint="-0.14999847407452621"/>
      </top>
      <bottom style="medium">
        <color rgb="FF000000"/>
      </bottom>
      <diagonal/>
    </border>
    <border>
      <left style="thin">
        <color theme="2" tint="-0.14996795556505021"/>
      </left>
      <right style="thin">
        <color theme="2" tint="-0.14996795556505021"/>
      </right>
      <top style="medium">
        <color indexed="64"/>
      </top>
      <bottom style="thin">
        <color theme="2" tint="-0.14996795556505021"/>
      </bottom>
      <diagonal/>
    </border>
    <border>
      <left style="thin">
        <color theme="2" tint="-0.14996795556505021"/>
      </left>
      <right style="medium">
        <color rgb="FF000000"/>
      </right>
      <top style="medium">
        <color indexed="64"/>
      </top>
      <bottom style="thin">
        <color theme="2" tint="-0.14996795556505021"/>
      </bottom>
      <diagonal/>
    </border>
    <border>
      <left style="thin">
        <color theme="2" tint="-0.14996795556505021"/>
      </left>
      <right style="thin">
        <color theme="2" tint="-0.14996795556505021"/>
      </right>
      <top style="thin">
        <color theme="2" tint="-0.14996795556505021"/>
      </top>
      <bottom style="thin">
        <color theme="2" tint="-0.14996795556505021"/>
      </bottom>
      <diagonal/>
    </border>
    <border>
      <left style="thin">
        <color theme="2" tint="-0.14996795556505021"/>
      </left>
      <right style="medium">
        <color rgb="FF000000"/>
      </right>
      <top style="thin">
        <color theme="2" tint="-0.14996795556505021"/>
      </top>
      <bottom style="thin">
        <color theme="2" tint="-0.14996795556505021"/>
      </bottom>
      <diagonal/>
    </border>
    <border>
      <left style="thin">
        <color theme="2" tint="-0.14996795556505021"/>
      </left>
      <right style="thin">
        <color theme="2" tint="-0.14996795556505021"/>
      </right>
      <top style="thin">
        <color theme="2" tint="-0.14996795556505021"/>
      </top>
      <bottom style="medium">
        <color rgb="FF000000"/>
      </bottom>
      <diagonal/>
    </border>
    <border>
      <left style="thin">
        <color theme="2" tint="-0.14996795556505021"/>
      </left>
      <right style="medium">
        <color rgb="FF000000"/>
      </right>
      <top style="thin">
        <color theme="2" tint="-0.14996795556505021"/>
      </top>
      <bottom style="medium">
        <color rgb="FF000000"/>
      </bottom>
      <diagonal/>
    </border>
    <border>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medium">
        <color rgb="FF000000"/>
      </right>
      <top style="thin">
        <color theme="0" tint="-0.14999847407452621"/>
      </top>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5" fillId="0" borderId="27"/>
    <xf numFmtId="0" fontId="17" fillId="0" borderId="27"/>
  </cellStyleXfs>
  <cellXfs count="266">
    <xf numFmtId="0" fontId="0" fillId="0" borderId="0" xfId="0"/>
    <xf numFmtId="0" fontId="13" fillId="3" borderId="3" xfId="0" applyFont="1" applyFill="1" applyBorder="1" applyAlignment="1">
      <alignment horizontal="center" vertical="center"/>
    </xf>
    <xf numFmtId="0" fontId="13" fillId="3" borderId="4" xfId="0" applyFont="1" applyFill="1" applyBorder="1" applyAlignment="1">
      <alignment horizontal="left" vertical="center"/>
    </xf>
    <xf numFmtId="0" fontId="11" fillId="0" borderId="9" xfId="0" applyFont="1" applyBorder="1"/>
    <xf numFmtId="0" fontId="9" fillId="0" borderId="1" xfId="0" applyFont="1" applyBorder="1" applyAlignment="1">
      <alignment horizontal="left" vertical="top"/>
    </xf>
    <xf numFmtId="0" fontId="13" fillId="3" borderId="27" xfId="0" applyFont="1" applyFill="1" applyBorder="1" applyAlignment="1">
      <alignment horizontal="left" vertical="center"/>
    </xf>
    <xf numFmtId="0" fontId="0" fillId="8" borderId="0" xfId="0" applyFill="1"/>
    <xf numFmtId="0" fontId="0" fillId="6" borderId="34" xfId="0" applyFill="1" applyBorder="1"/>
    <xf numFmtId="0" fontId="12" fillId="2" borderId="38" xfId="0" applyFont="1" applyFill="1" applyBorder="1" applyAlignment="1">
      <alignment horizontal="left" vertical="center"/>
    </xf>
    <xf numFmtId="0" fontId="12" fillId="2" borderId="33" xfId="0" applyFont="1" applyFill="1" applyBorder="1" applyAlignment="1">
      <alignment horizontal="left" vertical="center"/>
    </xf>
    <xf numFmtId="0" fontId="13" fillId="3" borderId="34" xfId="0" applyFont="1" applyFill="1" applyBorder="1" applyAlignment="1">
      <alignment horizontal="right"/>
    </xf>
    <xf numFmtId="164" fontId="13" fillId="3" borderId="34" xfId="0" applyNumberFormat="1" applyFont="1" applyFill="1" applyBorder="1" applyAlignment="1">
      <alignment horizontal="right"/>
    </xf>
    <xf numFmtId="0" fontId="12" fillId="2" borderId="33" xfId="0" applyFont="1" applyFill="1" applyBorder="1" applyAlignment="1">
      <alignment horizontal="left" vertical="center" wrapText="1"/>
    </xf>
    <xf numFmtId="0" fontId="13" fillId="3" borderId="34" xfId="0" applyFont="1" applyFill="1" applyBorder="1" applyAlignment="1">
      <alignment horizontal="right" wrapText="1"/>
    </xf>
    <xf numFmtId="0" fontId="12" fillId="2" borderId="40" xfId="0" applyFont="1" applyFill="1" applyBorder="1" applyAlignment="1">
      <alignment horizontal="left" vertical="center" wrapText="1"/>
    </xf>
    <xf numFmtId="0" fontId="13" fillId="3" borderId="41" xfId="0" applyFont="1" applyFill="1" applyBorder="1" applyAlignment="1">
      <alignment horizontal="right"/>
    </xf>
    <xf numFmtId="0" fontId="10" fillId="2" borderId="2" xfId="0" applyFont="1" applyFill="1" applyBorder="1" applyAlignment="1">
      <alignment vertical="top"/>
    </xf>
    <xf numFmtId="0" fontId="10" fillId="2" borderId="2" xfId="0" applyFont="1" applyFill="1" applyBorder="1" applyAlignment="1" applyProtection="1">
      <alignment vertical="top"/>
      <protection locked="0"/>
    </xf>
    <xf numFmtId="0" fontId="0" fillId="0" borderId="0" xfId="0" applyProtection="1">
      <protection locked="0"/>
    </xf>
    <xf numFmtId="0" fontId="8" fillId="0" borderId="1" xfId="0" applyFont="1" applyBorder="1" applyAlignment="1" applyProtection="1">
      <alignment horizontal="left" vertical="top" wrapText="1"/>
      <protection locked="0"/>
    </xf>
    <xf numFmtId="0" fontId="7" fillId="0" borderId="1" xfId="0" applyFont="1" applyBorder="1" applyAlignment="1" applyProtection="1">
      <alignment horizontal="left" vertical="top" wrapText="1"/>
      <protection locked="0"/>
    </xf>
    <xf numFmtId="0" fontId="8" fillId="6" borderId="0" xfId="0" applyFont="1" applyFill="1" applyAlignment="1">
      <alignment horizontal="left" vertical="center"/>
    </xf>
    <xf numFmtId="0" fontId="6" fillId="6" borderId="0" xfId="0" applyFont="1" applyFill="1" applyAlignment="1">
      <alignment horizontal="left" vertical="center"/>
    </xf>
    <xf numFmtId="14" fontId="13" fillId="3" borderId="34" xfId="0" applyNumberFormat="1" applyFont="1" applyFill="1" applyBorder="1" applyAlignment="1">
      <alignment horizontal="right"/>
    </xf>
    <xf numFmtId="0" fontId="15" fillId="4" borderId="1" xfId="1" applyFont="1" applyFill="1" applyBorder="1" applyAlignment="1">
      <alignment horizontal="left"/>
    </xf>
    <xf numFmtId="0" fontId="13" fillId="4" borderId="1" xfId="1" applyFont="1" applyFill="1" applyBorder="1"/>
    <xf numFmtId="0" fontId="5" fillId="0" borderId="27" xfId="1"/>
    <xf numFmtId="0" fontId="13" fillId="4" borderId="1" xfId="1" applyFont="1" applyFill="1" applyBorder="1" applyAlignment="1">
      <alignment horizontal="left"/>
    </xf>
    <xf numFmtId="0" fontId="13" fillId="4" borderId="9" xfId="1" applyFont="1" applyFill="1" applyBorder="1"/>
    <xf numFmtId="0" fontId="13" fillId="3" borderId="27" xfId="1" applyFont="1" applyFill="1"/>
    <xf numFmtId="0" fontId="13" fillId="3" borderId="8" xfId="1" applyFont="1" applyFill="1" applyBorder="1"/>
    <xf numFmtId="0" fontId="13" fillId="3" borderId="11" xfId="1" applyFont="1" applyFill="1" applyBorder="1"/>
    <xf numFmtId="0" fontId="13" fillId="4" borderId="18" xfId="1" applyFont="1" applyFill="1" applyBorder="1"/>
    <xf numFmtId="0" fontId="13" fillId="3" borderId="9" xfId="1" applyFont="1" applyFill="1" applyBorder="1"/>
    <xf numFmtId="0" fontId="13" fillId="3" borderId="12" xfId="1" applyFont="1" applyFill="1" applyBorder="1"/>
    <xf numFmtId="0" fontId="13" fillId="3" borderId="29" xfId="1" applyFont="1" applyFill="1" applyBorder="1"/>
    <xf numFmtId="0" fontId="13" fillId="4" borderId="29" xfId="1" applyFont="1" applyFill="1" applyBorder="1"/>
    <xf numFmtId="0" fontId="5" fillId="6" borderId="27" xfId="1" applyFill="1"/>
    <xf numFmtId="0" fontId="11" fillId="0" borderId="9" xfId="1" applyFont="1" applyBorder="1"/>
    <xf numFmtId="0" fontId="5" fillId="0" borderId="5" xfId="1" applyBorder="1"/>
    <xf numFmtId="0" fontId="5" fillId="4" borderId="5" xfId="1" applyFill="1" applyBorder="1"/>
    <xf numFmtId="0" fontId="12" fillId="2" borderId="24" xfId="1" applyFont="1" applyFill="1" applyBorder="1" applyAlignment="1">
      <alignment horizontal="left" vertical="top"/>
    </xf>
    <xf numFmtId="0" fontId="12" fillId="2" borderId="25" xfId="1" applyFont="1" applyFill="1" applyBorder="1" applyAlignment="1">
      <alignment horizontal="left" vertical="top"/>
    </xf>
    <xf numFmtId="0" fontId="5" fillId="0" borderId="8" xfId="1" applyBorder="1"/>
    <xf numFmtId="0" fontId="5" fillId="0" borderId="9" xfId="1" applyBorder="1"/>
    <xf numFmtId="0" fontId="5" fillId="4" borderId="18" xfId="1" applyFill="1" applyBorder="1"/>
    <xf numFmtId="0" fontId="5" fillId="0" borderId="29" xfId="1" applyBorder="1"/>
    <xf numFmtId="0" fontId="5" fillId="4" borderId="29" xfId="1" applyFill="1" applyBorder="1"/>
    <xf numFmtId="0" fontId="5" fillId="4" borderId="10" xfId="1" applyFill="1" applyBorder="1"/>
    <xf numFmtId="0" fontId="5" fillId="8" borderId="27" xfId="1" applyFill="1"/>
    <xf numFmtId="0" fontId="5" fillId="9" borderId="10" xfId="1" applyFill="1" applyBorder="1"/>
    <xf numFmtId="0" fontId="5" fillId="9" borderId="13" xfId="1" applyFill="1" applyBorder="1"/>
    <xf numFmtId="0" fontId="5" fillId="4" borderId="1" xfId="1" applyFill="1" applyBorder="1" applyAlignment="1">
      <alignment horizontal="left"/>
    </xf>
    <xf numFmtId="0" fontId="5" fillId="4" borderId="1" xfId="1" applyFill="1" applyBorder="1"/>
    <xf numFmtId="0" fontId="11" fillId="4" borderId="1" xfId="1" applyFont="1" applyFill="1" applyBorder="1"/>
    <xf numFmtId="0" fontId="9" fillId="4" borderId="9" xfId="1" applyFont="1" applyFill="1" applyBorder="1"/>
    <xf numFmtId="0" fontId="5" fillId="4" borderId="9" xfId="1" applyFill="1" applyBorder="1"/>
    <xf numFmtId="0" fontId="9" fillId="4" borderId="1" xfId="1" applyFont="1" applyFill="1" applyBorder="1"/>
    <xf numFmtId="0" fontId="13" fillId="4" borderId="14" xfId="1" applyFont="1" applyFill="1" applyBorder="1" applyAlignment="1">
      <alignment horizontal="center"/>
    </xf>
    <xf numFmtId="0" fontId="13" fillId="4" borderId="18" xfId="1" applyFont="1" applyFill="1" applyBorder="1" applyAlignment="1">
      <alignment horizontal="center"/>
    </xf>
    <xf numFmtId="0" fontId="13" fillId="4" borderId="15" xfId="1" applyFont="1" applyFill="1" applyBorder="1" applyAlignment="1">
      <alignment horizontal="center"/>
    </xf>
    <xf numFmtId="0" fontId="13" fillId="4" borderId="29" xfId="1" applyFont="1" applyFill="1" applyBorder="1" applyAlignment="1">
      <alignment horizontal="center"/>
    </xf>
    <xf numFmtId="0" fontId="12" fillId="2" borderId="21" xfId="1" applyFont="1" applyFill="1" applyBorder="1" applyAlignment="1">
      <alignment horizontal="left" vertical="top"/>
    </xf>
    <xf numFmtId="0" fontId="13" fillId="2" borderId="22" xfId="1" applyFont="1" applyFill="1" applyBorder="1" applyAlignment="1">
      <alignment horizontal="left" vertical="top"/>
    </xf>
    <xf numFmtId="0" fontId="13" fillId="2" borderId="23" xfId="1" applyFont="1" applyFill="1" applyBorder="1" applyAlignment="1">
      <alignment horizontal="left" vertical="top"/>
    </xf>
    <xf numFmtId="0" fontId="13" fillId="2" borderId="6" xfId="1" applyFont="1" applyFill="1" applyBorder="1" applyAlignment="1">
      <alignment horizontal="left" vertical="top"/>
    </xf>
    <xf numFmtId="0" fontId="13" fillId="2" borderId="27" xfId="1" applyFont="1" applyFill="1" applyAlignment="1">
      <alignment horizontal="left" vertical="top"/>
    </xf>
    <xf numFmtId="0" fontId="5" fillId="2" borderId="27" xfId="1" applyFill="1" applyAlignment="1">
      <alignment horizontal="left" vertical="top"/>
    </xf>
    <xf numFmtId="0" fontId="13" fillId="2" borderId="7" xfId="1" applyFont="1" applyFill="1" applyBorder="1" applyAlignment="1">
      <alignment horizontal="left" vertical="top"/>
    </xf>
    <xf numFmtId="0" fontId="12" fillId="2" borderId="22" xfId="1" applyFont="1" applyFill="1" applyBorder="1" applyAlignment="1">
      <alignment horizontal="left" vertical="top"/>
    </xf>
    <xf numFmtId="0" fontId="12" fillId="2" borderId="23" xfId="1" applyFont="1" applyFill="1" applyBorder="1" applyAlignment="1">
      <alignment horizontal="left" vertical="top"/>
    </xf>
    <xf numFmtId="0" fontId="13" fillId="2" borderId="25" xfId="1" applyFont="1" applyFill="1" applyBorder="1" applyAlignment="1">
      <alignment horizontal="left" vertical="top"/>
    </xf>
    <xf numFmtId="0" fontId="13" fillId="2" borderId="26" xfId="1" applyFont="1" applyFill="1" applyBorder="1" applyAlignment="1">
      <alignment horizontal="left" vertical="top"/>
    </xf>
    <xf numFmtId="0" fontId="12" fillId="2" borderId="35" xfId="1" applyFont="1" applyFill="1" applyBorder="1" applyAlignment="1">
      <alignment horizontal="left" vertical="top"/>
    </xf>
    <xf numFmtId="0" fontId="12" fillId="2" borderId="36" xfId="1" applyFont="1" applyFill="1" applyBorder="1" applyAlignment="1">
      <alignment horizontal="left" vertical="top"/>
    </xf>
    <xf numFmtId="0" fontId="12" fillId="2" borderId="37" xfId="1" applyFont="1" applyFill="1" applyBorder="1" applyAlignment="1">
      <alignment horizontal="left" vertical="top"/>
    </xf>
    <xf numFmtId="0" fontId="14" fillId="6" borderId="35" xfId="1" applyFont="1" applyFill="1" applyBorder="1" applyAlignment="1">
      <alignment horizontal="right"/>
    </xf>
    <xf numFmtId="2" fontId="14" fillId="6" borderId="36" xfId="1" applyNumberFormat="1" applyFont="1" applyFill="1" applyBorder="1" applyAlignment="1">
      <alignment horizontal="right"/>
    </xf>
    <xf numFmtId="0" fontId="14" fillId="6" borderId="37" xfId="1" applyFont="1" applyFill="1" applyBorder="1" applyAlignment="1">
      <alignment horizontal="right"/>
    </xf>
    <xf numFmtId="164" fontId="5" fillId="8" borderId="35" xfId="1" applyNumberFormat="1" applyFill="1" applyBorder="1" applyAlignment="1">
      <alignment horizontal="right"/>
    </xf>
    <xf numFmtId="0" fontId="5" fillId="8" borderId="36" xfId="1" applyFill="1" applyBorder="1" applyAlignment="1">
      <alignment horizontal="right"/>
    </xf>
    <xf numFmtId="14" fontId="5" fillId="8" borderId="36" xfId="1" applyNumberFormat="1" applyFill="1" applyBorder="1" applyAlignment="1">
      <alignment horizontal="right"/>
    </xf>
    <xf numFmtId="0" fontId="5" fillId="8" borderId="37" xfId="1" applyFill="1" applyBorder="1" applyAlignment="1">
      <alignment horizontal="right"/>
    </xf>
    <xf numFmtId="0" fontId="13" fillId="2" borderId="24" xfId="1" applyFont="1" applyFill="1" applyBorder="1" applyAlignment="1">
      <alignment horizontal="left" vertical="top"/>
    </xf>
    <xf numFmtId="0" fontId="5" fillId="8" borderId="35" xfId="1" applyFill="1" applyBorder="1" applyAlignment="1">
      <alignment horizontal="right"/>
    </xf>
    <xf numFmtId="14" fontId="5" fillId="8" borderId="37" xfId="1" applyNumberFormat="1" applyFill="1" applyBorder="1" applyAlignment="1">
      <alignment horizontal="right"/>
    </xf>
    <xf numFmtId="0" fontId="12" fillId="2" borderId="26" xfId="1" applyFont="1" applyFill="1" applyBorder="1" applyAlignment="1">
      <alignment horizontal="left" vertical="top"/>
    </xf>
    <xf numFmtId="0" fontId="13" fillId="0" borderId="48" xfId="1" applyFont="1" applyBorder="1" applyAlignment="1">
      <alignment horizontal="right"/>
    </xf>
    <xf numFmtId="0" fontId="13" fillId="0" borderId="54" xfId="1" applyFont="1" applyBorder="1" applyAlignment="1">
      <alignment horizontal="right"/>
    </xf>
    <xf numFmtId="0" fontId="5" fillId="0" borderId="51" xfId="1" applyBorder="1" applyAlignment="1">
      <alignment horizontal="right"/>
    </xf>
    <xf numFmtId="0" fontId="5" fillId="0" borderId="56" xfId="1" applyBorder="1" applyAlignment="1">
      <alignment horizontal="right"/>
    </xf>
    <xf numFmtId="0" fontId="5" fillId="0" borderId="57" xfId="1" applyBorder="1" applyAlignment="1">
      <alignment horizontal="right" vertical="center"/>
    </xf>
    <xf numFmtId="0" fontId="13" fillId="0" borderId="57" xfId="1" applyFont="1" applyBorder="1" applyAlignment="1">
      <alignment horizontal="right" vertical="center"/>
    </xf>
    <xf numFmtId="0" fontId="5" fillId="0" borderId="57" xfId="1" applyBorder="1" applyAlignment="1">
      <alignment horizontal="right"/>
    </xf>
    <xf numFmtId="0" fontId="13" fillId="0" borderId="58" xfId="1" applyFont="1" applyBorder="1" applyAlignment="1">
      <alignment horizontal="right"/>
    </xf>
    <xf numFmtId="0" fontId="13" fillId="0" borderId="50" xfId="1" applyFont="1" applyBorder="1" applyAlignment="1">
      <alignment horizontal="right"/>
    </xf>
    <xf numFmtId="0" fontId="14" fillId="0" borderId="51" xfId="1" applyFont="1" applyBorder="1" applyAlignment="1">
      <alignment horizontal="right"/>
    </xf>
    <xf numFmtId="0" fontId="13" fillId="0" borderId="51" xfId="1" applyFont="1" applyBorder="1" applyAlignment="1">
      <alignment horizontal="right"/>
    </xf>
    <xf numFmtId="0" fontId="13" fillId="0" borderId="52" xfId="1" quotePrefix="1" applyFont="1" applyBorder="1" applyAlignment="1">
      <alignment horizontal="right"/>
    </xf>
    <xf numFmtId="0" fontId="5" fillId="0" borderId="59" xfId="1" applyBorder="1" applyAlignment="1">
      <alignment horizontal="right"/>
    </xf>
    <xf numFmtId="0" fontId="13" fillId="0" borderId="60" xfId="1" applyFont="1" applyBorder="1" applyAlignment="1">
      <alignment horizontal="right"/>
    </xf>
    <xf numFmtId="2" fontId="13" fillId="0" borderId="60" xfId="1" applyNumberFormat="1" applyFont="1" applyBorder="1" applyAlignment="1">
      <alignment horizontal="right"/>
    </xf>
    <xf numFmtId="0" fontId="16" fillId="0" borderId="60" xfId="1" applyFont="1" applyBorder="1" applyAlignment="1">
      <alignment horizontal="right"/>
    </xf>
    <xf numFmtId="0" fontId="5" fillId="0" borderId="47" xfId="1" applyBorder="1" applyAlignment="1">
      <alignment horizontal="right"/>
    </xf>
    <xf numFmtId="2" fontId="13" fillId="0" borderId="48" xfId="1" applyNumberFormat="1" applyFont="1" applyBorder="1" applyAlignment="1">
      <alignment horizontal="right"/>
    </xf>
    <xf numFmtId="0" fontId="16" fillId="0" borderId="48" xfId="1" applyFont="1" applyBorder="1" applyAlignment="1">
      <alignment horizontal="right"/>
    </xf>
    <xf numFmtId="0" fontId="5" fillId="0" borderId="53" xfId="1" applyBorder="1" applyAlignment="1">
      <alignment horizontal="right"/>
    </xf>
    <xf numFmtId="2" fontId="13" fillId="0" borderId="54" xfId="1" applyNumberFormat="1" applyFont="1" applyBorder="1" applyAlignment="1">
      <alignment horizontal="right"/>
    </xf>
    <xf numFmtId="0" fontId="16" fillId="0" borderId="54" xfId="1" applyFont="1" applyBorder="1" applyAlignment="1">
      <alignment horizontal="right"/>
    </xf>
    <xf numFmtId="0" fontId="12" fillId="2" borderId="31" xfId="2" applyFont="1" applyFill="1" applyBorder="1" applyAlignment="1">
      <alignment horizontal="left" vertical="top"/>
    </xf>
    <xf numFmtId="0" fontId="17" fillId="8" borderId="27" xfId="2" applyFill="1"/>
    <xf numFmtId="0" fontId="15" fillId="4" borderId="10" xfId="2" applyFont="1" applyFill="1" applyBorder="1" applyAlignment="1">
      <alignment horizontal="left"/>
    </xf>
    <xf numFmtId="0" fontId="13" fillId="4" borderId="5" xfId="2" applyFont="1" applyFill="1" applyBorder="1" applyAlignment="1">
      <alignment horizontal="center"/>
    </xf>
    <xf numFmtId="0" fontId="5" fillId="4" borderId="5" xfId="2" applyFont="1" applyFill="1" applyBorder="1"/>
    <xf numFmtId="0" fontId="12" fillId="4" borderId="5" xfId="2" applyFont="1" applyFill="1" applyBorder="1" applyAlignment="1">
      <alignment horizontal="center"/>
    </xf>
    <xf numFmtId="0" fontId="17" fillId="0" borderId="27" xfId="2"/>
    <xf numFmtId="0" fontId="12" fillId="4" borderId="29" xfId="2" applyFont="1" applyFill="1" applyBorder="1" applyAlignment="1">
      <alignment horizontal="center" vertical="center"/>
    </xf>
    <xf numFmtId="0" fontId="12" fillId="4" borderId="29" xfId="2" applyFont="1" applyFill="1" applyBorder="1" applyAlignment="1">
      <alignment horizontal="center" vertical="center" wrapText="1"/>
    </xf>
    <xf numFmtId="0" fontId="13" fillId="3" borderId="5" xfId="2" applyFont="1" applyFill="1" applyBorder="1" applyAlignment="1">
      <alignment horizontal="center"/>
    </xf>
    <xf numFmtId="0" fontId="15" fillId="3" borderId="5" xfId="2" applyFont="1" applyFill="1" applyBorder="1" applyAlignment="1">
      <alignment horizontal="left"/>
    </xf>
    <xf numFmtId="0" fontId="12" fillId="4" borderId="27" xfId="2" applyFont="1" applyFill="1" applyAlignment="1">
      <alignment horizontal="center"/>
    </xf>
    <xf numFmtId="0" fontId="12" fillId="2" borderId="24" xfId="2" applyFont="1" applyFill="1" applyBorder="1" applyAlignment="1">
      <alignment horizontal="left" vertical="top"/>
    </xf>
    <xf numFmtId="0" fontId="12" fillId="2" borderId="25" xfId="2" applyFont="1" applyFill="1" applyBorder="1" applyAlignment="1">
      <alignment horizontal="left" vertical="top" wrapText="1"/>
    </xf>
    <xf numFmtId="0" fontId="12" fillId="2" borderId="26" xfId="2" applyFont="1" applyFill="1" applyBorder="1" applyAlignment="1">
      <alignment horizontal="left" vertical="top" wrapText="1"/>
    </xf>
    <xf numFmtId="0" fontId="15" fillId="3" borderId="27" xfId="2" quotePrefix="1" applyFont="1" applyFill="1" applyAlignment="1">
      <alignment horizontal="left"/>
    </xf>
    <xf numFmtId="0" fontId="13" fillId="3" borderId="27" xfId="2" applyFont="1" applyFill="1" applyAlignment="1">
      <alignment horizontal="center"/>
    </xf>
    <xf numFmtId="0" fontId="15" fillId="3" borderId="27" xfId="2" applyFont="1" applyFill="1" applyAlignment="1">
      <alignment horizontal="left"/>
    </xf>
    <xf numFmtId="0" fontId="13" fillId="3" borderId="35" xfId="2" applyFont="1" applyFill="1" applyBorder="1" applyAlignment="1">
      <alignment horizontal="right"/>
    </xf>
    <xf numFmtId="0" fontId="15" fillId="3" borderId="18" xfId="2" applyFont="1" applyFill="1" applyBorder="1" applyAlignment="1">
      <alignment horizontal="left" vertical="center"/>
    </xf>
    <xf numFmtId="0" fontId="13" fillId="3" borderId="18" xfId="2" applyFont="1" applyFill="1" applyBorder="1" applyAlignment="1">
      <alignment horizontal="center"/>
    </xf>
    <xf numFmtId="0" fontId="15" fillId="3" borderId="5" xfId="2" quotePrefix="1" applyFont="1" applyFill="1" applyBorder="1" applyAlignment="1">
      <alignment horizontal="left"/>
    </xf>
    <xf numFmtId="0" fontId="5" fillId="0" borderId="5" xfId="2" applyFont="1" applyBorder="1"/>
    <xf numFmtId="0" fontId="12" fillId="2" borderId="30" xfId="2" applyFont="1" applyFill="1" applyBorder="1" applyAlignment="1">
      <alignment horizontal="left" vertical="top"/>
    </xf>
    <xf numFmtId="0" fontId="15" fillId="3" borderId="5" xfId="2" applyFont="1" applyFill="1" applyBorder="1" applyAlignment="1">
      <alignment horizontal="left" vertical="center"/>
    </xf>
    <xf numFmtId="0" fontId="15" fillId="3" borderId="27" xfId="2" applyFont="1" applyFill="1" applyAlignment="1">
      <alignment horizontal="left" vertical="center"/>
    </xf>
    <xf numFmtId="0" fontId="13" fillId="3" borderId="27" xfId="2" applyFont="1" applyFill="1" applyAlignment="1">
      <alignment horizontal="left"/>
    </xf>
    <xf numFmtId="0" fontId="12" fillId="2" borderId="21" xfId="2" applyFont="1" applyFill="1" applyBorder="1" applyAlignment="1">
      <alignment horizontal="left" vertical="top"/>
    </xf>
    <xf numFmtId="0" fontId="12" fillId="2" borderId="22" xfId="2" applyFont="1" applyFill="1" applyBorder="1" applyAlignment="1">
      <alignment horizontal="left" vertical="top"/>
    </xf>
    <xf numFmtId="0" fontId="12" fillId="2" borderId="23" xfId="2" applyFont="1" applyFill="1" applyBorder="1" applyAlignment="1">
      <alignment horizontal="left" vertical="top"/>
    </xf>
    <xf numFmtId="0" fontId="13" fillId="2" borderId="6" xfId="2" applyFont="1" applyFill="1" applyBorder="1" applyAlignment="1">
      <alignment horizontal="left" vertical="top"/>
    </xf>
    <xf numFmtId="0" fontId="13" fillId="2" borderId="27" xfId="2" applyFont="1" applyFill="1" applyAlignment="1">
      <alignment horizontal="left" vertical="top"/>
    </xf>
    <xf numFmtId="0" fontId="5" fillId="2" borderId="27" xfId="2" applyFont="1" applyFill="1" applyAlignment="1">
      <alignment horizontal="left" vertical="top"/>
    </xf>
    <xf numFmtId="0" fontId="13" fillId="2" borderId="25" xfId="2" applyFont="1" applyFill="1" applyBorder="1" applyAlignment="1">
      <alignment horizontal="left" vertical="top"/>
    </xf>
    <xf numFmtId="0" fontId="13" fillId="2" borderId="26" xfId="2" applyFont="1" applyFill="1" applyBorder="1" applyAlignment="1">
      <alignment horizontal="left" vertical="top"/>
    </xf>
    <xf numFmtId="0" fontId="13" fillId="3" borderId="27" xfId="2" applyFont="1" applyFill="1" applyAlignment="1">
      <alignment horizontal="center" vertical="center"/>
    </xf>
    <xf numFmtId="0" fontId="13" fillId="3" borderId="28" xfId="2" applyFont="1" applyFill="1" applyBorder="1" applyAlignment="1">
      <alignment horizontal="center" vertical="center"/>
    </xf>
    <xf numFmtId="0" fontId="5" fillId="0" borderId="18" xfId="2" applyFont="1" applyBorder="1"/>
    <xf numFmtId="0" fontId="13" fillId="3" borderId="18" xfId="2" applyFont="1" applyFill="1" applyBorder="1" applyAlignment="1">
      <alignment horizontal="center" vertical="center"/>
    </xf>
    <xf numFmtId="0" fontId="15" fillId="3" borderId="18" xfId="2" applyFont="1" applyFill="1" applyBorder="1" applyAlignment="1">
      <alignment horizontal="left"/>
    </xf>
    <xf numFmtId="0" fontId="12" fillId="2" borderId="32" xfId="2" applyFont="1" applyFill="1" applyBorder="1" applyAlignment="1">
      <alignment horizontal="left" vertical="top"/>
    </xf>
    <xf numFmtId="0" fontId="13" fillId="3" borderId="10" xfId="2" applyFont="1" applyFill="1" applyBorder="1" applyAlignment="1">
      <alignment horizontal="center" vertical="center"/>
    </xf>
    <xf numFmtId="0" fontId="13" fillId="3" borderId="5" xfId="2" applyFont="1" applyFill="1" applyBorder="1" applyAlignment="1">
      <alignment horizontal="center" vertical="center"/>
    </xf>
    <xf numFmtId="0" fontId="12" fillId="2" borderId="19" xfId="2" applyFont="1" applyFill="1" applyBorder="1" applyAlignment="1">
      <alignment horizontal="left" vertical="top"/>
    </xf>
    <xf numFmtId="0" fontId="12" fillId="2" borderId="20" xfId="2" applyFont="1" applyFill="1" applyBorder="1" applyAlignment="1">
      <alignment horizontal="left" vertical="top"/>
    </xf>
    <xf numFmtId="0" fontId="13" fillId="2" borderId="42" xfId="2" applyFont="1" applyFill="1" applyBorder="1" applyAlignment="1">
      <alignment horizontal="left" vertical="top"/>
    </xf>
    <xf numFmtId="0" fontId="13" fillId="2" borderId="43" xfId="2" applyFont="1" applyFill="1" applyBorder="1" applyAlignment="1">
      <alignment horizontal="left" vertical="top"/>
    </xf>
    <xf numFmtId="0" fontId="13" fillId="2" borderId="44" xfId="2" applyFont="1" applyFill="1" applyBorder="1" applyAlignment="1">
      <alignment horizontal="left" vertical="top"/>
    </xf>
    <xf numFmtId="0" fontId="13" fillId="2" borderId="45" xfId="2" applyFont="1" applyFill="1" applyBorder="1" applyAlignment="1">
      <alignment horizontal="left" vertical="top"/>
    </xf>
    <xf numFmtId="0" fontId="13" fillId="4" borderId="18" xfId="2" applyFont="1" applyFill="1" applyBorder="1" applyAlignment="1">
      <alignment horizontal="center"/>
    </xf>
    <xf numFmtId="2" fontId="5" fillId="4" borderId="5" xfId="2" applyNumberFormat="1" applyFont="1" applyFill="1" applyBorder="1"/>
    <xf numFmtId="0" fontId="13" fillId="9" borderId="31" xfId="2" applyFont="1" applyFill="1" applyBorder="1" applyAlignment="1">
      <alignment horizontal="left" vertical="top" wrapText="1"/>
    </xf>
    <xf numFmtId="0" fontId="12" fillId="2" borderId="35" xfId="2" applyFont="1" applyFill="1" applyBorder="1" applyAlignment="1">
      <alignment vertical="top"/>
    </xf>
    <xf numFmtId="0" fontId="12" fillId="2" borderId="36" xfId="2" applyFont="1" applyFill="1" applyBorder="1" applyAlignment="1">
      <alignment vertical="top"/>
    </xf>
    <xf numFmtId="0" fontId="12" fillId="2" borderId="37" xfId="2" applyFont="1" applyFill="1" applyBorder="1" applyAlignment="1">
      <alignment vertical="top"/>
    </xf>
    <xf numFmtId="0" fontId="13" fillId="2" borderId="7" xfId="2" applyFont="1" applyFill="1" applyBorder="1" applyAlignment="1">
      <alignment horizontal="left" vertical="top"/>
    </xf>
    <xf numFmtId="0" fontId="13" fillId="4" borderId="27" xfId="2" applyFont="1" applyFill="1" applyAlignment="1">
      <alignment horizontal="center"/>
    </xf>
    <xf numFmtId="0" fontId="13" fillId="4" borderId="11" xfId="2" applyFont="1" applyFill="1" applyBorder="1" applyAlignment="1">
      <alignment horizontal="center" vertical="center"/>
    </xf>
    <xf numFmtId="0" fontId="13" fillId="4" borderId="8" xfId="2" applyFont="1" applyFill="1" applyBorder="1" applyAlignment="1">
      <alignment horizontal="center" vertical="center"/>
    </xf>
    <xf numFmtId="0" fontId="13" fillId="4" borderId="18" xfId="2" applyFont="1" applyFill="1" applyBorder="1" applyAlignment="1">
      <alignment horizontal="center" vertical="center"/>
    </xf>
    <xf numFmtId="0" fontId="13" fillId="4" borderId="28" xfId="2" applyFont="1" applyFill="1" applyBorder="1" applyAlignment="1">
      <alignment horizontal="center" vertical="center"/>
    </xf>
    <xf numFmtId="0" fontId="15" fillId="4" borderId="27" xfId="2" applyFont="1" applyFill="1" applyAlignment="1">
      <alignment horizontal="left"/>
    </xf>
    <xf numFmtId="0" fontId="12" fillId="5" borderId="38" xfId="2" applyFont="1" applyFill="1" applyBorder="1" applyAlignment="1">
      <alignment horizontal="left" vertical="top"/>
    </xf>
    <xf numFmtId="0" fontId="12" fillId="5" borderId="39" xfId="2" applyFont="1" applyFill="1" applyBorder="1" applyAlignment="1">
      <alignment horizontal="left" vertical="top"/>
    </xf>
    <xf numFmtId="0" fontId="13" fillId="3" borderId="37" xfId="2" applyFont="1" applyFill="1" applyBorder="1" applyAlignment="1">
      <alignment horizontal="right"/>
    </xf>
    <xf numFmtId="0" fontId="13" fillId="0" borderId="57" xfId="2" applyFont="1" applyBorder="1" applyAlignment="1">
      <alignment horizontal="right"/>
    </xf>
    <xf numFmtId="2" fontId="5" fillId="0" borderId="57" xfId="2" applyNumberFormat="1" applyFont="1" applyBorder="1" applyAlignment="1">
      <alignment horizontal="right"/>
    </xf>
    <xf numFmtId="0" fontId="5" fillId="0" borderId="57" xfId="2" applyFont="1" applyBorder="1" applyAlignment="1">
      <alignment horizontal="right"/>
    </xf>
    <xf numFmtId="0" fontId="13" fillId="0" borderId="59" xfId="2" applyFont="1" applyBorder="1" applyAlignment="1">
      <alignment horizontal="left" vertical="top"/>
    </xf>
    <xf numFmtId="0" fontId="13" fillId="0" borderId="60" xfId="2" applyFont="1" applyBorder="1" applyAlignment="1">
      <alignment horizontal="right"/>
    </xf>
    <xf numFmtId="164" fontId="13" fillId="0" borderId="60" xfId="2" applyNumberFormat="1" applyFont="1" applyBorder="1" applyAlignment="1">
      <alignment horizontal="right"/>
    </xf>
    <xf numFmtId="0" fontId="5" fillId="0" borderId="60" xfId="2" applyFont="1" applyBorder="1" applyAlignment="1">
      <alignment horizontal="right"/>
    </xf>
    <xf numFmtId="2" fontId="13" fillId="0" borderId="60" xfId="2" applyNumberFormat="1" applyFont="1" applyBorder="1" applyAlignment="1">
      <alignment horizontal="right"/>
    </xf>
    <xf numFmtId="0" fontId="17" fillId="0" borderId="60" xfId="2" applyBorder="1" applyAlignment="1">
      <alignment horizontal="right"/>
    </xf>
    <xf numFmtId="0" fontId="13" fillId="0" borderId="53" xfId="2" applyFont="1" applyBorder="1" applyAlignment="1">
      <alignment horizontal="left" vertical="top"/>
    </xf>
    <xf numFmtId="0" fontId="13" fillId="0" borderId="54" xfId="2" applyFont="1" applyBorder="1" applyAlignment="1">
      <alignment horizontal="right"/>
    </xf>
    <xf numFmtId="164" fontId="13" fillId="0" borderId="54" xfId="2" applyNumberFormat="1" applyFont="1" applyBorder="1" applyAlignment="1">
      <alignment horizontal="right"/>
    </xf>
    <xf numFmtId="0" fontId="5" fillId="0" borderId="54" xfId="2" applyFont="1" applyBorder="1" applyAlignment="1">
      <alignment horizontal="right"/>
    </xf>
    <xf numFmtId="2" fontId="13" fillId="0" borderId="54" xfId="2" applyNumberFormat="1" applyFont="1" applyBorder="1" applyAlignment="1">
      <alignment horizontal="right"/>
    </xf>
    <xf numFmtId="0" fontId="17" fillId="0" borderId="54" xfId="2" applyBorder="1" applyAlignment="1">
      <alignment horizontal="right"/>
    </xf>
    <xf numFmtId="0" fontId="13" fillId="0" borderId="47" xfId="2" applyFont="1" applyBorder="1" applyAlignment="1">
      <alignment horizontal="left" vertical="top"/>
    </xf>
    <xf numFmtId="0" fontId="13" fillId="0" borderId="48" xfId="2" applyFont="1" applyBorder="1" applyAlignment="1">
      <alignment horizontal="right"/>
    </xf>
    <xf numFmtId="164" fontId="13" fillId="0" borderId="48" xfId="2" applyNumberFormat="1" applyFont="1" applyBorder="1" applyAlignment="1">
      <alignment horizontal="right"/>
    </xf>
    <xf numFmtId="0" fontId="5" fillId="0" borderId="48" xfId="2" applyFont="1" applyBorder="1" applyAlignment="1">
      <alignment horizontal="right"/>
    </xf>
    <xf numFmtId="2" fontId="13" fillId="0" borderId="48" xfId="2" applyNumberFormat="1" applyFont="1" applyBorder="1" applyAlignment="1">
      <alignment horizontal="right"/>
    </xf>
    <xf numFmtId="0" fontId="17" fillId="0" borderId="48" xfId="2" applyBorder="1" applyAlignment="1">
      <alignment horizontal="right"/>
    </xf>
    <xf numFmtId="0" fontId="5" fillId="0" borderId="27" xfId="2" applyFont="1"/>
    <xf numFmtId="0" fontId="13" fillId="0" borderId="63" xfId="2" applyFont="1" applyBorder="1" applyAlignment="1">
      <alignment horizontal="right"/>
    </xf>
    <xf numFmtId="0" fontId="4" fillId="0" borderId="59" xfId="1" applyFont="1" applyBorder="1" applyAlignment="1">
      <alignment horizontal="right"/>
    </xf>
    <xf numFmtId="0" fontId="4" fillId="0" borderId="54" xfId="2" applyFont="1" applyBorder="1" applyAlignment="1">
      <alignment horizontal="right"/>
    </xf>
    <xf numFmtId="0" fontId="4" fillId="0" borderId="60" xfId="2" applyFont="1" applyBorder="1" applyAlignment="1">
      <alignment horizontal="right"/>
    </xf>
    <xf numFmtId="0" fontId="4" fillId="0" borderId="48" xfId="2" applyFont="1" applyBorder="1" applyAlignment="1">
      <alignment horizontal="right"/>
    </xf>
    <xf numFmtId="0" fontId="5" fillId="0" borderId="65" xfId="2" applyFont="1" applyBorder="1" applyAlignment="1">
      <alignment horizontal="right"/>
    </xf>
    <xf numFmtId="0" fontId="5" fillId="0" borderId="66" xfId="2" applyFont="1" applyBorder="1" applyAlignment="1">
      <alignment horizontal="right"/>
    </xf>
    <xf numFmtId="0" fontId="13" fillId="7" borderId="67" xfId="2" applyFont="1" applyFill="1" applyBorder="1" applyAlignment="1">
      <alignment horizontal="right"/>
    </xf>
    <xf numFmtId="2" fontId="13" fillId="7" borderId="67" xfId="2" applyNumberFormat="1" applyFont="1" applyFill="1" applyBorder="1" applyAlignment="1">
      <alignment horizontal="right"/>
    </xf>
    <xf numFmtId="0" fontId="13" fillId="7" borderId="69" xfId="2" applyFont="1" applyFill="1" applyBorder="1" applyAlignment="1">
      <alignment horizontal="right"/>
    </xf>
    <xf numFmtId="2" fontId="13" fillId="7" borderId="69" xfId="2" applyNumberFormat="1" applyFont="1" applyFill="1" applyBorder="1" applyAlignment="1">
      <alignment horizontal="right"/>
    </xf>
    <xf numFmtId="0" fontId="17" fillId="6" borderId="69" xfId="2" applyFill="1" applyBorder="1" applyAlignment="1">
      <alignment horizontal="right"/>
    </xf>
    <xf numFmtId="0" fontId="13" fillId="7" borderId="71" xfId="2" applyFont="1" applyFill="1" applyBorder="1" applyAlignment="1">
      <alignment horizontal="right"/>
    </xf>
    <xf numFmtId="2" fontId="13" fillId="7" borderId="71" xfId="2" applyNumberFormat="1" applyFont="1" applyFill="1" applyBorder="1" applyAlignment="1">
      <alignment horizontal="right"/>
    </xf>
    <xf numFmtId="0" fontId="17" fillId="6" borderId="71" xfId="2" applyFill="1" applyBorder="1" applyAlignment="1">
      <alignment horizontal="right"/>
    </xf>
    <xf numFmtId="0" fontId="4" fillId="6" borderId="67" xfId="2" applyFont="1" applyFill="1" applyBorder="1" applyAlignment="1">
      <alignment horizontal="right"/>
    </xf>
    <xf numFmtId="0" fontId="4" fillId="6" borderId="69" xfId="2" applyFont="1" applyFill="1" applyBorder="1" applyAlignment="1">
      <alignment horizontal="right"/>
    </xf>
    <xf numFmtId="0" fontId="4" fillId="6" borderId="71" xfId="2" applyFont="1" applyFill="1" applyBorder="1" applyAlignment="1">
      <alignment horizontal="right"/>
    </xf>
    <xf numFmtId="0" fontId="4" fillId="8" borderId="62" xfId="2" applyFont="1" applyFill="1" applyBorder="1" applyAlignment="1">
      <alignment horizontal="right"/>
    </xf>
    <xf numFmtId="0" fontId="13" fillId="0" borderId="74" xfId="1" applyFont="1" applyBorder="1" applyAlignment="1">
      <alignment horizontal="right"/>
    </xf>
    <xf numFmtId="2" fontId="13" fillId="0" borderId="74" xfId="1" applyNumberFormat="1" applyFont="1" applyBorder="1" applyAlignment="1">
      <alignment horizontal="right"/>
    </xf>
    <xf numFmtId="0" fontId="16" fillId="0" borderId="74" xfId="1" applyFont="1" applyBorder="1" applyAlignment="1">
      <alignment horizontal="right"/>
    </xf>
    <xf numFmtId="0" fontId="4" fillId="0" borderId="73" xfId="1" applyFont="1" applyBorder="1" applyAlignment="1">
      <alignment horizontal="right"/>
    </xf>
    <xf numFmtId="0" fontId="13" fillId="3" borderId="36" xfId="2" applyFont="1" applyFill="1" applyBorder="1" applyAlignment="1">
      <alignment horizontal="right"/>
    </xf>
    <xf numFmtId="0" fontId="4" fillId="0" borderId="64" xfId="2" applyFont="1" applyBorder="1" applyAlignment="1">
      <alignment horizontal="right"/>
    </xf>
    <xf numFmtId="0" fontId="3" fillId="8" borderId="36" xfId="1" applyFont="1" applyFill="1" applyBorder="1" applyAlignment="1">
      <alignment horizontal="right"/>
    </xf>
    <xf numFmtId="0" fontId="13" fillId="10" borderId="39" xfId="0" applyFont="1" applyFill="1" applyBorder="1" applyAlignment="1">
      <alignment horizontal="right"/>
    </xf>
    <xf numFmtId="0" fontId="0" fillId="11" borderId="34" xfId="0" applyFill="1" applyBorder="1" applyAlignment="1">
      <alignment horizontal="right"/>
    </xf>
    <xf numFmtId="0" fontId="13" fillId="10" borderId="34" xfId="0" applyFont="1" applyFill="1" applyBorder="1" applyAlignment="1">
      <alignment horizontal="right"/>
    </xf>
    <xf numFmtId="0" fontId="13" fillId="2" borderId="35" xfId="0" applyFont="1" applyFill="1" applyBorder="1" applyAlignment="1">
      <alignment horizontal="left" vertical="top"/>
    </xf>
    <xf numFmtId="0" fontId="13" fillId="2" borderId="36" xfId="0" applyFont="1" applyFill="1" applyBorder="1" applyAlignment="1">
      <alignment horizontal="left" vertical="top"/>
    </xf>
    <xf numFmtId="0" fontId="3" fillId="2" borderId="36" xfId="0" applyFont="1" applyFill="1" applyBorder="1" applyAlignment="1">
      <alignment horizontal="left" vertical="top"/>
    </xf>
    <xf numFmtId="0" fontId="13" fillId="2" borderId="37" xfId="0" applyFont="1" applyFill="1" applyBorder="1" applyAlignment="1">
      <alignment horizontal="left" vertical="top"/>
    </xf>
    <xf numFmtId="0" fontId="13" fillId="12" borderId="31" xfId="2" applyFont="1" applyFill="1" applyBorder="1" applyAlignment="1">
      <alignment vertical="top" wrapText="1"/>
    </xf>
    <xf numFmtId="0" fontId="13" fillId="12" borderId="31" xfId="2" applyFont="1" applyFill="1" applyBorder="1" applyAlignment="1">
      <alignment horizontal="left" vertical="top" wrapText="1"/>
    </xf>
    <xf numFmtId="0" fontId="13" fillId="11" borderId="25" xfId="2" applyFont="1" applyFill="1" applyBorder="1" applyAlignment="1">
      <alignment horizontal="right"/>
    </xf>
    <xf numFmtId="0" fontId="4" fillId="11" borderId="25" xfId="2" applyFont="1" applyFill="1" applyBorder="1" applyAlignment="1">
      <alignment horizontal="right"/>
    </xf>
    <xf numFmtId="0" fontId="13" fillId="11" borderId="26" xfId="2" applyFont="1" applyFill="1" applyBorder="1" applyAlignment="1">
      <alignment horizontal="right"/>
    </xf>
    <xf numFmtId="0" fontId="13" fillId="11" borderId="27" xfId="2" applyFont="1" applyFill="1" applyAlignment="1">
      <alignment horizontal="right"/>
    </xf>
    <xf numFmtId="0" fontId="4" fillId="11" borderId="27" xfId="2" applyFont="1" applyFill="1" applyAlignment="1">
      <alignment horizontal="right"/>
    </xf>
    <xf numFmtId="0" fontId="13" fillId="11" borderId="7" xfId="2" applyFont="1" applyFill="1" applyBorder="1" applyAlignment="1">
      <alignment horizontal="right"/>
    </xf>
    <xf numFmtId="0" fontId="13" fillId="11" borderId="16" xfId="2" applyFont="1" applyFill="1" applyBorder="1" applyAlignment="1">
      <alignment horizontal="right"/>
    </xf>
    <xf numFmtId="0" fontId="4" fillId="11" borderId="16" xfId="2" applyFont="1" applyFill="1" applyBorder="1" applyAlignment="1">
      <alignment horizontal="right"/>
    </xf>
    <xf numFmtId="0" fontId="13" fillId="11" borderId="17" xfId="2" applyFont="1" applyFill="1" applyBorder="1" applyAlignment="1">
      <alignment horizontal="right"/>
    </xf>
    <xf numFmtId="0" fontId="13" fillId="10" borderId="68" xfId="2" applyFont="1" applyFill="1" applyBorder="1" applyAlignment="1">
      <alignment horizontal="right" vertical="top"/>
    </xf>
    <xf numFmtId="0" fontId="13" fillId="10" borderId="70" xfId="2" applyFont="1" applyFill="1" applyBorder="1" applyAlignment="1">
      <alignment horizontal="right" vertical="top"/>
    </xf>
    <xf numFmtId="0" fontId="13" fillId="10" borderId="72" xfId="2" applyFont="1" applyFill="1" applyBorder="1" applyAlignment="1">
      <alignment horizontal="right" vertical="top"/>
    </xf>
    <xf numFmtId="0" fontId="13" fillId="0" borderId="46" xfId="2" applyFont="1" applyBorder="1" applyAlignment="1">
      <alignment horizontal="right"/>
    </xf>
    <xf numFmtId="0" fontId="3" fillId="0" borderId="54" xfId="2" applyFont="1" applyBorder="1" applyAlignment="1">
      <alignment horizontal="right"/>
    </xf>
    <xf numFmtId="2" fontId="13" fillId="11" borderId="54" xfId="1" applyNumberFormat="1" applyFont="1" applyFill="1" applyBorder="1" applyAlignment="1">
      <alignment horizontal="right"/>
    </xf>
    <xf numFmtId="2" fontId="13" fillId="11" borderId="60" xfId="1" applyNumberFormat="1" applyFont="1" applyFill="1" applyBorder="1" applyAlignment="1">
      <alignment horizontal="right"/>
    </xf>
    <xf numFmtId="2" fontId="13" fillId="11" borderId="74" xfId="1" applyNumberFormat="1" applyFont="1" applyFill="1" applyBorder="1" applyAlignment="1">
      <alignment horizontal="right"/>
    </xf>
    <xf numFmtId="2" fontId="13" fillId="11" borderId="48" xfId="1" applyNumberFormat="1" applyFont="1" applyFill="1" applyBorder="1" applyAlignment="1">
      <alignment horizontal="right"/>
    </xf>
    <xf numFmtId="11" fontId="5" fillId="6" borderId="27" xfId="1" applyNumberFormat="1" applyFill="1"/>
    <xf numFmtId="0" fontId="13" fillId="11" borderId="54" xfId="1" applyFont="1" applyFill="1" applyBorder="1" applyAlignment="1">
      <alignment horizontal="right"/>
    </xf>
    <xf numFmtId="0" fontId="13" fillId="11" borderId="60" xfId="1" applyFont="1" applyFill="1" applyBorder="1" applyAlignment="1">
      <alignment horizontal="right"/>
    </xf>
    <xf numFmtId="0" fontId="13" fillId="11" borderId="74" xfId="1" applyFont="1" applyFill="1" applyBorder="1" applyAlignment="1">
      <alignment horizontal="right"/>
    </xf>
    <xf numFmtId="0" fontId="13" fillId="11" borderId="48" xfId="1" applyFont="1" applyFill="1" applyBorder="1" applyAlignment="1">
      <alignment horizontal="right"/>
    </xf>
    <xf numFmtId="0" fontId="13" fillId="11" borderId="55" xfId="1" applyFont="1" applyFill="1" applyBorder="1" applyAlignment="1">
      <alignment horizontal="right"/>
    </xf>
    <xf numFmtId="0" fontId="13" fillId="11" borderId="61" xfId="1" applyFont="1" applyFill="1" applyBorder="1" applyAlignment="1">
      <alignment horizontal="right"/>
    </xf>
    <xf numFmtId="0" fontId="13" fillId="11" borderId="75" xfId="1" applyFont="1" applyFill="1" applyBorder="1" applyAlignment="1">
      <alignment horizontal="right"/>
    </xf>
    <xf numFmtId="2" fontId="13" fillId="11" borderId="54" xfId="2" applyNumberFormat="1" applyFont="1" applyFill="1" applyBorder="1" applyAlignment="1">
      <alignment horizontal="right"/>
    </xf>
    <xf numFmtId="2" fontId="13" fillId="11" borderId="60" xfId="2" applyNumberFormat="1" applyFont="1" applyFill="1" applyBorder="1" applyAlignment="1">
      <alignment horizontal="right"/>
    </xf>
    <xf numFmtId="2" fontId="13" fillId="11" borderId="48" xfId="2" applyNumberFormat="1" applyFont="1" applyFill="1" applyBorder="1" applyAlignment="1">
      <alignment horizontal="right"/>
    </xf>
    <xf numFmtId="0" fontId="13" fillId="0" borderId="34" xfId="0" applyFont="1" applyBorder="1" applyAlignment="1">
      <alignment horizontal="right" vertical="center"/>
    </xf>
    <xf numFmtId="0" fontId="13" fillId="10" borderId="34" xfId="0" applyFont="1" applyFill="1" applyBorder="1" applyAlignment="1">
      <alignment horizontal="right" wrapText="1"/>
    </xf>
    <xf numFmtId="0" fontId="13" fillId="11" borderId="49" xfId="1" applyFont="1" applyFill="1" applyBorder="1" applyAlignment="1">
      <alignment horizontal="right"/>
    </xf>
    <xf numFmtId="0" fontId="9" fillId="13" borderId="76" xfId="0" applyFont="1" applyFill="1" applyBorder="1" applyAlignment="1">
      <alignment wrapText="1"/>
    </xf>
    <xf numFmtId="0" fontId="2" fillId="0" borderId="0" xfId="0" applyFont="1" applyAlignment="1">
      <alignment wrapText="1"/>
    </xf>
    <xf numFmtId="0" fontId="1" fillId="0" borderId="56" xfId="2" applyFont="1" applyBorder="1" applyAlignment="1">
      <alignment horizontal="right"/>
    </xf>
  </cellXfs>
  <cellStyles count="3">
    <cellStyle name="Normal" xfId="0" builtinId="0"/>
    <cellStyle name="Normal 2" xfId="1" xr:uid="{854A3DD3-C381-4336-B44D-4705C9868E26}"/>
    <cellStyle name="Normal 3" xfId="2" xr:uid="{524D5D47-F55D-4F6D-B3C0-639D9F4BF4B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29</xdr:row>
      <xdr:rowOff>0</xdr:rowOff>
    </xdr:from>
    <xdr:to>
      <xdr:col>12</xdr:col>
      <xdr:colOff>789214</xdr:colOff>
      <xdr:row>44</xdr:row>
      <xdr:rowOff>166007</xdr:rowOff>
    </xdr:to>
    <xdr:pic>
      <xdr:nvPicPr>
        <xdr:cNvPr id="3" name="Graphic 2">
          <a:extLst>
            <a:ext uri="{FF2B5EF4-FFF2-40B4-BE49-F238E27FC236}">
              <a16:creationId xmlns:a16="http://schemas.microsoft.com/office/drawing/2014/main" id="{E514E372-0318-E856-1F71-7C84DBCCF3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847143" y="7097486"/>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6347460</xdr:colOff>
      <xdr:row>25</xdr:row>
      <xdr:rowOff>30480</xdr:rowOff>
    </xdr:from>
    <xdr:to>
      <xdr:col>0</xdr:col>
      <xdr:colOff>9404985</xdr:colOff>
      <xdr:row>39</xdr:row>
      <xdr:rowOff>99060</xdr:rowOff>
    </xdr:to>
    <xdr:pic>
      <xdr:nvPicPr>
        <xdr:cNvPr id="5" name="Graphic 4">
          <a:extLst>
            <a:ext uri="{FF2B5EF4-FFF2-40B4-BE49-F238E27FC236}">
              <a16:creationId xmlns:a16="http://schemas.microsoft.com/office/drawing/2014/main" id="{09584482-93A8-1792-E9CE-A682488F76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47460" y="4899660"/>
          <a:ext cx="3057525" cy="26289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9C0887DE-B5FD-4FA6-BE7D-DE22D52708E1}"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22" dT="2026-05-06T08:52:25.00" personId="{9C0887DE-B5FD-4FA6-BE7D-DE22D52708E1}" id="{1707213C-97FC-4C9D-94F6-0A0B3239384F}">
    <text>Computed from Q = m*cp*dT</text>
  </threadedComment>
  <threadedComment ref="K23" dT="2026-05-06T08:52:53.70" personId="{9C0887DE-B5FD-4FA6-BE7D-DE22D52708E1}" id="{5B5892F7-A35F-4BB6-8D40-7A65CCF379D5}">
    <text>Computed from Q = m*L (latent heat)</text>
  </threadedComment>
</ThreadedComment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4" sqref="B14"/>
    </sheetView>
  </sheetViews>
  <sheetFormatPr baseColWidth="10" defaultColWidth="14.46484375" defaultRowHeight="15" customHeight="1" x14ac:dyDescent="0.45"/>
  <cols>
    <col min="1" max="1" width="18.1328125" bestFit="1" customWidth="1"/>
    <col min="2" max="2" width="255.796875" style="18" customWidth="1"/>
    <col min="3" max="3" width="29.46484375" customWidth="1"/>
  </cols>
  <sheetData>
    <row r="2" spans="1:2" ht="37.799999999999997" customHeight="1" x14ac:dyDescent="0.45">
      <c r="A2" s="4" t="s">
        <v>0</v>
      </c>
      <c r="B2" s="19" t="s">
        <v>1</v>
      </c>
    </row>
    <row r="3" spans="1:2" ht="15" customHeight="1" x14ac:dyDescent="0.45">
      <c r="A3" s="16"/>
      <c r="B3" s="17"/>
    </row>
    <row r="4" spans="1:2" ht="23.55" customHeight="1" x14ac:dyDescent="0.45">
      <c r="A4" s="4" t="s">
        <v>127</v>
      </c>
      <c r="B4" s="20" t="s">
        <v>128</v>
      </c>
    </row>
    <row r="5" spans="1:2" ht="14.25" x14ac:dyDescent="0.45">
      <c r="A5" s="16"/>
      <c r="B5" s="17"/>
    </row>
    <row r="6" spans="1:2" ht="72.5" customHeight="1" x14ac:dyDescent="0.45">
      <c r="A6" s="4" t="s">
        <v>2</v>
      </c>
      <c r="B6" s="20" t="s">
        <v>129</v>
      </c>
    </row>
    <row r="7" spans="1:2" ht="14.25" x14ac:dyDescent="0.45">
      <c r="A7" s="16"/>
      <c r="B7" s="17"/>
    </row>
    <row r="8" spans="1:2" ht="39.5" customHeight="1" x14ac:dyDescent="0.45">
      <c r="A8" s="4" t="s">
        <v>3</v>
      </c>
      <c r="B8" s="19" t="s">
        <v>4</v>
      </c>
    </row>
    <row r="9" spans="1:2" ht="14.25" x14ac:dyDescent="0.45">
      <c r="A9" s="16"/>
      <c r="B9" s="17"/>
    </row>
    <row r="10" spans="1:2" ht="55.8" customHeight="1" x14ac:dyDescent="0.45">
      <c r="A10" s="4" t="s">
        <v>5</v>
      </c>
      <c r="B10" s="20" t="s">
        <v>130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68" zoomScaleNormal="55" workbookViewId="0">
      <selection activeCell="B18" sqref="B18"/>
    </sheetView>
  </sheetViews>
  <sheetFormatPr baseColWidth="10" defaultColWidth="14.46484375" defaultRowHeight="15" customHeight="1" x14ac:dyDescent="0.45"/>
  <cols>
    <col min="1" max="1" width="59" bestFit="1" customWidth="1"/>
    <col min="2" max="2" width="90.796875" bestFit="1" customWidth="1"/>
    <col min="3" max="3" width="17.796875" customWidth="1"/>
    <col min="4" max="4" width="12.6640625" customWidth="1"/>
    <col min="5" max="5" width="4.6640625" customWidth="1"/>
    <col min="6" max="6" width="7" customWidth="1"/>
    <col min="7" max="26" width="10.6640625" customWidth="1"/>
    <col min="27" max="16384" width="14.46484375" style="6"/>
  </cols>
  <sheetData>
    <row r="1" spans="1:4" ht="14.25" x14ac:dyDescent="0.45">
      <c r="A1" s="8" t="s">
        <v>71</v>
      </c>
      <c r="B1" s="222"/>
      <c r="C1" s="2"/>
      <c r="D1" s="3" t="s">
        <v>105</v>
      </c>
    </row>
    <row r="2" spans="1:4" ht="14.25" x14ac:dyDescent="0.45">
      <c r="A2" s="9" t="s">
        <v>72</v>
      </c>
      <c r="B2" s="10" t="s">
        <v>156</v>
      </c>
      <c r="D2" s="21" t="s">
        <v>6</v>
      </c>
    </row>
    <row r="3" spans="1:4" ht="14.25" x14ac:dyDescent="0.45">
      <c r="A3" s="9" t="s">
        <v>73</v>
      </c>
      <c r="B3" s="10" t="s">
        <v>157</v>
      </c>
      <c r="C3" s="6"/>
      <c r="D3" s="22" t="s">
        <v>136</v>
      </c>
    </row>
    <row r="4" spans="1:4" ht="14.25" x14ac:dyDescent="0.45">
      <c r="A4" s="9" t="s">
        <v>85</v>
      </c>
      <c r="B4" s="10" t="s">
        <v>86</v>
      </c>
      <c r="C4" s="6"/>
      <c r="D4" s="22" t="s">
        <v>137</v>
      </c>
    </row>
    <row r="5" spans="1:4" ht="14.25" x14ac:dyDescent="0.45">
      <c r="A5" s="9" t="s">
        <v>76</v>
      </c>
      <c r="B5" s="23">
        <v>46128</v>
      </c>
      <c r="C5" s="6"/>
      <c r="D5" s="21" t="s">
        <v>9</v>
      </c>
    </row>
    <row r="6" spans="1:4" ht="14.25" x14ac:dyDescent="0.45">
      <c r="A6" s="9" t="s">
        <v>80</v>
      </c>
      <c r="B6" s="23">
        <v>46128</v>
      </c>
      <c r="C6" s="6"/>
      <c r="D6" s="21" t="s">
        <v>13</v>
      </c>
    </row>
    <row r="7" spans="1:4" ht="14.25" x14ac:dyDescent="0.45">
      <c r="A7" s="9" t="s">
        <v>88</v>
      </c>
      <c r="B7" s="10" t="s">
        <v>89</v>
      </c>
      <c r="D7" s="22" t="s">
        <v>138</v>
      </c>
    </row>
    <row r="8" spans="1:4" ht="14.25" x14ac:dyDescent="0.45">
      <c r="A8" s="9" t="s">
        <v>74</v>
      </c>
      <c r="B8" s="11" t="s">
        <v>99</v>
      </c>
      <c r="C8" s="6"/>
      <c r="D8" s="22" t="s">
        <v>134</v>
      </c>
    </row>
    <row r="9" spans="1:4" ht="14.25" x14ac:dyDescent="0.45">
      <c r="A9" s="9" t="s">
        <v>75</v>
      </c>
      <c r="B9" s="10" t="s">
        <v>8</v>
      </c>
      <c r="C9" s="6"/>
      <c r="D9" s="22" t="s">
        <v>135</v>
      </c>
    </row>
    <row r="10" spans="1:4" ht="14.25" x14ac:dyDescent="0.45">
      <c r="A10" s="9" t="s">
        <v>106</v>
      </c>
      <c r="B10" s="7">
        <v>1</v>
      </c>
      <c r="D10" s="22" t="s">
        <v>139</v>
      </c>
    </row>
    <row r="11" spans="1:4" ht="14.25" x14ac:dyDescent="0.45">
      <c r="A11" s="9" t="s">
        <v>78</v>
      </c>
      <c r="B11" s="10" t="s">
        <v>10</v>
      </c>
      <c r="C11" s="6"/>
      <c r="D11" s="22" t="s">
        <v>140</v>
      </c>
    </row>
    <row r="12" spans="1:4" ht="28.5" x14ac:dyDescent="0.45">
      <c r="A12" s="12" t="s">
        <v>82</v>
      </c>
      <c r="B12" s="260" t="str">
        <f>TEXT(W_bal,0)&amp;"kW of electricity produced"</f>
        <v>34kW of electricity produced</v>
      </c>
      <c r="C12" s="1"/>
      <c r="D12" s="22" t="s">
        <v>141</v>
      </c>
    </row>
    <row r="13" spans="1:4" ht="21.5" customHeight="1" x14ac:dyDescent="0.45">
      <c r="A13" s="12" t="s">
        <v>48</v>
      </c>
      <c r="B13" s="10">
        <v>9</v>
      </c>
      <c r="C13" s="1"/>
      <c r="D13" s="22" t="s">
        <v>142</v>
      </c>
    </row>
    <row r="14" spans="1:4" ht="14.25" x14ac:dyDescent="0.45">
      <c r="A14" s="9" t="s">
        <v>81</v>
      </c>
      <c r="B14" s="224" t="s">
        <v>251</v>
      </c>
      <c r="C14" s="5"/>
      <c r="D14" s="21" t="s">
        <v>14</v>
      </c>
    </row>
    <row r="15" spans="1:4" ht="14.25" x14ac:dyDescent="0.45">
      <c r="A15" s="12" t="s">
        <v>15</v>
      </c>
      <c r="B15" s="13" t="s">
        <v>250</v>
      </c>
      <c r="C15" s="1"/>
      <c r="D15" s="21" t="s">
        <v>132</v>
      </c>
    </row>
    <row r="16" spans="1:4" ht="14.25" x14ac:dyDescent="0.45">
      <c r="A16" s="12" t="s">
        <v>83</v>
      </c>
      <c r="B16" s="223"/>
      <c r="C16" s="1"/>
      <c r="D16" s="21" t="s">
        <v>131</v>
      </c>
    </row>
    <row r="17" spans="1:4" ht="14.25" x14ac:dyDescent="0.45">
      <c r="A17" s="12" t="s">
        <v>87</v>
      </c>
      <c r="B17" s="223"/>
      <c r="C17" s="1"/>
      <c r="D17" s="22" t="s">
        <v>143</v>
      </c>
    </row>
    <row r="18" spans="1:4" ht="20.55" customHeight="1" x14ac:dyDescent="0.45">
      <c r="A18" s="9" t="s">
        <v>77</v>
      </c>
      <c r="B18" s="261" t="s">
        <v>307</v>
      </c>
      <c r="C18" s="6"/>
      <c r="D18" s="22" t="s">
        <v>144</v>
      </c>
    </row>
    <row r="19" spans="1:4" ht="14.25" x14ac:dyDescent="0.45">
      <c r="A19" s="9" t="s">
        <v>79</v>
      </c>
      <c r="B19" s="10" t="s">
        <v>158</v>
      </c>
      <c r="C19" s="6"/>
      <c r="D19" s="21" t="s">
        <v>11</v>
      </c>
    </row>
    <row r="20" spans="1:4" ht="14.25" x14ac:dyDescent="0.45">
      <c r="A20" s="9" t="s">
        <v>104</v>
      </c>
      <c r="B20" s="10" t="s">
        <v>158</v>
      </c>
      <c r="C20" s="6"/>
      <c r="D20" s="22" t="s">
        <v>145</v>
      </c>
    </row>
    <row r="21" spans="1:4" ht="15.75" customHeight="1" x14ac:dyDescent="0.45">
      <c r="A21" s="12" t="s">
        <v>84</v>
      </c>
      <c r="B21" s="10" t="s">
        <v>159</v>
      </c>
      <c r="C21" s="1"/>
      <c r="D21" s="22" t="s">
        <v>146</v>
      </c>
    </row>
    <row r="22" spans="1:4" ht="14.25" x14ac:dyDescent="0.45">
      <c r="A22" s="9" t="s">
        <v>12</v>
      </c>
      <c r="B22" s="223"/>
      <c r="C22" s="6"/>
      <c r="D22" s="22" t="s">
        <v>147</v>
      </c>
    </row>
    <row r="23" spans="1:4" ht="15.75" customHeight="1" thickBot="1" x14ac:dyDescent="0.5">
      <c r="A23" s="14" t="s">
        <v>90</v>
      </c>
      <c r="B23" s="15" t="s">
        <v>102</v>
      </c>
      <c r="C23" s="1"/>
      <c r="D23" s="22" t="s">
        <v>133</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2E254-FD12-40E2-BBF2-53733343A054}">
  <sheetPr codeName="Sheet3"/>
  <dimension ref="A1:P53"/>
  <sheetViews>
    <sheetView showGridLines="0" zoomScale="85" zoomScaleNormal="85" workbookViewId="0">
      <selection activeCell="C17" sqref="C17"/>
    </sheetView>
  </sheetViews>
  <sheetFormatPr baseColWidth="10" defaultColWidth="14.46484375" defaultRowHeight="15" customHeight="1" x14ac:dyDescent="0.45"/>
  <cols>
    <col min="1" max="1" width="42.6640625" style="37" customWidth="1"/>
    <col min="2" max="2" width="19.46484375" style="37" bestFit="1" customWidth="1"/>
    <col min="3" max="3" width="17.33203125" style="37" customWidth="1"/>
    <col min="4" max="4" width="20.1328125" style="37" bestFit="1" customWidth="1"/>
    <col min="5" max="5" width="19.46484375" style="37" bestFit="1" customWidth="1"/>
    <col min="6" max="6" width="23.46484375" style="37" customWidth="1"/>
    <col min="7" max="7" width="27" style="37" customWidth="1"/>
    <col min="8" max="8" width="23.46484375" style="37" customWidth="1"/>
    <col min="9" max="9" width="33.1328125" style="37" bestFit="1" customWidth="1"/>
    <col min="10" max="10" width="27" style="37" customWidth="1"/>
    <col min="11" max="11" width="54.796875" style="26" bestFit="1" customWidth="1"/>
    <col min="12" max="12" width="61.33203125" style="26" customWidth="1"/>
    <col min="13" max="13" width="16" style="26" customWidth="1"/>
    <col min="14" max="14" width="18.46484375" style="26" customWidth="1"/>
    <col min="15" max="15" width="14.33203125" style="26" customWidth="1"/>
    <col min="16" max="16" width="5.1328125" style="26" customWidth="1"/>
    <col min="17" max="16384" width="14.46484375" style="26"/>
  </cols>
  <sheetData>
    <row r="1" spans="1:16" ht="15" customHeight="1" thickBot="1" x14ac:dyDescent="0.5"/>
    <row r="2" spans="1:16" ht="14.65" thickBot="1" x14ac:dyDescent="0.5">
      <c r="A2" s="38" t="s">
        <v>70</v>
      </c>
      <c r="B2" s="29"/>
      <c r="C2" s="29"/>
      <c r="D2" s="29"/>
      <c r="E2" s="29"/>
      <c r="F2" s="29"/>
      <c r="G2" s="29"/>
      <c r="H2" s="29"/>
      <c r="I2" s="29"/>
      <c r="J2" s="29"/>
      <c r="K2" s="29"/>
      <c r="L2" s="46"/>
      <c r="M2" s="40"/>
      <c r="N2" s="40"/>
      <c r="O2" s="40"/>
      <c r="P2" s="40"/>
    </row>
    <row r="3" spans="1:16" ht="14.65" thickBot="1" x14ac:dyDescent="0.5">
      <c r="A3" s="73" t="s">
        <v>16</v>
      </c>
      <c r="B3" s="74"/>
      <c r="C3" s="74"/>
      <c r="D3" s="74"/>
      <c r="E3" s="74"/>
      <c r="F3" s="74"/>
      <c r="G3" s="74"/>
      <c r="H3" s="74"/>
      <c r="I3" s="74"/>
      <c r="J3" s="74"/>
      <c r="K3" s="74"/>
      <c r="L3" s="75"/>
      <c r="M3" s="48"/>
      <c r="N3" s="40"/>
      <c r="O3" s="40"/>
      <c r="P3" s="40"/>
    </row>
    <row r="4" spans="1:16" customFormat="1" ht="14.65" thickBot="1" x14ac:dyDescent="0.5">
      <c r="A4" s="225" t="s">
        <v>289</v>
      </c>
      <c r="B4" s="226" t="s">
        <v>17</v>
      </c>
      <c r="C4" s="226" t="s">
        <v>18</v>
      </c>
      <c r="D4" s="226" t="s">
        <v>152</v>
      </c>
      <c r="E4" s="226" t="s">
        <v>290</v>
      </c>
      <c r="F4" s="227" t="s">
        <v>20</v>
      </c>
      <c r="G4" s="226" t="s">
        <v>291</v>
      </c>
      <c r="H4" s="226" t="s">
        <v>21</v>
      </c>
      <c r="I4" s="226" t="s">
        <v>22</v>
      </c>
      <c r="J4" s="226" t="s">
        <v>23</v>
      </c>
      <c r="K4" s="226" t="s">
        <v>24</v>
      </c>
      <c r="L4" s="228" t="s">
        <v>15</v>
      </c>
    </row>
    <row r="5" spans="1:16" ht="14.65" thickBot="1" x14ac:dyDescent="0.5">
      <c r="A5" s="95" t="s">
        <v>25</v>
      </c>
      <c r="B5" s="96" t="s">
        <v>240</v>
      </c>
      <c r="C5" s="96" t="s">
        <v>25</v>
      </c>
      <c r="D5" s="96" t="s">
        <v>26</v>
      </c>
      <c r="E5" s="97" t="s">
        <v>27</v>
      </c>
      <c r="F5" s="89" t="s">
        <v>27</v>
      </c>
      <c r="G5" s="97" t="s">
        <v>27</v>
      </c>
      <c r="H5" s="97" t="s">
        <v>27</v>
      </c>
      <c r="I5" s="97" t="s">
        <v>27</v>
      </c>
      <c r="J5" s="97" t="s">
        <v>27</v>
      </c>
      <c r="K5" s="97" t="s">
        <v>27</v>
      </c>
      <c r="L5" s="98" t="s">
        <v>292</v>
      </c>
      <c r="M5" s="37"/>
      <c r="N5" s="40"/>
      <c r="O5" s="40"/>
      <c r="P5" s="40"/>
    </row>
    <row r="6" spans="1:16" ht="14.65" thickBot="1" x14ac:dyDescent="0.5">
      <c r="A6" s="43"/>
      <c r="B6" s="43"/>
      <c r="C6" s="43"/>
      <c r="D6" s="43"/>
      <c r="E6" s="43"/>
      <c r="F6" s="43"/>
      <c r="G6" s="43"/>
      <c r="H6" s="43"/>
      <c r="I6" s="29"/>
      <c r="J6" s="29"/>
      <c r="K6" s="29"/>
      <c r="L6" s="29"/>
      <c r="N6" s="40"/>
      <c r="O6" s="40"/>
      <c r="P6" s="40"/>
    </row>
    <row r="7" spans="1:16" ht="14.65" thickBot="1" x14ac:dyDescent="0.5">
      <c r="A7" s="38" t="s">
        <v>69</v>
      </c>
      <c r="B7" s="44"/>
      <c r="C7" s="44"/>
      <c r="D7" s="44"/>
      <c r="E7" s="44"/>
      <c r="F7" s="44"/>
      <c r="G7" s="44"/>
      <c r="H7" s="44"/>
      <c r="I7" s="29"/>
      <c r="J7" s="36"/>
      <c r="K7" s="36"/>
      <c r="L7" s="36"/>
      <c r="M7" s="40"/>
      <c r="N7" s="40"/>
      <c r="O7" s="40"/>
      <c r="P7" s="40"/>
    </row>
    <row r="8" spans="1:16" ht="14.65" thickBot="1" x14ac:dyDescent="0.5">
      <c r="A8" s="41" t="s">
        <v>28</v>
      </c>
      <c r="B8" s="42"/>
      <c r="C8" s="42"/>
      <c r="D8" s="42"/>
      <c r="E8" s="42"/>
      <c r="F8" s="42"/>
      <c r="G8" s="42"/>
      <c r="H8" s="42"/>
      <c r="I8" s="42"/>
      <c r="J8" s="42"/>
      <c r="K8" s="42"/>
      <c r="L8" s="86"/>
      <c r="M8" s="39"/>
      <c r="N8" s="40"/>
      <c r="O8" s="40"/>
      <c r="P8" s="40"/>
    </row>
    <row r="9" spans="1:16" customFormat="1" ht="14.65" thickBot="1" x14ac:dyDescent="0.5">
      <c r="A9" s="225" t="s">
        <v>289</v>
      </c>
      <c r="B9" s="226" t="s">
        <v>17</v>
      </c>
      <c r="C9" s="226" t="s">
        <v>18</v>
      </c>
      <c r="D9" s="226" t="s">
        <v>152</v>
      </c>
      <c r="E9" s="226" t="s">
        <v>290</v>
      </c>
      <c r="F9" s="227" t="s">
        <v>20</v>
      </c>
      <c r="G9" s="226" t="s">
        <v>291</v>
      </c>
      <c r="H9" s="226" t="s">
        <v>21</v>
      </c>
      <c r="I9" s="226" t="s">
        <v>22</v>
      </c>
      <c r="J9" s="226" t="s">
        <v>23</v>
      </c>
      <c r="K9" s="226" t="s">
        <v>24</v>
      </c>
      <c r="L9" s="228" t="s">
        <v>15</v>
      </c>
    </row>
    <row r="10" spans="1:16" ht="14.65" thickBot="1" x14ac:dyDescent="0.5">
      <c r="A10" s="90" t="s">
        <v>27</v>
      </c>
      <c r="B10" s="91" t="s">
        <v>27</v>
      </c>
      <c r="C10" s="92" t="s">
        <v>27</v>
      </c>
      <c r="D10" s="92" t="s">
        <v>27</v>
      </c>
      <c r="E10" s="91" t="s">
        <v>27</v>
      </c>
      <c r="F10" s="91" t="s">
        <v>27</v>
      </c>
      <c r="G10" s="91" t="s">
        <v>27</v>
      </c>
      <c r="H10" s="93" t="s">
        <v>27</v>
      </c>
      <c r="I10" s="91" t="s">
        <v>27</v>
      </c>
      <c r="J10" s="91" t="s">
        <v>27</v>
      </c>
      <c r="K10" s="92" t="s">
        <v>27</v>
      </c>
      <c r="L10" s="94" t="s">
        <v>27</v>
      </c>
      <c r="M10" s="48"/>
      <c r="N10" s="40"/>
      <c r="O10" s="40"/>
      <c r="P10" s="40"/>
    </row>
    <row r="11" spans="1:16" ht="15.75" customHeight="1" thickBot="1" x14ac:dyDescent="0.5">
      <c r="A11" s="30"/>
      <c r="B11" s="30"/>
      <c r="C11" s="30"/>
      <c r="D11" s="30"/>
      <c r="E11" s="30"/>
      <c r="F11" s="30"/>
      <c r="G11" s="31"/>
      <c r="H11" s="29"/>
      <c r="I11" s="29"/>
      <c r="J11" s="32"/>
      <c r="K11" s="45"/>
      <c r="L11" s="45"/>
      <c r="M11" s="40"/>
      <c r="N11" s="40"/>
      <c r="O11" s="40"/>
      <c r="P11" s="40"/>
    </row>
    <row r="12" spans="1:16" ht="15.75" customHeight="1" thickBot="1" x14ac:dyDescent="0.5">
      <c r="A12" s="33"/>
      <c r="B12" s="33"/>
      <c r="C12" s="33"/>
      <c r="D12" s="33"/>
      <c r="E12" s="33"/>
      <c r="F12" s="34"/>
      <c r="G12" s="35"/>
      <c r="H12" s="46"/>
      <c r="I12" s="35"/>
      <c r="J12" s="36"/>
      <c r="K12" s="47"/>
      <c r="L12" s="40"/>
      <c r="M12" s="40"/>
      <c r="N12" s="40"/>
      <c r="O12" s="40"/>
      <c r="P12" s="40"/>
    </row>
    <row r="13" spans="1:16" ht="15.75" customHeight="1" thickBot="1" x14ac:dyDescent="0.5">
      <c r="K13" s="48"/>
      <c r="L13" s="48"/>
      <c r="M13" s="40"/>
      <c r="N13" s="40"/>
      <c r="O13" s="40"/>
      <c r="P13" s="40"/>
    </row>
    <row r="14" spans="1:16" ht="15.75" customHeight="1" thickBot="1" x14ac:dyDescent="0.5">
      <c r="L14" s="48"/>
      <c r="M14" s="40"/>
      <c r="N14" s="40"/>
      <c r="O14" s="40"/>
      <c r="P14" s="40"/>
    </row>
    <row r="15" spans="1:16" ht="15.75" customHeight="1" thickBot="1" x14ac:dyDescent="0.5">
      <c r="J15" s="49"/>
      <c r="K15" s="49"/>
      <c r="L15" s="50"/>
      <c r="M15" s="40"/>
      <c r="N15" s="40"/>
      <c r="O15" s="40"/>
      <c r="P15" s="40"/>
    </row>
    <row r="16" spans="1:16" ht="15.75" customHeight="1" thickBot="1" x14ac:dyDescent="0.5">
      <c r="J16" s="49"/>
      <c r="K16" s="49"/>
      <c r="L16" s="51"/>
      <c r="M16" s="40"/>
      <c r="N16" s="40"/>
      <c r="O16" s="40"/>
      <c r="P16" s="40"/>
    </row>
    <row r="17" spans="10:16" ht="15.75" customHeight="1" thickBot="1" x14ac:dyDescent="0.5">
      <c r="J17" s="49"/>
      <c r="K17" s="49"/>
      <c r="L17" s="37"/>
      <c r="M17" s="40"/>
      <c r="N17" s="40"/>
      <c r="O17" s="40"/>
      <c r="P17" s="40"/>
    </row>
    <row r="18" spans="10:16" ht="15.75" customHeight="1" thickBot="1" x14ac:dyDescent="0.5">
      <c r="J18" s="49"/>
      <c r="K18" s="49"/>
      <c r="L18" s="37"/>
      <c r="M18" s="40"/>
      <c r="N18" s="40"/>
      <c r="O18" s="40"/>
      <c r="P18" s="40"/>
    </row>
    <row r="19" spans="10:16" ht="15.75" customHeight="1" thickBot="1" x14ac:dyDescent="0.5">
      <c r="J19" s="49"/>
      <c r="K19" s="49"/>
      <c r="L19" s="37"/>
      <c r="M19" s="40"/>
      <c r="N19" s="40"/>
      <c r="O19" s="40"/>
      <c r="P19" s="40"/>
    </row>
    <row r="20" spans="10:16" ht="15.75" customHeight="1" thickBot="1" x14ac:dyDescent="0.5">
      <c r="J20" s="49"/>
      <c r="K20" s="49"/>
      <c r="L20" s="37"/>
      <c r="M20" s="40"/>
      <c r="N20" s="40"/>
      <c r="O20" s="40"/>
      <c r="P20" s="40"/>
    </row>
    <row r="21" spans="10:16" ht="15.75" customHeight="1" thickBot="1" x14ac:dyDescent="0.5">
      <c r="J21" s="49"/>
      <c r="K21" s="49"/>
      <c r="L21" s="37"/>
      <c r="M21" s="40"/>
      <c r="N21" s="40"/>
      <c r="O21" s="40"/>
      <c r="P21" s="40"/>
    </row>
    <row r="22" spans="10:16" ht="15.75" customHeight="1" x14ac:dyDescent="0.45"/>
    <row r="23" spans="10:16" ht="15.75" customHeight="1" x14ac:dyDescent="0.45"/>
    <row r="24" spans="10:16" ht="15.75" customHeight="1" x14ac:dyDescent="0.45"/>
    <row r="25" spans="10:16" ht="15.75" customHeight="1" x14ac:dyDescent="0.45"/>
    <row r="26" spans="10:16" ht="15.75" customHeight="1" x14ac:dyDescent="0.45"/>
    <row r="27" spans="10:16" ht="15.75" customHeight="1" x14ac:dyDescent="0.45"/>
    <row r="28" spans="10:16" ht="15.75" customHeight="1" x14ac:dyDescent="0.45"/>
    <row r="29" spans="10:16" ht="15.75" customHeight="1" x14ac:dyDescent="0.45"/>
    <row r="30" spans="10:16" ht="15.75" customHeight="1" x14ac:dyDescent="0.45"/>
    <row r="31" spans="10:16" ht="15.75" customHeight="1" x14ac:dyDescent="0.45"/>
    <row r="32" spans="10:16" ht="15.75" customHeight="1" x14ac:dyDescent="0.45"/>
    <row r="33" spans="11:16" s="37" customFormat="1" ht="15.75" customHeight="1" x14ac:dyDescent="0.45">
      <c r="K33" s="26"/>
      <c r="L33" s="26"/>
      <c r="M33" s="26"/>
      <c r="N33" s="26"/>
      <c r="O33" s="26"/>
      <c r="P33" s="26"/>
    </row>
    <row r="34" spans="11:16" s="37" customFormat="1" ht="15.75" customHeight="1" x14ac:dyDescent="0.45">
      <c r="K34" s="26"/>
      <c r="L34" s="26"/>
      <c r="M34" s="26"/>
      <c r="N34" s="26"/>
      <c r="O34" s="26"/>
      <c r="P34" s="26"/>
    </row>
    <row r="35" spans="11:16" s="37" customFormat="1" ht="15.75" customHeight="1" x14ac:dyDescent="0.45">
      <c r="K35" s="26"/>
      <c r="L35" s="26"/>
      <c r="M35" s="26"/>
      <c r="N35" s="26"/>
      <c r="O35" s="26"/>
      <c r="P35" s="26"/>
    </row>
    <row r="36" spans="11:16" s="37" customFormat="1" ht="15.75" customHeight="1" x14ac:dyDescent="0.45">
      <c r="K36" s="26"/>
      <c r="L36" s="26"/>
      <c r="M36" s="26"/>
      <c r="N36" s="26"/>
      <c r="O36" s="26"/>
      <c r="P36" s="26"/>
    </row>
    <row r="37" spans="11:16" s="37" customFormat="1" ht="15.75" customHeight="1" x14ac:dyDescent="0.45">
      <c r="K37" s="26"/>
      <c r="L37" s="26"/>
      <c r="M37" s="26"/>
      <c r="N37" s="26"/>
      <c r="O37" s="26"/>
      <c r="P37" s="26"/>
    </row>
    <row r="38" spans="11:16" s="37" customFormat="1" ht="15.75" customHeight="1" x14ac:dyDescent="0.45">
      <c r="K38" s="26"/>
      <c r="L38" s="26"/>
      <c r="M38" s="26"/>
      <c r="N38" s="26"/>
      <c r="O38" s="26"/>
      <c r="P38" s="26"/>
    </row>
    <row r="39" spans="11:16" s="37" customFormat="1" ht="15.75" customHeight="1" x14ac:dyDescent="0.45">
      <c r="K39" s="26"/>
      <c r="L39" s="26"/>
      <c r="M39" s="26"/>
      <c r="N39" s="26"/>
      <c r="O39" s="26"/>
      <c r="P39" s="26"/>
    </row>
    <row r="40" spans="11:16" s="37" customFormat="1" ht="15.75" customHeight="1" x14ac:dyDescent="0.45">
      <c r="K40" s="26"/>
      <c r="L40" s="26"/>
      <c r="M40" s="26"/>
      <c r="N40" s="26"/>
      <c r="O40" s="26"/>
      <c r="P40" s="26"/>
    </row>
    <row r="41" spans="11:16" s="37" customFormat="1" ht="15.75" customHeight="1" x14ac:dyDescent="0.45">
      <c r="K41" s="26"/>
      <c r="L41" s="26"/>
      <c r="M41" s="26"/>
      <c r="N41" s="26"/>
      <c r="O41" s="26"/>
      <c r="P41" s="26"/>
    </row>
    <row r="42" spans="11:16" s="37" customFormat="1" ht="15.75" customHeight="1" x14ac:dyDescent="0.45">
      <c r="K42" s="26"/>
      <c r="L42" s="26"/>
      <c r="M42" s="26"/>
      <c r="N42" s="26"/>
      <c r="O42" s="26"/>
      <c r="P42" s="26"/>
    </row>
    <row r="43" spans="11:16" s="37" customFormat="1" ht="15.75" customHeight="1" x14ac:dyDescent="0.45">
      <c r="K43" s="26"/>
      <c r="L43" s="26"/>
      <c r="M43" s="26"/>
      <c r="N43" s="26"/>
      <c r="O43" s="26"/>
      <c r="P43" s="26"/>
    </row>
    <row r="44" spans="11:16" s="37" customFormat="1" ht="15.75" customHeight="1" x14ac:dyDescent="0.45">
      <c r="K44" s="26"/>
      <c r="L44" s="26"/>
      <c r="M44" s="26"/>
      <c r="N44" s="26"/>
      <c r="O44" s="26"/>
      <c r="P44" s="26"/>
    </row>
    <row r="45" spans="11:16" s="37" customFormat="1" ht="15.75" customHeight="1" x14ac:dyDescent="0.45">
      <c r="K45" s="26"/>
      <c r="L45" s="26"/>
      <c r="M45" s="26"/>
      <c r="N45" s="26"/>
      <c r="O45" s="26"/>
      <c r="P45" s="26"/>
    </row>
    <row r="46" spans="11:16" s="37" customFormat="1" ht="15.75" customHeight="1" x14ac:dyDescent="0.45">
      <c r="K46" s="26"/>
      <c r="L46" s="26"/>
      <c r="M46" s="26"/>
      <c r="N46" s="26"/>
      <c r="O46" s="26"/>
      <c r="P46" s="26"/>
    </row>
    <row r="47" spans="11:16" s="37" customFormat="1" ht="15.75" customHeight="1" x14ac:dyDescent="0.45">
      <c r="K47" s="26"/>
      <c r="L47" s="26"/>
      <c r="M47" s="26"/>
      <c r="N47" s="26"/>
      <c r="O47" s="26"/>
      <c r="P47" s="26"/>
    </row>
    <row r="48" spans="11:16" s="37" customFormat="1" ht="15.75" customHeight="1" x14ac:dyDescent="0.45">
      <c r="K48" s="26"/>
      <c r="L48" s="26"/>
      <c r="M48" s="26"/>
      <c r="N48" s="26"/>
      <c r="O48" s="26"/>
      <c r="P48" s="26"/>
    </row>
    <row r="49" spans="11:16" s="37" customFormat="1" ht="15.75" customHeight="1" x14ac:dyDescent="0.45">
      <c r="K49" s="26"/>
      <c r="L49" s="26"/>
      <c r="M49" s="26"/>
      <c r="N49" s="26"/>
      <c r="O49" s="26"/>
      <c r="P49" s="26"/>
    </row>
    <row r="50" spans="11:16" s="37" customFormat="1" ht="15.75" customHeight="1" x14ac:dyDescent="0.45">
      <c r="K50" s="26"/>
      <c r="L50" s="26"/>
      <c r="M50" s="26"/>
      <c r="N50" s="26"/>
      <c r="O50" s="26"/>
      <c r="P50" s="26"/>
    </row>
    <row r="51" spans="11:16" s="37" customFormat="1" ht="15.75" customHeight="1" x14ac:dyDescent="0.45">
      <c r="K51" s="26"/>
      <c r="L51" s="26"/>
      <c r="M51" s="26"/>
      <c r="N51" s="26"/>
      <c r="O51" s="26"/>
      <c r="P51" s="26"/>
    </row>
    <row r="52" spans="11:16" s="37" customFormat="1" ht="15.75" customHeight="1" x14ac:dyDescent="0.45">
      <c r="K52" s="26"/>
      <c r="L52" s="26"/>
      <c r="M52" s="26"/>
      <c r="N52" s="26"/>
      <c r="O52" s="26"/>
      <c r="P52" s="26"/>
    </row>
    <row r="53" spans="11:16" s="37" customFormat="1" ht="15.75" customHeight="1" x14ac:dyDescent="0.45">
      <c r="K53" s="26"/>
      <c r="L53" s="26"/>
      <c r="M53" s="26"/>
      <c r="N53" s="26"/>
      <c r="O53" s="26"/>
      <c r="P53" s="26"/>
    </row>
  </sheetData>
  <dataValidations count="3">
    <dataValidation type="list" allowBlank="1" showErrorMessage="1" sqref="C10" xr:uid="{30D24677-CAD3-41C6-9C16-651A13A0690A}">
      <formula1>"MASS,ELECTRICITY,EMISSIONS,ENERGY"</formula1>
    </dataValidation>
    <dataValidation type="list" allowBlank="1" showErrorMessage="1" sqref="C5" xr:uid="{3791EFC4-725F-435D-9C90-1ADA5ACD1047}">
      <formula1>"ELECTRICITY,EMISSIONS,MASS"</formula1>
    </dataValidation>
    <dataValidation type="list" errorStyle="information" allowBlank="1" showInputMessage="1" showErrorMessage="1" sqref="D5 F5 H5 D10 F10 H10" xr:uid="{A08DCDA7-574E-4688-A389-75E370700EC8}">
      <formula1>"-,kg,s,m,K,°C,W,bar,kg/h,t/h,kW,kW/m2K,W/m2K,kJ/kgK,kJ/kg,m3/h,%,eur,eur/y,kWel/kWth,year"</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724B9-25AE-415F-82C7-1D77BC49DDE2}">
  <sheetPr codeName="Sheet4"/>
  <dimension ref="A1:R48"/>
  <sheetViews>
    <sheetView showGridLines="0" topLeftCell="B1" zoomScale="55" zoomScaleNormal="55" workbookViewId="0">
      <selection activeCell="A16" sqref="A16:L47"/>
    </sheetView>
  </sheetViews>
  <sheetFormatPr baseColWidth="10" defaultColWidth="14.46484375" defaultRowHeight="15" customHeight="1" x14ac:dyDescent="0.45"/>
  <cols>
    <col min="1" max="1" width="191.796875" style="37" customWidth="1"/>
    <col min="2" max="2" width="13.6640625" style="37" customWidth="1"/>
    <col min="3" max="3" width="36.46484375" style="37" bestFit="1" customWidth="1"/>
    <col min="4" max="4" width="14" style="37" customWidth="1"/>
    <col min="5" max="5" width="17.6640625" style="37" bestFit="1" customWidth="1"/>
    <col min="6" max="6" width="13.1328125" style="37" bestFit="1" customWidth="1"/>
    <col min="7" max="7" width="97.46484375" style="37" bestFit="1" customWidth="1"/>
    <col min="8" max="8" width="10.33203125" style="37" bestFit="1" customWidth="1"/>
    <col min="9" max="9" width="13.46484375" style="37" bestFit="1" customWidth="1"/>
    <col min="10" max="10" width="24.33203125" style="37" bestFit="1" customWidth="1"/>
    <col min="11" max="11" width="20.1328125" style="37" bestFit="1" customWidth="1"/>
    <col min="12" max="12" width="96" style="37" bestFit="1" customWidth="1"/>
    <col min="13" max="13" width="29.796875" style="37" customWidth="1"/>
    <col min="14" max="39" width="10.6640625" style="37" customWidth="1"/>
    <col min="40" max="16384" width="14.46484375" style="37"/>
  </cols>
  <sheetData>
    <row r="1" spans="1:12" s="26" customFormat="1" ht="14.25" x14ac:dyDescent="0.45">
      <c r="A1" s="24" t="s">
        <v>29</v>
      </c>
      <c r="B1" s="25"/>
      <c r="C1" s="25"/>
      <c r="D1" s="25"/>
      <c r="E1" s="25"/>
      <c r="F1" s="25"/>
      <c r="G1" s="25"/>
      <c r="H1" s="25"/>
      <c r="I1" s="25"/>
      <c r="J1" s="25"/>
      <c r="K1" s="25"/>
      <c r="L1" s="25"/>
    </row>
    <row r="2" spans="1:12" ht="14.25" x14ac:dyDescent="0.45">
      <c r="A2" s="27" t="s">
        <v>30</v>
      </c>
      <c r="B2" s="25"/>
      <c r="C2" s="25"/>
      <c r="D2" s="25"/>
      <c r="E2" s="25"/>
      <c r="F2" s="25"/>
      <c r="G2" s="25"/>
      <c r="H2" s="25"/>
      <c r="I2" s="25"/>
      <c r="J2" s="25"/>
      <c r="K2" s="25"/>
      <c r="L2" s="25"/>
    </row>
    <row r="3" spans="1:12" ht="14.25" x14ac:dyDescent="0.45">
      <c r="A3" s="52" t="s">
        <v>31</v>
      </c>
      <c r="B3" s="53"/>
      <c r="C3" s="53"/>
      <c r="D3" s="53"/>
      <c r="E3" s="53"/>
      <c r="F3" s="53"/>
      <c r="G3" s="53"/>
      <c r="H3" s="53"/>
      <c r="I3" s="53"/>
      <c r="J3" s="53"/>
      <c r="K3" s="25"/>
      <c r="L3" s="25"/>
    </row>
    <row r="4" spans="1:12" ht="14.25" x14ac:dyDescent="0.45">
      <c r="A4" s="52" t="s">
        <v>32</v>
      </c>
      <c r="B4" s="53"/>
      <c r="C4" s="53"/>
      <c r="D4" s="53"/>
      <c r="E4" s="53"/>
      <c r="F4" s="53"/>
      <c r="G4" s="53"/>
      <c r="H4" s="53"/>
      <c r="I4" s="53"/>
      <c r="J4" s="53"/>
      <c r="K4" s="25"/>
      <c r="L4" s="25"/>
    </row>
    <row r="5" spans="1:12" ht="14.25" x14ac:dyDescent="0.45">
      <c r="A5" s="52" t="s">
        <v>33</v>
      </c>
      <c r="B5" s="53"/>
      <c r="C5" s="53"/>
      <c r="D5" s="53"/>
      <c r="E5" s="53"/>
      <c r="F5" s="53"/>
      <c r="G5" s="53"/>
      <c r="H5" s="53"/>
      <c r="I5" s="53"/>
      <c r="J5" s="53"/>
      <c r="K5" s="25"/>
      <c r="L5" s="25"/>
    </row>
    <row r="6" spans="1:12" ht="14.25" x14ac:dyDescent="0.45">
      <c r="A6" s="53" t="s">
        <v>148</v>
      </c>
      <c r="B6" s="53"/>
      <c r="C6" s="53"/>
      <c r="D6" s="53"/>
      <c r="E6" s="53"/>
      <c r="F6" s="53"/>
      <c r="G6" s="53"/>
      <c r="H6" s="53"/>
      <c r="I6" s="53"/>
      <c r="J6" s="53"/>
      <c r="K6" s="25"/>
      <c r="L6" s="25"/>
    </row>
    <row r="7" spans="1:12" ht="14.25" x14ac:dyDescent="0.45">
      <c r="A7" s="54" t="s">
        <v>34</v>
      </c>
      <c r="B7" s="53"/>
      <c r="C7" s="53"/>
      <c r="D7" s="53"/>
      <c r="E7" s="53"/>
      <c r="F7" s="53"/>
      <c r="G7" s="53"/>
      <c r="H7" s="53"/>
      <c r="I7" s="53"/>
      <c r="J7" s="53"/>
      <c r="K7" s="25"/>
      <c r="L7" s="25"/>
    </row>
    <row r="8" spans="1:12" ht="14.25" x14ac:dyDescent="0.45">
      <c r="A8" s="53" t="s">
        <v>35</v>
      </c>
      <c r="B8" s="53"/>
      <c r="C8" s="53"/>
      <c r="D8" s="53"/>
      <c r="E8" s="53"/>
      <c r="F8" s="53"/>
      <c r="G8" s="53"/>
      <c r="H8" s="53"/>
      <c r="I8" s="53"/>
      <c r="J8" s="53"/>
      <c r="K8" s="25"/>
      <c r="L8" s="25"/>
    </row>
    <row r="9" spans="1:12" ht="14.25" x14ac:dyDescent="0.45">
      <c r="A9" s="55" t="s">
        <v>36</v>
      </c>
      <c r="B9" s="56"/>
      <c r="C9" s="56"/>
      <c r="D9" s="56"/>
      <c r="E9" s="56"/>
      <c r="F9" s="56"/>
      <c r="G9" s="56"/>
      <c r="H9" s="56"/>
      <c r="I9" s="56"/>
      <c r="J9" s="56"/>
      <c r="K9" s="28"/>
      <c r="L9" s="28"/>
    </row>
    <row r="10" spans="1:12" ht="14.25" x14ac:dyDescent="0.45">
      <c r="A10" s="57" t="s">
        <v>37</v>
      </c>
      <c r="B10" s="56"/>
      <c r="C10" s="56"/>
      <c r="D10" s="56"/>
      <c r="E10" s="56"/>
      <c r="F10" s="56"/>
      <c r="G10" s="56"/>
      <c r="H10" s="56"/>
      <c r="I10" s="56"/>
      <c r="J10" s="56"/>
      <c r="K10" s="28"/>
      <c r="L10" s="28"/>
    </row>
    <row r="11" spans="1:12" ht="14.25" x14ac:dyDescent="0.45">
      <c r="A11" s="53"/>
      <c r="B11" s="56"/>
      <c r="C11" s="56"/>
      <c r="D11" s="56"/>
      <c r="E11" s="56"/>
      <c r="F11" s="56"/>
      <c r="G11" s="56"/>
      <c r="H11" s="56"/>
      <c r="I11" s="56"/>
      <c r="J11" s="56"/>
      <c r="K11" s="28"/>
      <c r="L11" s="28"/>
    </row>
    <row r="12" spans="1:12" ht="17.25" customHeight="1" thickBot="1" x14ac:dyDescent="0.5">
      <c r="A12" s="58"/>
      <c r="B12" s="59"/>
      <c r="C12" s="59"/>
      <c r="D12" s="59"/>
      <c r="E12" s="59"/>
      <c r="F12" s="59"/>
      <c r="G12" s="59"/>
      <c r="H12" s="59"/>
      <c r="I12" s="59"/>
      <c r="J12" s="59"/>
      <c r="K12" s="59"/>
      <c r="L12" s="59"/>
    </row>
    <row r="13" spans="1:12" ht="14.65" thickBot="1" x14ac:dyDescent="0.5">
      <c r="A13" s="60"/>
      <c r="B13" s="61"/>
      <c r="C13" s="61"/>
      <c r="D13" s="61"/>
      <c r="E13" s="61"/>
      <c r="F13" s="61"/>
      <c r="G13" s="61"/>
      <c r="H13" s="61"/>
      <c r="I13" s="61"/>
      <c r="J13" s="61"/>
      <c r="K13" s="61"/>
      <c r="L13" s="61"/>
    </row>
    <row r="14" spans="1:12" ht="14.65" thickBot="1" x14ac:dyDescent="0.5">
      <c r="A14" s="62" t="s">
        <v>3</v>
      </c>
      <c r="B14" s="63"/>
      <c r="C14" s="63"/>
      <c r="D14" s="63"/>
      <c r="E14" s="63"/>
      <c r="F14" s="63"/>
      <c r="G14" s="63"/>
      <c r="H14" s="63"/>
      <c r="I14" s="63"/>
      <c r="J14" s="63"/>
      <c r="K14" s="63"/>
      <c r="L14" s="64"/>
    </row>
    <row r="15" spans="1:12" ht="14.65" thickBot="1" x14ac:dyDescent="0.5">
      <c r="A15" s="65" t="s">
        <v>103</v>
      </c>
      <c r="B15" s="66" t="s">
        <v>18</v>
      </c>
      <c r="C15" s="66" t="s">
        <v>65</v>
      </c>
      <c r="D15" s="66" t="s">
        <v>34</v>
      </c>
      <c r="E15" s="66" t="s">
        <v>155</v>
      </c>
      <c r="F15" s="66" t="s">
        <v>19</v>
      </c>
      <c r="G15" s="66" t="s">
        <v>154</v>
      </c>
      <c r="H15" s="67" t="s">
        <v>66</v>
      </c>
      <c r="I15" s="66" t="s">
        <v>67</v>
      </c>
      <c r="J15" s="66" t="s">
        <v>68</v>
      </c>
      <c r="K15" s="71" t="s">
        <v>108</v>
      </c>
      <c r="L15" s="68" t="s">
        <v>15</v>
      </c>
    </row>
    <row r="16" spans="1:12" ht="14.25" x14ac:dyDescent="0.45">
      <c r="A16" s="106" t="s">
        <v>160</v>
      </c>
      <c r="B16" s="88" t="s">
        <v>161</v>
      </c>
      <c r="C16" s="88" t="s">
        <v>162</v>
      </c>
      <c r="D16" s="88" t="s">
        <v>38</v>
      </c>
      <c r="E16" s="107">
        <v>115.7</v>
      </c>
      <c r="F16" s="88" t="s">
        <v>293</v>
      </c>
      <c r="G16" s="88" t="s">
        <v>27</v>
      </c>
      <c r="H16" s="245">
        <v>40</v>
      </c>
      <c r="I16" s="250">
        <v>300</v>
      </c>
      <c r="J16" s="108" t="s">
        <v>163</v>
      </c>
      <c r="K16" s="250" t="s">
        <v>308</v>
      </c>
      <c r="L16" s="254" t="s">
        <v>162</v>
      </c>
    </row>
    <row r="17" spans="1:12" ht="14.25" x14ac:dyDescent="0.45">
      <c r="A17" s="99" t="s">
        <v>164</v>
      </c>
      <c r="B17" s="100" t="s">
        <v>161</v>
      </c>
      <c r="C17" s="100" t="s">
        <v>165</v>
      </c>
      <c r="D17" s="100" t="s">
        <v>38</v>
      </c>
      <c r="E17" s="101">
        <v>241.4</v>
      </c>
      <c r="F17" s="100" t="s">
        <v>293</v>
      </c>
      <c r="G17" s="100" t="s">
        <v>27</v>
      </c>
      <c r="H17" s="246">
        <v>100</v>
      </c>
      <c r="I17" s="251">
        <v>318</v>
      </c>
      <c r="J17" s="102" t="s">
        <v>166</v>
      </c>
      <c r="K17" s="251" t="s">
        <v>308</v>
      </c>
      <c r="L17" s="255" t="s">
        <v>165</v>
      </c>
    </row>
    <row r="18" spans="1:12" ht="14.25" x14ac:dyDescent="0.45">
      <c r="A18" s="99" t="s">
        <v>167</v>
      </c>
      <c r="B18" s="100" t="s">
        <v>161</v>
      </c>
      <c r="C18" s="100" t="s">
        <v>168</v>
      </c>
      <c r="D18" s="100" t="s">
        <v>38</v>
      </c>
      <c r="E18" s="101">
        <v>81.13</v>
      </c>
      <c r="F18" s="100" t="s">
        <v>26</v>
      </c>
      <c r="G18" s="100" t="s">
        <v>27</v>
      </c>
      <c r="H18" s="246">
        <v>0.1</v>
      </c>
      <c r="I18" s="251">
        <v>100000</v>
      </c>
      <c r="J18" s="102" t="s">
        <v>169</v>
      </c>
      <c r="K18" s="251" t="s">
        <v>308</v>
      </c>
      <c r="L18" s="255" t="s">
        <v>168</v>
      </c>
    </row>
    <row r="19" spans="1:12" ht="14.25" x14ac:dyDescent="0.45">
      <c r="A19" s="99" t="s">
        <v>170</v>
      </c>
      <c r="B19" s="100" t="s">
        <v>161</v>
      </c>
      <c r="C19" s="100" t="s">
        <v>171</v>
      </c>
      <c r="D19" s="100" t="s">
        <v>38</v>
      </c>
      <c r="E19" s="101">
        <v>69.2</v>
      </c>
      <c r="F19" s="100" t="s">
        <v>26</v>
      </c>
      <c r="G19" s="100" t="s">
        <v>27</v>
      </c>
      <c r="H19" s="246">
        <v>0.1</v>
      </c>
      <c r="I19" s="251">
        <v>100000</v>
      </c>
      <c r="J19" s="102" t="s">
        <v>172</v>
      </c>
      <c r="K19" s="251" t="s">
        <v>308</v>
      </c>
      <c r="L19" s="255" t="s">
        <v>171</v>
      </c>
    </row>
    <row r="20" spans="1:12" ht="14.25" x14ac:dyDescent="0.45">
      <c r="A20" s="197" t="s">
        <v>252</v>
      </c>
      <c r="B20" s="100" t="s">
        <v>161</v>
      </c>
      <c r="C20" s="100" t="s">
        <v>253</v>
      </c>
      <c r="D20" s="100" t="s">
        <v>38</v>
      </c>
      <c r="E20" s="101">
        <v>241.2</v>
      </c>
      <c r="F20" s="100" t="s">
        <v>293</v>
      </c>
      <c r="G20" s="100" t="s">
        <v>27</v>
      </c>
      <c r="H20" s="246">
        <v>110.6</v>
      </c>
      <c r="I20" s="251">
        <v>318.60000000000002</v>
      </c>
      <c r="J20" s="102" t="s">
        <v>254</v>
      </c>
      <c r="K20" s="251" t="s">
        <v>308</v>
      </c>
      <c r="L20" s="255" t="s">
        <v>253</v>
      </c>
    </row>
    <row r="21" spans="1:12" ht="14.25" x14ac:dyDescent="0.45">
      <c r="A21" s="99" t="s">
        <v>173</v>
      </c>
      <c r="B21" s="100" t="s">
        <v>161</v>
      </c>
      <c r="C21" s="100" t="s">
        <v>174</v>
      </c>
      <c r="D21" s="100" t="s">
        <v>38</v>
      </c>
      <c r="E21" s="101">
        <v>22.11</v>
      </c>
      <c r="F21" s="100" t="s">
        <v>26</v>
      </c>
      <c r="G21" s="100" t="s">
        <v>27</v>
      </c>
      <c r="H21" s="246">
        <v>0</v>
      </c>
      <c r="I21" s="251">
        <v>25000</v>
      </c>
      <c r="J21" s="102" t="s">
        <v>175</v>
      </c>
      <c r="K21" s="251" t="s">
        <v>308</v>
      </c>
      <c r="L21" s="255" t="s">
        <v>174</v>
      </c>
    </row>
    <row r="22" spans="1:12" ht="14.25" x14ac:dyDescent="0.45">
      <c r="A22" s="99" t="s">
        <v>176</v>
      </c>
      <c r="B22" s="100" t="s">
        <v>161</v>
      </c>
      <c r="C22" s="100" t="s">
        <v>177</v>
      </c>
      <c r="D22" s="100" t="s">
        <v>38</v>
      </c>
      <c r="E22" s="101">
        <v>178.3</v>
      </c>
      <c r="F22" s="100" t="s">
        <v>293</v>
      </c>
      <c r="G22" s="100" t="s">
        <v>27</v>
      </c>
      <c r="H22" s="246">
        <v>50</v>
      </c>
      <c r="I22" s="251">
        <v>300</v>
      </c>
      <c r="J22" s="102" t="s">
        <v>178</v>
      </c>
      <c r="K22" s="251" t="s">
        <v>308</v>
      </c>
      <c r="L22" s="255" t="s">
        <v>177</v>
      </c>
    </row>
    <row r="23" spans="1:12" ht="14.25" x14ac:dyDescent="0.45">
      <c r="A23" s="99" t="s">
        <v>179</v>
      </c>
      <c r="B23" s="100" t="s">
        <v>161</v>
      </c>
      <c r="C23" s="100" t="s">
        <v>180</v>
      </c>
      <c r="D23" s="100" t="s">
        <v>38</v>
      </c>
      <c r="E23" s="101">
        <v>115</v>
      </c>
      <c r="F23" s="100" t="s">
        <v>293</v>
      </c>
      <c r="G23" s="100" t="s">
        <v>27</v>
      </c>
      <c r="H23" s="246">
        <v>40</v>
      </c>
      <c r="I23" s="251">
        <v>250</v>
      </c>
      <c r="J23" s="102" t="s">
        <v>181</v>
      </c>
      <c r="K23" s="251" t="s">
        <v>308</v>
      </c>
      <c r="L23" s="255" t="s">
        <v>180</v>
      </c>
    </row>
    <row r="24" spans="1:12" ht="14.25" x14ac:dyDescent="0.45">
      <c r="A24" s="99" t="s">
        <v>182</v>
      </c>
      <c r="B24" s="100" t="s">
        <v>161</v>
      </c>
      <c r="C24" s="100" t="s">
        <v>183</v>
      </c>
      <c r="D24" s="100" t="s">
        <v>38</v>
      </c>
      <c r="E24" s="101">
        <v>12.62</v>
      </c>
      <c r="F24" s="100" t="s">
        <v>26</v>
      </c>
      <c r="G24" s="100" t="s">
        <v>27</v>
      </c>
      <c r="H24" s="246">
        <v>0</v>
      </c>
      <c r="I24" s="251">
        <v>50000</v>
      </c>
      <c r="J24" s="102" t="s">
        <v>184</v>
      </c>
      <c r="K24" s="251" t="s">
        <v>308</v>
      </c>
      <c r="L24" s="255" t="s">
        <v>183</v>
      </c>
    </row>
    <row r="25" spans="1:12" ht="14.25" x14ac:dyDescent="0.45">
      <c r="A25" s="197" t="s">
        <v>279</v>
      </c>
      <c r="B25" s="100" t="s">
        <v>280</v>
      </c>
      <c r="C25" s="100" t="s">
        <v>281</v>
      </c>
      <c r="D25" s="100" t="s">
        <v>38</v>
      </c>
      <c r="E25" s="101">
        <v>2.2000000000000002</v>
      </c>
      <c r="F25" s="100" t="s">
        <v>282</v>
      </c>
      <c r="G25" s="100" t="s">
        <v>27</v>
      </c>
      <c r="H25" s="246">
        <v>1.4</v>
      </c>
      <c r="I25" s="251">
        <v>2.8</v>
      </c>
      <c r="J25" s="102" t="s">
        <v>283</v>
      </c>
      <c r="K25" s="251" t="s">
        <v>308</v>
      </c>
      <c r="L25" s="255" t="s">
        <v>281</v>
      </c>
    </row>
    <row r="26" spans="1:12" ht="14.25" x14ac:dyDescent="0.45">
      <c r="A26" s="99" t="s">
        <v>185</v>
      </c>
      <c r="B26" s="100" t="s">
        <v>161</v>
      </c>
      <c r="C26" s="100" t="s">
        <v>186</v>
      </c>
      <c r="D26" s="100" t="s">
        <v>38</v>
      </c>
      <c r="E26" s="101">
        <v>45.36</v>
      </c>
      <c r="F26" s="100" t="s">
        <v>26</v>
      </c>
      <c r="G26" s="100" t="s">
        <v>27</v>
      </c>
      <c r="H26" s="246">
        <v>0.1</v>
      </c>
      <c r="I26" s="251">
        <v>50000</v>
      </c>
      <c r="J26" s="102" t="s">
        <v>187</v>
      </c>
      <c r="K26" s="251" t="s">
        <v>308</v>
      </c>
      <c r="L26" s="255" t="s">
        <v>186</v>
      </c>
    </row>
    <row r="27" spans="1:12" ht="14.25" x14ac:dyDescent="0.45">
      <c r="A27" s="197" t="s">
        <v>255</v>
      </c>
      <c r="B27" s="100" t="s">
        <v>161</v>
      </c>
      <c r="C27" s="100" t="s">
        <v>256</v>
      </c>
      <c r="D27" s="100" t="s">
        <v>38</v>
      </c>
      <c r="E27" s="101">
        <v>115</v>
      </c>
      <c r="F27" s="100" t="s">
        <v>293</v>
      </c>
      <c r="G27" s="100" t="s">
        <v>27</v>
      </c>
      <c r="H27" s="246">
        <v>40</v>
      </c>
      <c r="I27" s="251">
        <v>150</v>
      </c>
      <c r="J27" s="102" t="s">
        <v>257</v>
      </c>
      <c r="K27" s="251" t="s">
        <v>308</v>
      </c>
      <c r="L27" s="255" t="s">
        <v>256</v>
      </c>
    </row>
    <row r="28" spans="1:12" ht="14.25" x14ac:dyDescent="0.45">
      <c r="A28" s="99" t="s">
        <v>188</v>
      </c>
      <c r="B28" s="100" t="s">
        <v>161</v>
      </c>
      <c r="C28" s="100" t="s">
        <v>189</v>
      </c>
      <c r="D28" s="100" t="s">
        <v>38</v>
      </c>
      <c r="E28" s="101">
        <v>12.57</v>
      </c>
      <c r="F28" s="100" t="s">
        <v>26</v>
      </c>
      <c r="G28" s="100" t="s">
        <v>27</v>
      </c>
      <c r="H28" s="246">
        <v>0</v>
      </c>
      <c r="I28" s="251">
        <v>25000</v>
      </c>
      <c r="J28" s="102" t="s">
        <v>190</v>
      </c>
      <c r="K28" s="251" t="s">
        <v>308</v>
      </c>
      <c r="L28" s="255" t="s">
        <v>189</v>
      </c>
    </row>
    <row r="29" spans="1:12" ht="14.25" x14ac:dyDescent="0.45">
      <c r="A29" s="99" t="s">
        <v>191</v>
      </c>
      <c r="B29" s="100" t="s">
        <v>161</v>
      </c>
      <c r="C29" s="100" t="s">
        <v>192</v>
      </c>
      <c r="D29" s="100" t="s">
        <v>38</v>
      </c>
      <c r="E29" s="101">
        <v>125.3</v>
      </c>
      <c r="F29" s="100" t="s">
        <v>293</v>
      </c>
      <c r="G29" s="100" t="s">
        <v>27</v>
      </c>
      <c r="H29" s="246">
        <v>40</v>
      </c>
      <c r="I29" s="251">
        <v>200</v>
      </c>
      <c r="J29" s="102" t="s">
        <v>193</v>
      </c>
      <c r="K29" s="251" t="s">
        <v>308</v>
      </c>
      <c r="L29" s="255" t="s">
        <v>192</v>
      </c>
    </row>
    <row r="30" spans="1:12" ht="14.25" x14ac:dyDescent="0.45">
      <c r="A30" s="99" t="s">
        <v>194</v>
      </c>
      <c r="B30" s="100" t="s">
        <v>161</v>
      </c>
      <c r="C30" s="100" t="s">
        <v>195</v>
      </c>
      <c r="D30" s="100" t="s">
        <v>38</v>
      </c>
      <c r="E30" s="101">
        <v>34.18</v>
      </c>
      <c r="F30" s="100" t="s">
        <v>293</v>
      </c>
      <c r="G30" s="100" t="s">
        <v>27</v>
      </c>
      <c r="H30" s="246">
        <v>15</v>
      </c>
      <c r="I30" s="251">
        <v>100</v>
      </c>
      <c r="J30" s="102" t="s">
        <v>196</v>
      </c>
      <c r="K30" s="251" t="s">
        <v>308</v>
      </c>
      <c r="L30" s="255" t="s">
        <v>195</v>
      </c>
    </row>
    <row r="31" spans="1:12" ht="14.25" x14ac:dyDescent="0.45">
      <c r="A31" s="99" t="s">
        <v>197</v>
      </c>
      <c r="B31" s="100" t="s">
        <v>161</v>
      </c>
      <c r="C31" s="100" t="s">
        <v>198</v>
      </c>
      <c r="D31" s="100" t="s">
        <v>38</v>
      </c>
      <c r="E31" s="101">
        <v>18.670000000000002</v>
      </c>
      <c r="F31" s="100" t="s">
        <v>26</v>
      </c>
      <c r="G31" s="100" t="s">
        <v>27</v>
      </c>
      <c r="H31" s="246">
        <v>0</v>
      </c>
      <c r="I31" s="251">
        <v>50000</v>
      </c>
      <c r="J31" s="102" t="s">
        <v>199</v>
      </c>
      <c r="K31" s="251" t="s">
        <v>308</v>
      </c>
      <c r="L31" s="255" t="s">
        <v>198</v>
      </c>
    </row>
    <row r="32" spans="1:12" ht="14.25" x14ac:dyDescent="0.45">
      <c r="A32" s="99" t="s">
        <v>200</v>
      </c>
      <c r="B32" s="100" t="s">
        <v>161</v>
      </c>
      <c r="C32" s="100" t="s">
        <v>201</v>
      </c>
      <c r="D32" s="100" t="s">
        <v>38</v>
      </c>
      <c r="E32" s="101">
        <v>62.15</v>
      </c>
      <c r="F32" s="100" t="s">
        <v>26</v>
      </c>
      <c r="G32" s="100" t="s">
        <v>27</v>
      </c>
      <c r="H32" s="246">
        <v>0.1</v>
      </c>
      <c r="I32" s="251">
        <v>100000</v>
      </c>
      <c r="J32" s="102" t="s">
        <v>202</v>
      </c>
      <c r="K32" s="251" t="s">
        <v>308</v>
      </c>
      <c r="L32" s="255" t="s">
        <v>201</v>
      </c>
    </row>
    <row r="33" spans="1:18" ht="14.25" x14ac:dyDescent="0.45">
      <c r="A33" s="197" t="s">
        <v>258</v>
      </c>
      <c r="B33" s="100" t="s">
        <v>161</v>
      </c>
      <c r="C33" s="100" t="s">
        <v>256</v>
      </c>
      <c r="D33" s="100" t="s">
        <v>38</v>
      </c>
      <c r="E33" s="101">
        <v>34.18</v>
      </c>
      <c r="F33" s="100" t="s">
        <v>293</v>
      </c>
      <c r="G33" s="100" t="s">
        <v>27</v>
      </c>
      <c r="H33" s="246">
        <v>15</v>
      </c>
      <c r="I33" s="251">
        <v>90</v>
      </c>
      <c r="J33" s="102" t="s">
        <v>259</v>
      </c>
      <c r="K33" s="251" t="s">
        <v>308</v>
      </c>
      <c r="L33" s="255" t="s">
        <v>256</v>
      </c>
    </row>
    <row r="34" spans="1:18" ht="14.25" x14ac:dyDescent="0.45">
      <c r="A34" s="99" t="s">
        <v>203</v>
      </c>
      <c r="B34" s="100" t="s">
        <v>161</v>
      </c>
      <c r="C34" s="100" t="s">
        <v>204</v>
      </c>
      <c r="D34" s="100" t="s">
        <v>38</v>
      </c>
      <c r="E34" s="101">
        <v>0.61970000000000003</v>
      </c>
      <c r="F34" s="100" t="s">
        <v>26</v>
      </c>
      <c r="G34" s="100" t="s">
        <v>27</v>
      </c>
      <c r="H34" s="246">
        <v>0</v>
      </c>
      <c r="I34" s="251">
        <v>5000</v>
      </c>
      <c r="J34" s="102" t="s">
        <v>205</v>
      </c>
      <c r="K34" s="251" t="s">
        <v>308</v>
      </c>
      <c r="L34" s="255" t="s">
        <v>204</v>
      </c>
    </row>
    <row r="35" spans="1:18" ht="14.25" x14ac:dyDescent="0.45">
      <c r="A35" s="99" t="s">
        <v>206</v>
      </c>
      <c r="B35" s="100" t="s">
        <v>161</v>
      </c>
      <c r="C35" s="100" t="s">
        <v>207</v>
      </c>
      <c r="D35" s="100" t="s">
        <v>38</v>
      </c>
      <c r="E35" s="101">
        <v>2.5999999999999999E-2</v>
      </c>
      <c r="F35" s="100" t="s">
        <v>26</v>
      </c>
      <c r="G35" s="100" t="s">
        <v>27</v>
      </c>
      <c r="H35" s="246">
        <v>0</v>
      </c>
      <c r="I35" s="251">
        <v>1000</v>
      </c>
      <c r="J35" s="102" t="s">
        <v>208</v>
      </c>
      <c r="K35" s="251" t="s">
        <v>308</v>
      </c>
      <c r="L35" s="255" t="s">
        <v>207</v>
      </c>
    </row>
    <row r="36" spans="1:18" ht="14.25" x14ac:dyDescent="0.45">
      <c r="A36" s="99" t="s">
        <v>209</v>
      </c>
      <c r="B36" s="100" t="s">
        <v>161</v>
      </c>
      <c r="C36" s="100" t="s">
        <v>210</v>
      </c>
      <c r="D36" s="100" t="s">
        <v>38</v>
      </c>
      <c r="E36" s="101">
        <v>34.22</v>
      </c>
      <c r="F36" s="100" t="s">
        <v>293</v>
      </c>
      <c r="G36" s="100" t="s">
        <v>27</v>
      </c>
      <c r="H36" s="246">
        <v>15</v>
      </c>
      <c r="I36" s="251">
        <v>95</v>
      </c>
      <c r="J36" s="102" t="s">
        <v>211</v>
      </c>
      <c r="K36" s="251" t="s">
        <v>308</v>
      </c>
      <c r="L36" s="255" t="s">
        <v>210</v>
      </c>
    </row>
    <row r="37" spans="1:18" ht="14.25" x14ac:dyDescent="0.45">
      <c r="A37" s="99" t="s">
        <v>212</v>
      </c>
      <c r="B37" s="100" t="s">
        <v>161</v>
      </c>
      <c r="C37" s="100" t="s">
        <v>213</v>
      </c>
      <c r="D37" s="100" t="s">
        <v>38</v>
      </c>
      <c r="E37" s="101">
        <v>115</v>
      </c>
      <c r="F37" s="100" t="s">
        <v>293</v>
      </c>
      <c r="G37" s="100" t="s">
        <v>27</v>
      </c>
      <c r="H37" s="246">
        <v>40</v>
      </c>
      <c r="I37" s="251">
        <v>150</v>
      </c>
      <c r="J37" s="102" t="s">
        <v>214</v>
      </c>
      <c r="K37" s="251" t="s">
        <v>308</v>
      </c>
      <c r="L37" s="255" t="s">
        <v>213</v>
      </c>
    </row>
    <row r="38" spans="1:18" ht="14.25" x14ac:dyDescent="0.45">
      <c r="A38" s="99" t="s">
        <v>215</v>
      </c>
      <c r="B38" s="100" t="s">
        <v>161</v>
      </c>
      <c r="C38" s="100" t="s">
        <v>216</v>
      </c>
      <c r="D38" s="100" t="s">
        <v>38</v>
      </c>
      <c r="E38" s="101">
        <v>22.51</v>
      </c>
      <c r="F38" s="100" t="s">
        <v>26</v>
      </c>
      <c r="G38" s="100" t="s">
        <v>27</v>
      </c>
      <c r="H38" s="246">
        <v>0</v>
      </c>
      <c r="I38" s="251">
        <v>50000</v>
      </c>
      <c r="J38" s="102" t="s">
        <v>217</v>
      </c>
      <c r="K38" s="251" t="s">
        <v>308</v>
      </c>
      <c r="L38" s="255" t="s">
        <v>216</v>
      </c>
    </row>
    <row r="39" spans="1:18" ht="14.25" x14ac:dyDescent="0.45">
      <c r="A39" s="99" t="s">
        <v>218</v>
      </c>
      <c r="B39" s="100" t="s">
        <v>161</v>
      </c>
      <c r="C39" s="100" t="s">
        <v>219</v>
      </c>
      <c r="D39" s="100" t="s">
        <v>38</v>
      </c>
      <c r="E39" s="101">
        <v>2</v>
      </c>
      <c r="F39" s="100" t="s">
        <v>293</v>
      </c>
      <c r="G39" s="100" t="s">
        <v>27</v>
      </c>
      <c r="H39" s="246">
        <v>0.5</v>
      </c>
      <c r="I39" s="251">
        <v>25</v>
      </c>
      <c r="J39" s="102" t="s">
        <v>220</v>
      </c>
      <c r="K39" s="251" t="s">
        <v>308</v>
      </c>
      <c r="L39" s="255" t="s">
        <v>219</v>
      </c>
    </row>
    <row r="40" spans="1:18" ht="14.25" x14ac:dyDescent="0.45">
      <c r="A40" s="99" t="s">
        <v>221</v>
      </c>
      <c r="B40" s="100" t="s">
        <v>161</v>
      </c>
      <c r="C40" s="100" t="s">
        <v>222</v>
      </c>
      <c r="D40" s="100" t="s">
        <v>38</v>
      </c>
      <c r="E40" s="101">
        <v>40</v>
      </c>
      <c r="F40" s="100" t="s">
        <v>304</v>
      </c>
      <c r="G40" s="100" t="s">
        <v>27</v>
      </c>
      <c r="H40" s="246">
        <v>5</v>
      </c>
      <c r="I40" s="251">
        <v>60</v>
      </c>
      <c r="J40" s="102" t="s">
        <v>223</v>
      </c>
      <c r="K40" s="251" t="s">
        <v>308</v>
      </c>
      <c r="L40" s="255" t="s">
        <v>222</v>
      </c>
    </row>
    <row r="41" spans="1:18" ht="14.25" x14ac:dyDescent="0.45">
      <c r="A41" s="99" t="s">
        <v>224</v>
      </c>
      <c r="B41" s="100" t="s">
        <v>161</v>
      </c>
      <c r="C41" s="100" t="s">
        <v>225</v>
      </c>
      <c r="D41" s="100" t="s">
        <v>38</v>
      </c>
      <c r="E41" s="101">
        <v>0.06</v>
      </c>
      <c r="F41" s="100" t="s">
        <v>27</v>
      </c>
      <c r="G41" s="100" t="s">
        <v>27</v>
      </c>
      <c r="H41" s="246">
        <v>0</v>
      </c>
      <c r="I41" s="251">
        <v>1</v>
      </c>
      <c r="J41" s="102" t="s">
        <v>226</v>
      </c>
      <c r="K41" s="251" t="s">
        <v>308</v>
      </c>
      <c r="L41" s="255" t="s">
        <v>225</v>
      </c>
    </row>
    <row r="42" spans="1:18" ht="14.25" x14ac:dyDescent="0.45">
      <c r="A42" s="99" t="s">
        <v>227</v>
      </c>
      <c r="B42" s="100" t="s">
        <v>161</v>
      </c>
      <c r="C42" s="100" t="s">
        <v>273</v>
      </c>
      <c r="D42" s="100" t="s">
        <v>38</v>
      </c>
      <c r="E42" s="101">
        <v>596.20000000000005</v>
      </c>
      <c r="F42" s="100" t="s">
        <v>27</v>
      </c>
      <c r="G42" s="100" t="s">
        <v>27</v>
      </c>
      <c r="H42" s="246">
        <v>400</v>
      </c>
      <c r="I42" s="251">
        <v>1200</v>
      </c>
      <c r="J42" s="102" t="s">
        <v>228</v>
      </c>
      <c r="K42" s="251" t="s">
        <v>308</v>
      </c>
      <c r="L42" s="255" t="s">
        <v>273</v>
      </c>
    </row>
    <row r="43" spans="1:18" ht="14.25" x14ac:dyDescent="0.45">
      <c r="A43" s="99" t="s">
        <v>229</v>
      </c>
      <c r="B43" s="100" t="s">
        <v>161</v>
      </c>
      <c r="C43" s="100" t="s">
        <v>230</v>
      </c>
      <c r="D43" s="100" t="s">
        <v>38</v>
      </c>
      <c r="E43" s="101">
        <v>575.4</v>
      </c>
      <c r="F43" s="100" t="s">
        <v>27</v>
      </c>
      <c r="G43" s="100" t="s">
        <v>27</v>
      </c>
      <c r="H43" s="246">
        <v>400</v>
      </c>
      <c r="I43" s="251">
        <v>1200</v>
      </c>
      <c r="J43" s="102" t="s">
        <v>231</v>
      </c>
      <c r="K43" s="251" t="s">
        <v>308</v>
      </c>
      <c r="L43" s="255" t="s">
        <v>230</v>
      </c>
    </row>
    <row r="44" spans="1:18" ht="14.25" x14ac:dyDescent="0.45">
      <c r="A44" s="99" t="s">
        <v>232</v>
      </c>
      <c r="B44" s="100" t="s">
        <v>161</v>
      </c>
      <c r="C44" s="100" t="s">
        <v>233</v>
      </c>
      <c r="D44" s="100" t="s">
        <v>38</v>
      </c>
      <c r="E44" s="101">
        <f>TURB1+TURB2-Pump1-Pump2</f>
        <v>34.034299999999995</v>
      </c>
      <c r="F44" s="100" t="s">
        <v>26</v>
      </c>
      <c r="G44" s="100" t="s">
        <v>300</v>
      </c>
      <c r="H44" s="246">
        <v>0</v>
      </c>
      <c r="I44" s="251">
        <v>50000</v>
      </c>
      <c r="J44" s="102" t="s">
        <v>234</v>
      </c>
      <c r="K44" s="251" t="s">
        <v>308</v>
      </c>
      <c r="L44" s="255" t="s">
        <v>233</v>
      </c>
    </row>
    <row r="45" spans="1:18" ht="14.25" x14ac:dyDescent="0.45">
      <c r="A45" s="99" t="s">
        <v>235</v>
      </c>
      <c r="B45" s="100" t="s">
        <v>161</v>
      </c>
      <c r="C45" s="100" t="s">
        <v>236</v>
      </c>
      <c r="D45" s="100" t="s">
        <v>38</v>
      </c>
      <c r="E45" s="101">
        <f>(i*(i+1)^n)/((1+i)^n-1)</f>
        <v>6.6461535920675496E-2</v>
      </c>
      <c r="F45" s="100" t="s">
        <v>27</v>
      </c>
      <c r="G45" s="100" t="s">
        <v>301</v>
      </c>
      <c r="H45" s="246">
        <v>0.02</v>
      </c>
      <c r="I45" s="251">
        <v>0.5</v>
      </c>
      <c r="J45" s="102" t="s">
        <v>237</v>
      </c>
      <c r="K45" s="251" t="s">
        <v>308</v>
      </c>
      <c r="L45" s="255" t="s">
        <v>236</v>
      </c>
    </row>
    <row r="46" spans="1:18" ht="14.25" x14ac:dyDescent="0.45">
      <c r="A46" s="218" t="s">
        <v>274</v>
      </c>
      <c r="B46" s="215" t="s">
        <v>161</v>
      </c>
      <c r="C46" s="215" t="s">
        <v>275</v>
      </c>
      <c r="D46" s="215" t="s">
        <v>38</v>
      </c>
      <c r="E46" s="216">
        <f>W_bal*1000</f>
        <v>34034.299999999996</v>
      </c>
      <c r="F46" s="215" t="s">
        <v>305</v>
      </c>
      <c r="G46" s="215" t="s">
        <v>302</v>
      </c>
      <c r="H46" s="247">
        <v>1000</v>
      </c>
      <c r="I46" s="252">
        <v>1000000000</v>
      </c>
      <c r="J46" s="217" t="s">
        <v>299</v>
      </c>
      <c r="K46" s="252" t="s">
        <v>308</v>
      </c>
      <c r="L46" s="256" t="s">
        <v>275</v>
      </c>
    </row>
    <row r="47" spans="1:18" ht="14.65" thickBot="1" x14ac:dyDescent="0.5">
      <c r="A47" s="103" t="s">
        <v>238</v>
      </c>
      <c r="B47" s="87" t="s">
        <v>161</v>
      </c>
      <c r="C47" s="87" t="s">
        <v>298</v>
      </c>
      <c r="D47" s="87" t="s">
        <v>38</v>
      </c>
      <c r="E47" s="104">
        <f>1000*W_bal*(CEPCI_2020/CEPCI_2008)*Annuity</f>
        <v>2343.7393433324373</v>
      </c>
      <c r="F47" s="87" t="s">
        <v>306</v>
      </c>
      <c r="G47" s="87" t="s">
        <v>303</v>
      </c>
      <c r="H47" s="248">
        <v>100</v>
      </c>
      <c r="I47" s="253">
        <v>100000000</v>
      </c>
      <c r="J47" s="105" t="s">
        <v>239</v>
      </c>
      <c r="K47" s="253" t="s">
        <v>308</v>
      </c>
      <c r="L47" s="262" t="s">
        <v>298</v>
      </c>
      <c r="R47" s="249"/>
    </row>
    <row r="48" spans="1:18" ht="15" customHeight="1" x14ac:dyDescent="0.45">
      <c r="R48" s="249"/>
    </row>
  </sheetData>
  <dataValidations count="3">
    <dataValidation type="list" allowBlank="1" showErrorMessage="1" sqref="D16:D47" xr:uid="{B7BAE726-72BF-4177-A71E-687F2FF694F9}">
      <formula1>"MANDATORY,OPTIONAL,PRIVATE"</formula1>
    </dataValidation>
    <dataValidation type="list" allowBlank="1" showErrorMessage="1" sqref="B16:B47" xr:uid="{8CC3BA24-7164-4CCE-B6B4-97D9EE1DC875}">
      <formula1>"CONTEXT,LITERATURE,MEASURED,DECISION"</formula1>
    </dataValidation>
    <dataValidation type="list" errorStyle="information" allowBlank="1" showInputMessage="1" showErrorMessage="1" sqref="F16:F47" xr:uid="{C9D40D19-A3ED-4A7B-B04F-CCBDB92030D5}">
      <formula1>"-,kg,s,m,K,°C,W,bar,kg/h,t/h,kW,kW/m2K,W/m2K,kJ/kgK,kJ/kg,m3/h,%,eur,eur/y,kWel/kWth,year"</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A8052-453F-4DBF-A616-F31EE1119040}">
  <sheetPr codeName="Sheet5"/>
  <dimension ref="A1:U45"/>
  <sheetViews>
    <sheetView showGridLines="0" tabSelected="1" zoomScale="70" zoomScaleNormal="70" workbookViewId="0">
      <selection activeCell="B12" sqref="B12"/>
    </sheetView>
  </sheetViews>
  <sheetFormatPr baseColWidth="10" defaultColWidth="14.46484375" defaultRowHeight="15" customHeight="1" x14ac:dyDescent="0.45"/>
  <cols>
    <col min="1" max="1" width="59.1328125" style="115" customWidth="1"/>
    <col min="2" max="2" width="43.796875" style="115" customWidth="1"/>
    <col min="3" max="3" width="59.33203125" style="115" customWidth="1"/>
    <col min="4" max="4" width="45.33203125" style="115" customWidth="1"/>
    <col min="5" max="5" width="37.6640625" style="115" customWidth="1"/>
    <col min="6" max="6" width="42.1328125" style="115" customWidth="1"/>
    <col min="7" max="7" width="34.33203125" style="115" customWidth="1"/>
    <col min="8" max="8" width="34.6640625" style="115" customWidth="1"/>
    <col min="9" max="9" width="29.1328125" style="115" customWidth="1"/>
    <col min="10" max="10" width="35.33203125" style="115" customWidth="1"/>
    <col min="11" max="11" width="42.6640625" style="115" customWidth="1"/>
    <col min="12" max="12" width="43" style="115" customWidth="1"/>
    <col min="13" max="13" width="43.46484375" style="115" bestFit="1" customWidth="1"/>
    <col min="14" max="14" width="60.796875" style="115" customWidth="1"/>
    <col min="15" max="15" width="22.33203125" style="115" bestFit="1" customWidth="1"/>
    <col min="16" max="16" width="19.796875" style="115" customWidth="1"/>
    <col min="17" max="17" width="31.46484375" style="115" bestFit="1" customWidth="1"/>
    <col min="18" max="18" width="29" style="115" bestFit="1" customWidth="1"/>
    <col min="19" max="19" width="16.796875" style="115" bestFit="1" customWidth="1"/>
    <col min="20" max="20" width="30.1328125" style="115" customWidth="1"/>
    <col min="21" max="21" width="53.796875" style="115" bestFit="1" customWidth="1"/>
    <col min="22" max="28" width="10.6640625" style="115" customWidth="1"/>
    <col min="29" max="16384" width="14.46484375" style="115"/>
  </cols>
  <sheetData>
    <row r="1" spans="1:21" ht="14.25" customHeight="1" thickBot="1" x14ac:dyDescent="0.5">
      <c r="A1" s="109" t="s">
        <v>51</v>
      </c>
      <c r="B1" s="110"/>
      <c r="C1" s="110"/>
      <c r="D1" s="111"/>
      <c r="E1" s="112"/>
      <c r="F1" s="112"/>
      <c r="G1" s="112"/>
      <c r="H1" s="112"/>
      <c r="I1" s="113"/>
      <c r="J1" s="113"/>
      <c r="K1" s="114"/>
      <c r="L1" s="114"/>
      <c r="M1" s="114"/>
      <c r="N1" s="114"/>
    </row>
    <row r="2" spans="1:21" ht="75" customHeight="1" thickBot="1" x14ac:dyDescent="0.5">
      <c r="A2" s="229" t="s">
        <v>294</v>
      </c>
      <c r="B2" s="110"/>
      <c r="C2" s="110"/>
      <c r="D2" s="111"/>
      <c r="E2" s="112"/>
      <c r="F2" s="112"/>
      <c r="G2" s="112"/>
      <c r="H2" s="112"/>
      <c r="I2" s="113"/>
      <c r="J2" s="113"/>
      <c r="K2" s="114"/>
      <c r="L2" s="114"/>
      <c r="M2" s="114"/>
      <c r="N2" s="114"/>
    </row>
    <row r="3" spans="1:21" ht="14.25" customHeight="1" thickBot="1" x14ac:dyDescent="0.5">
      <c r="D3" s="111"/>
      <c r="E3" s="112"/>
      <c r="F3" s="112"/>
      <c r="G3" s="112"/>
      <c r="H3" s="112"/>
      <c r="I3" s="113"/>
      <c r="J3" s="113"/>
      <c r="K3" s="114"/>
      <c r="L3" s="114"/>
      <c r="M3" s="114"/>
      <c r="N3" s="114"/>
    </row>
    <row r="4" spans="1:21" ht="14.65" thickBot="1" x14ac:dyDescent="0.5">
      <c r="A4" s="116"/>
      <c r="B4" s="117"/>
      <c r="C4" s="117"/>
      <c r="D4" s="113"/>
      <c r="E4" s="118"/>
      <c r="F4" s="118"/>
      <c r="G4" s="118"/>
      <c r="H4" s="119"/>
      <c r="I4" s="120"/>
      <c r="J4" s="120"/>
      <c r="K4" s="120"/>
      <c r="L4" s="120"/>
      <c r="M4" s="120"/>
      <c r="N4" s="120"/>
    </row>
    <row r="5" spans="1:21" ht="14.65" thickBot="1" x14ac:dyDescent="0.5">
      <c r="A5" s="121" t="s">
        <v>53</v>
      </c>
      <c r="B5" s="122" t="s">
        <v>55</v>
      </c>
      <c r="C5" s="123" t="s">
        <v>54</v>
      </c>
      <c r="D5" s="124" t="s">
        <v>153</v>
      </c>
      <c r="E5" s="125"/>
      <c r="F5" s="125"/>
      <c r="G5" s="125"/>
      <c r="H5" s="126"/>
      <c r="I5" s="114"/>
      <c r="J5" s="114"/>
      <c r="K5" s="114"/>
      <c r="L5" s="114"/>
      <c r="M5" s="114"/>
      <c r="N5" s="114"/>
    </row>
    <row r="6" spans="1:21" ht="14.65" thickBot="1" x14ac:dyDescent="0.5">
      <c r="A6" s="127" t="s">
        <v>241</v>
      </c>
      <c r="B6" s="219">
        <v>0</v>
      </c>
      <c r="C6" s="173">
        <v>100000</v>
      </c>
      <c r="D6" s="124"/>
      <c r="E6" s="125"/>
      <c r="F6" s="125"/>
      <c r="G6" s="125"/>
      <c r="H6" s="126"/>
      <c r="I6" s="112"/>
      <c r="J6" s="112"/>
      <c r="K6" s="112"/>
      <c r="L6" s="112"/>
      <c r="M6" s="112"/>
      <c r="N6" s="112"/>
    </row>
    <row r="7" spans="1:21" ht="14.65" thickBot="1" x14ac:dyDescent="0.5">
      <c r="A7" s="128"/>
      <c r="B7" s="129"/>
      <c r="C7" s="129"/>
      <c r="D7" s="130"/>
      <c r="E7" s="131"/>
      <c r="F7" s="118"/>
      <c r="G7" s="118"/>
      <c r="H7" s="119"/>
      <c r="I7" s="118"/>
      <c r="J7" s="118"/>
      <c r="K7" s="118"/>
      <c r="L7" s="118"/>
      <c r="M7" s="118"/>
      <c r="N7" s="118"/>
    </row>
    <row r="8" spans="1:21" ht="17.25" customHeight="1" thickBot="1" x14ac:dyDescent="0.5">
      <c r="A8" s="132" t="s">
        <v>52</v>
      </c>
      <c r="B8" s="110"/>
      <c r="C8" s="110"/>
      <c r="D8" s="119"/>
      <c r="E8" s="131"/>
      <c r="F8" s="118"/>
      <c r="G8" s="118"/>
      <c r="H8" s="119"/>
      <c r="I8" s="118"/>
      <c r="J8" s="118"/>
      <c r="K8" s="118"/>
      <c r="L8" s="118"/>
      <c r="M8" s="118"/>
      <c r="N8" s="118"/>
    </row>
    <row r="9" spans="1:21" ht="36.6" customHeight="1" thickBot="1" x14ac:dyDescent="0.5">
      <c r="A9" s="229" t="s">
        <v>295</v>
      </c>
      <c r="B9" s="110"/>
      <c r="C9" s="110"/>
      <c r="D9" s="131"/>
      <c r="E9" s="131"/>
      <c r="F9" s="118"/>
      <c r="G9" s="118"/>
      <c r="H9" s="119"/>
      <c r="I9" s="118"/>
      <c r="J9" s="118"/>
      <c r="K9" s="118"/>
      <c r="L9" s="118"/>
      <c r="M9" s="118"/>
      <c r="N9" s="118"/>
    </row>
    <row r="10" spans="1:21" ht="14.65" thickBot="1" x14ac:dyDescent="0.5">
      <c r="A10" s="133"/>
      <c r="B10" s="118"/>
      <c r="C10" s="118"/>
      <c r="D10" s="131"/>
      <c r="E10" s="131"/>
      <c r="F10" s="118"/>
      <c r="G10" s="118"/>
      <c r="H10" s="119"/>
      <c r="I10" s="118"/>
      <c r="J10" s="118"/>
      <c r="K10" s="118"/>
      <c r="L10" s="118"/>
      <c r="M10" s="118"/>
      <c r="N10" s="118"/>
    </row>
    <row r="11" spans="1:21" ht="14.65" thickBot="1" x14ac:dyDescent="0.5">
      <c r="A11" s="134" t="s">
        <v>64</v>
      </c>
      <c r="B11" s="118"/>
      <c r="C11" s="118"/>
      <c r="D11" s="131"/>
      <c r="E11" s="131"/>
      <c r="F11" s="118"/>
      <c r="G11" s="118"/>
      <c r="H11" s="119"/>
      <c r="I11" s="118"/>
      <c r="J11" s="118"/>
      <c r="K11" s="118"/>
      <c r="L11" s="118"/>
      <c r="M11" s="118"/>
      <c r="N11" s="118"/>
    </row>
    <row r="12" spans="1:21" ht="14.65" thickBot="1" x14ac:dyDescent="0.5">
      <c r="A12" s="126" t="s">
        <v>63</v>
      </c>
      <c r="B12" s="125"/>
      <c r="D12" s="125"/>
      <c r="E12" s="125"/>
      <c r="F12" s="125"/>
      <c r="G12" s="125"/>
      <c r="H12" s="125"/>
      <c r="I12" s="135"/>
      <c r="J12" s="125"/>
      <c r="K12" s="125"/>
      <c r="L12" s="125"/>
      <c r="M12" s="125"/>
      <c r="N12" s="125"/>
    </row>
    <row r="13" spans="1:21" ht="19.5" customHeight="1" thickBot="1" x14ac:dyDescent="0.5">
      <c r="A13" s="136" t="s">
        <v>2</v>
      </c>
      <c r="B13" s="137"/>
      <c r="C13" s="137"/>
      <c r="D13" s="137"/>
      <c r="E13" s="137"/>
      <c r="F13" s="137"/>
      <c r="G13" s="137"/>
      <c r="H13" s="137"/>
      <c r="I13" s="137"/>
      <c r="J13" s="137"/>
      <c r="K13" s="137"/>
      <c r="L13" s="137"/>
      <c r="M13" s="137"/>
      <c r="N13" s="138"/>
    </row>
    <row r="14" spans="1:21" ht="14.65" thickBot="1" x14ac:dyDescent="0.5">
      <c r="A14" s="139" t="s">
        <v>17</v>
      </c>
      <c r="B14" s="140" t="s">
        <v>18</v>
      </c>
      <c r="C14" s="140" t="s">
        <v>39</v>
      </c>
      <c r="D14" s="140" t="s">
        <v>151</v>
      </c>
      <c r="E14" s="140" t="s">
        <v>152</v>
      </c>
      <c r="F14" s="140" t="s">
        <v>149</v>
      </c>
      <c r="G14" s="141" t="s">
        <v>20</v>
      </c>
      <c r="H14" s="140" t="s">
        <v>150</v>
      </c>
      <c r="I14" s="140" t="s">
        <v>21</v>
      </c>
      <c r="J14" s="140" t="s">
        <v>22</v>
      </c>
      <c r="K14" s="140" t="s">
        <v>23</v>
      </c>
      <c r="L14" s="142" t="s">
        <v>24</v>
      </c>
      <c r="M14" s="142" t="s">
        <v>125</v>
      </c>
      <c r="N14" s="143" t="s">
        <v>15</v>
      </c>
    </row>
    <row r="15" spans="1:21" ht="14.65" thickBot="1" x14ac:dyDescent="0.5">
      <c r="A15" s="265" t="s">
        <v>240</v>
      </c>
      <c r="B15" s="174" t="s">
        <v>25</v>
      </c>
      <c r="C15" s="174" t="s">
        <v>41</v>
      </c>
      <c r="D15" s="175">
        <f>W_bal</f>
        <v>34.034299999999995</v>
      </c>
      <c r="E15" s="174" t="s">
        <v>26</v>
      </c>
      <c r="F15" s="176" t="s">
        <v>27</v>
      </c>
      <c r="G15" s="176" t="s">
        <v>27</v>
      </c>
      <c r="H15" s="176" t="s">
        <v>27</v>
      </c>
      <c r="I15" s="176" t="s">
        <v>27</v>
      </c>
      <c r="J15" s="176" t="s">
        <v>27</v>
      </c>
      <c r="K15" s="176" t="s">
        <v>27</v>
      </c>
      <c r="L15" s="196" t="s">
        <v>27</v>
      </c>
      <c r="M15" s="214" t="s">
        <v>264</v>
      </c>
      <c r="N15" s="243" t="s">
        <v>233</v>
      </c>
      <c r="O15" s="144"/>
      <c r="P15" s="144"/>
      <c r="Q15" s="144"/>
      <c r="R15" s="144"/>
      <c r="S15" s="144"/>
      <c r="T15" s="144"/>
      <c r="U15" s="144"/>
    </row>
    <row r="16" spans="1:21" ht="14.65" thickBot="1" x14ac:dyDescent="0.5">
      <c r="A16" s="145"/>
      <c r="B16" s="129"/>
      <c r="C16" s="129"/>
      <c r="D16" s="129"/>
      <c r="E16" s="146"/>
      <c r="F16" s="147"/>
      <c r="G16" s="147"/>
      <c r="H16" s="147"/>
      <c r="I16" s="147"/>
      <c r="J16" s="146"/>
      <c r="K16" s="148"/>
      <c r="L16" s="129"/>
      <c r="M16" s="129"/>
      <c r="N16" s="129"/>
      <c r="O16" s="129"/>
      <c r="P16" s="129"/>
      <c r="Q16" s="129"/>
      <c r="R16" s="129"/>
      <c r="S16" s="129"/>
      <c r="T16" s="129"/>
      <c r="U16" s="129"/>
    </row>
    <row r="17" spans="1:21" ht="14.25" customHeight="1" thickBot="1" x14ac:dyDescent="0.5">
      <c r="A17" s="149" t="s">
        <v>61</v>
      </c>
      <c r="C17" s="110"/>
      <c r="D17" s="111"/>
      <c r="E17" s="112"/>
      <c r="F17" s="112"/>
      <c r="G17" s="112" t="s">
        <v>27</v>
      </c>
      <c r="H17" s="112"/>
      <c r="I17" s="113"/>
      <c r="J17" s="113"/>
      <c r="K17" s="114"/>
      <c r="L17" s="114"/>
      <c r="M17" s="114"/>
      <c r="N17" s="114"/>
      <c r="O17" s="112"/>
      <c r="P17" s="112"/>
      <c r="Q17" s="112"/>
      <c r="R17" s="112"/>
      <c r="S17" s="112"/>
      <c r="T17" s="112"/>
      <c r="U17" s="112"/>
    </row>
    <row r="18" spans="1:21" ht="47.45" customHeight="1" thickBot="1" x14ac:dyDescent="0.5">
      <c r="A18" s="229" t="s">
        <v>296</v>
      </c>
      <c r="C18" s="110"/>
      <c r="D18" s="111"/>
      <c r="E18" s="112"/>
      <c r="F18" s="112"/>
      <c r="G18" s="112" t="s">
        <v>27</v>
      </c>
      <c r="H18" s="112"/>
      <c r="I18" s="113"/>
      <c r="J18" s="113"/>
      <c r="K18" s="114"/>
      <c r="L18" s="114"/>
      <c r="M18" s="114"/>
      <c r="N18" s="114"/>
      <c r="O18" s="112"/>
      <c r="P18" s="112"/>
      <c r="Q18" s="112"/>
      <c r="R18" s="112"/>
      <c r="S18" s="112"/>
      <c r="T18" s="112"/>
      <c r="U18" s="112"/>
    </row>
    <row r="19" spans="1:21" ht="14.65" thickBot="1" x14ac:dyDescent="0.5">
      <c r="A19" s="150"/>
      <c r="B19" s="118"/>
      <c r="C19" s="118"/>
      <c r="D19" s="118"/>
      <c r="E19" s="131"/>
      <c r="F19" s="151"/>
      <c r="G19" s="151"/>
      <c r="H19" s="151"/>
      <c r="I19" s="151"/>
      <c r="J19" s="131"/>
      <c r="K19" s="119"/>
      <c r="L19" s="118"/>
      <c r="M19" s="118"/>
      <c r="N19" s="118"/>
      <c r="O19" s="118"/>
      <c r="P19" s="118"/>
      <c r="Q19" s="118"/>
      <c r="R19" s="118"/>
      <c r="S19" s="118"/>
      <c r="T19" s="118"/>
      <c r="U19" s="118"/>
    </row>
    <row r="20" spans="1:21" ht="14.65" thickBot="1" x14ac:dyDescent="0.5">
      <c r="A20" s="152" t="s">
        <v>42</v>
      </c>
      <c r="B20" s="153"/>
      <c r="C20" s="153"/>
      <c r="D20" s="153"/>
      <c r="E20" s="153"/>
      <c r="F20" s="153"/>
      <c r="G20" s="153"/>
      <c r="H20" s="153"/>
      <c r="I20" s="153"/>
      <c r="J20" s="153"/>
      <c r="K20" s="153"/>
      <c r="L20" s="153"/>
      <c r="M20" s="153"/>
      <c r="N20" s="153"/>
      <c r="O20" s="153"/>
      <c r="P20" s="153"/>
      <c r="Q20" s="153"/>
      <c r="R20" s="153"/>
      <c r="S20" s="153"/>
      <c r="T20" s="153"/>
      <c r="U20" s="138"/>
    </row>
    <row r="21" spans="1:21" ht="14.65" thickBot="1" x14ac:dyDescent="0.5">
      <c r="A21" s="154" t="s">
        <v>57</v>
      </c>
      <c r="B21" s="155" t="s">
        <v>18</v>
      </c>
      <c r="C21" s="155" t="s">
        <v>113</v>
      </c>
      <c r="D21" s="156" t="s">
        <v>109</v>
      </c>
      <c r="E21" s="155" t="s">
        <v>114</v>
      </c>
      <c r="F21" s="155" t="s">
        <v>110</v>
      </c>
      <c r="G21" s="155" t="s">
        <v>115</v>
      </c>
      <c r="H21" s="155" t="s">
        <v>116</v>
      </c>
      <c r="I21" s="155" t="s">
        <v>117</v>
      </c>
      <c r="J21" s="155" t="s">
        <v>111</v>
      </c>
      <c r="K21" s="155" t="s">
        <v>118</v>
      </c>
      <c r="L21" s="155" t="s">
        <v>112</v>
      </c>
      <c r="M21" s="155" t="s">
        <v>119</v>
      </c>
      <c r="N21" s="155" t="s">
        <v>120</v>
      </c>
      <c r="O21" s="155" t="s">
        <v>121</v>
      </c>
      <c r="P21" s="155" t="s">
        <v>122</v>
      </c>
      <c r="Q21" s="155" t="s">
        <v>123</v>
      </c>
      <c r="R21" s="155" t="s">
        <v>124</v>
      </c>
      <c r="S21" s="157" t="s">
        <v>56</v>
      </c>
      <c r="T21" s="157" t="s">
        <v>125</v>
      </c>
      <c r="U21" s="143" t="s">
        <v>15</v>
      </c>
    </row>
    <row r="22" spans="1:21" ht="15.75" customHeight="1" x14ac:dyDescent="0.45">
      <c r="A22" s="183" t="s">
        <v>242</v>
      </c>
      <c r="B22" s="184" t="s">
        <v>44</v>
      </c>
      <c r="C22" s="185">
        <f>HX1_Tin</f>
        <v>115.7</v>
      </c>
      <c r="D22" s="244" t="s">
        <v>293</v>
      </c>
      <c r="E22" s="185">
        <f>HX1_Tout</f>
        <v>241.4</v>
      </c>
      <c r="F22" s="186" t="s">
        <v>293</v>
      </c>
      <c r="G22" s="187">
        <f>HX1_Q</f>
        <v>81.13</v>
      </c>
      <c r="H22" s="198" t="s">
        <v>26</v>
      </c>
      <c r="I22" s="187">
        <v>0</v>
      </c>
      <c r="J22" s="186" t="s">
        <v>26</v>
      </c>
      <c r="K22" s="257">
        <f>(I22-G22)/M22/(C22-E22)*3600</f>
        <v>7.122184735370988</v>
      </c>
      <c r="L22" s="188" t="s">
        <v>282</v>
      </c>
      <c r="M22" s="257">
        <f>$M$24</f>
        <v>326.2386902197328</v>
      </c>
      <c r="N22" s="220" t="s">
        <v>284</v>
      </c>
      <c r="O22" s="203">
        <f t="shared" ref="O22:O28" si="0">dtmin_2ph</f>
        <v>2</v>
      </c>
      <c r="P22" s="211" t="s">
        <v>260</v>
      </c>
      <c r="Q22" s="204">
        <v>1</v>
      </c>
      <c r="R22" s="211" t="s">
        <v>261</v>
      </c>
      <c r="S22" s="204" t="s">
        <v>262</v>
      </c>
      <c r="T22" s="204" t="s">
        <v>263</v>
      </c>
      <c r="U22" s="240" t="s">
        <v>265</v>
      </c>
    </row>
    <row r="23" spans="1:21" ht="15.75" customHeight="1" x14ac:dyDescent="0.45">
      <c r="A23" s="177" t="s">
        <v>243</v>
      </c>
      <c r="B23" s="178" t="s">
        <v>44</v>
      </c>
      <c r="C23" s="179">
        <f>HX2_T</f>
        <v>241.2</v>
      </c>
      <c r="D23" s="199" t="s">
        <v>293</v>
      </c>
      <c r="E23" s="179">
        <f>HX2_T</f>
        <v>241.2</v>
      </c>
      <c r="F23" s="180" t="s">
        <v>293</v>
      </c>
      <c r="G23" s="181">
        <f>HX2_Q</f>
        <v>69.2</v>
      </c>
      <c r="H23" s="199" t="s">
        <v>26</v>
      </c>
      <c r="I23" s="181">
        <v>0</v>
      </c>
      <c r="J23" s="180" t="s">
        <v>26</v>
      </c>
      <c r="K23" s="258">
        <f>-(I23-G23)/M23*3600</f>
        <v>763.61267828843131</v>
      </c>
      <c r="L23" s="182" t="s">
        <v>309</v>
      </c>
      <c r="M23" s="258">
        <f>$M$24</f>
        <v>326.2386902197328</v>
      </c>
      <c r="N23" s="201" t="s">
        <v>284</v>
      </c>
      <c r="O23" s="205">
        <f t="shared" si="0"/>
        <v>2</v>
      </c>
      <c r="P23" s="212" t="s">
        <v>260</v>
      </c>
      <c r="Q23" s="206">
        <v>1</v>
      </c>
      <c r="R23" s="207" t="s">
        <v>261</v>
      </c>
      <c r="S23" s="206" t="s">
        <v>262</v>
      </c>
      <c r="T23" s="206" t="s">
        <v>263</v>
      </c>
      <c r="U23" s="241" t="s">
        <v>266</v>
      </c>
    </row>
    <row r="24" spans="1:21" ht="15.75" customHeight="1" x14ac:dyDescent="0.45">
      <c r="A24" s="177" t="s">
        <v>244</v>
      </c>
      <c r="B24" s="178" t="s">
        <v>43</v>
      </c>
      <c r="C24" s="179">
        <f>HX3_Tin</f>
        <v>178.3</v>
      </c>
      <c r="D24" s="199" t="s">
        <v>293</v>
      </c>
      <c r="E24" s="179">
        <f>HX3_Tout</f>
        <v>115</v>
      </c>
      <c r="F24" s="180" t="s">
        <v>293</v>
      </c>
      <c r="G24" s="181">
        <v>0</v>
      </c>
      <c r="H24" s="199" t="s">
        <v>26</v>
      </c>
      <c r="I24" s="181">
        <f>HX3_Q</f>
        <v>12.62</v>
      </c>
      <c r="J24" s="180" t="s">
        <v>26</v>
      </c>
      <c r="K24" s="258">
        <f>Cp</f>
        <v>2.2000000000000002</v>
      </c>
      <c r="L24" s="199" t="s">
        <v>282</v>
      </c>
      <c r="M24" s="258">
        <f>I24/K24/(C24-E24)*3600</f>
        <v>326.2386902197328</v>
      </c>
      <c r="N24" s="201" t="s">
        <v>284</v>
      </c>
      <c r="O24" s="205">
        <f t="shared" si="0"/>
        <v>2</v>
      </c>
      <c r="P24" s="212" t="s">
        <v>260</v>
      </c>
      <c r="Q24" s="206">
        <v>1</v>
      </c>
      <c r="R24" s="207" t="s">
        <v>261</v>
      </c>
      <c r="S24" s="206" t="s">
        <v>262</v>
      </c>
      <c r="T24" s="206" t="s">
        <v>263</v>
      </c>
      <c r="U24" s="241" t="s">
        <v>269</v>
      </c>
    </row>
    <row r="25" spans="1:21" ht="15.75" customHeight="1" x14ac:dyDescent="0.45">
      <c r="A25" s="177" t="s">
        <v>245</v>
      </c>
      <c r="B25" s="178" t="s">
        <v>43</v>
      </c>
      <c r="C25" s="179">
        <f>HX4_T</f>
        <v>115</v>
      </c>
      <c r="D25" s="199" t="s">
        <v>293</v>
      </c>
      <c r="E25" s="179">
        <f>HX4_T</f>
        <v>115</v>
      </c>
      <c r="F25" s="180" t="s">
        <v>293</v>
      </c>
      <c r="G25" s="181">
        <v>0</v>
      </c>
      <c r="H25" s="199" t="s">
        <v>26</v>
      </c>
      <c r="I25" s="181">
        <f>HX4_Q</f>
        <v>45.36</v>
      </c>
      <c r="J25" s="180" t="s">
        <v>26</v>
      </c>
      <c r="K25" s="258">
        <f>(I25-G25)/M25*3600</f>
        <v>500.5414896988907</v>
      </c>
      <c r="L25" s="182" t="s">
        <v>309</v>
      </c>
      <c r="M25" s="258">
        <f>$M$24</f>
        <v>326.2386902197328</v>
      </c>
      <c r="N25" s="201" t="s">
        <v>284</v>
      </c>
      <c r="O25" s="205">
        <f t="shared" si="0"/>
        <v>2</v>
      </c>
      <c r="P25" s="212" t="s">
        <v>260</v>
      </c>
      <c r="Q25" s="206">
        <v>1</v>
      </c>
      <c r="R25" s="207" t="s">
        <v>261</v>
      </c>
      <c r="S25" s="206" t="s">
        <v>262</v>
      </c>
      <c r="T25" s="206" t="s">
        <v>263</v>
      </c>
      <c r="U25" s="241" t="s">
        <v>267</v>
      </c>
    </row>
    <row r="26" spans="1:21" ht="15.75" customHeight="1" x14ac:dyDescent="0.45">
      <c r="A26" s="177" t="s">
        <v>246</v>
      </c>
      <c r="B26" s="178" t="s">
        <v>43</v>
      </c>
      <c r="C26" s="179">
        <f>HX5_Tin</f>
        <v>125.3</v>
      </c>
      <c r="D26" s="199" t="s">
        <v>293</v>
      </c>
      <c r="E26" s="179">
        <f>HX5_Tout</f>
        <v>34.18</v>
      </c>
      <c r="F26" s="180" t="s">
        <v>293</v>
      </c>
      <c r="G26" s="181">
        <v>0</v>
      </c>
      <c r="H26" s="199" t="s">
        <v>26</v>
      </c>
      <c r="I26" s="181">
        <f>HX5_Q</f>
        <v>18.670000000000002</v>
      </c>
      <c r="J26" s="180" t="s">
        <v>26</v>
      </c>
      <c r="K26" s="258">
        <f t="shared" ref="K26:K28" si="1">(I26-G26)/M26/(C26-E26)*3600</f>
        <v>2.2609848005242736</v>
      </c>
      <c r="L26" s="182" t="s">
        <v>282</v>
      </c>
      <c r="M26" s="258">
        <f t="shared" ref="M26:M28" si="2">$M$24</f>
        <v>326.2386902197328</v>
      </c>
      <c r="N26" s="201" t="s">
        <v>284</v>
      </c>
      <c r="O26" s="205">
        <f t="shared" si="0"/>
        <v>2</v>
      </c>
      <c r="P26" s="212" t="s">
        <v>260</v>
      </c>
      <c r="Q26" s="206">
        <v>1</v>
      </c>
      <c r="R26" s="207" t="s">
        <v>261</v>
      </c>
      <c r="S26" s="206" t="s">
        <v>262</v>
      </c>
      <c r="T26" s="206" t="s">
        <v>263</v>
      </c>
      <c r="U26" s="241" t="s">
        <v>268</v>
      </c>
    </row>
    <row r="27" spans="1:21" ht="15.75" customHeight="1" x14ac:dyDescent="0.45">
      <c r="A27" s="177" t="s">
        <v>247</v>
      </c>
      <c r="B27" s="178" t="s">
        <v>43</v>
      </c>
      <c r="C27" s="179">
        <f>HX6_T</f>
        <v>34.18</v>
      </c>
      <c r="D27" s="199" t="s">
        <v>293</v>
      </c>
      <c r="E27" s="179">
        <f>HX6_T</f>
        <v>34.18</v>
      </c>
      <c r="F27" s="180" t="s">
        <v>293</v>
      </c>
      <c r="G27" s="181">
        <v>0</v>
      </c>
      <c r="H27" s="199" t="s">
        <v>26</v>
      </c>
      <c r="I27" s="181">
        <f>HX6_Q</f>
        <v>62.15</v>
      </c>
      <c r="J27" s="180" t="s">
        <v>26</v>
      </c>
      <c r="K27" s="258">
        <f>(I27-G27)/M27*3600</f>
        <v>685.8168779714739</v>
      </c>
      <c r="L27" s="182" t="s">
        <v>309</v>
      </c>
      <c r="M27" s="258">
        <f t="shared" si="2"/>
        <v>326.2386902197328</v>
      </c>
      <c r="N27" s="201" t="s">
        <v>284</v>
      </c>
      <c r="O27" s="205">
        <f t="shared" si="0"/>
        <v>2</v>
      </c>
      <c r="P27" s="212" t="s">
        <v>260</v>
      </c>
      <c r="Q27" s="206">
        <v>1</v>
      </c>
      <c r="R27" s="207" t="s">
        <v>261</v>
      </c>
      <c r="S27" s="206" t="s">
        <v>262</v>
      </c>
      <c r="T27" s="206" t="s">
        <v>263</v>
      </c>
      <c r="U27" s="241" t="s">
        <v>267</v>
      </c>
    </row>
    <row r="28" spans="1:21" ht="15.75" customHeight="1" thickBot="1" x14ac:dyDescent="0.5">
      <c r="A28" s="189" t="s">
        <v>248</v>
      </c>
      <c r="B28" s="190" t="s">
        <v>44</v>
      </c>
      <c r="C28" s="191">
        <f>HX7_Tin</f>
        <v>34.22</v>
      </c>
      <c r="D28" s="200" t="s">
        <v>293</v>
      </c>
      <c r="E28" s="191">
        <f>HX7_Tout</f>
        <v>115</v>
      </c>
      <c r="F28" s="192" t="s">
        <v>293</v>
      </c>
      <c r="G28" s="193">
        <f>HX7_Q</f>
        <v>22.51</v>
      </c>
      <c r="H28" s="200" t="s">
        <v>26</v>
      </c>
      <c r="I28" s="193">
        <v>0</v>
      </c>
      <c r="J28" s="192" t="s">
        <v>26</v>
      </c>
      <c r="K28" s="259">
        <f t="shared" si="1"/>
        <v>3.0749544163110158</v>
      </c>
      <c r="L28" s="194" t="s">
        <v>282</v>
      </c>
      <c r="M28" s="259">
        <f t="shared" si="2"/>
        <v>326.2386902197328</v>
      </c>
      <c r="N28" s="202" t="s">
        <v>284</v>
      </c>
      <c r="O28" s="208">
        <f t="shared" si="0"/>
        <v>2</v>
      </c>
      <c r="P28" s="213" t="s">
        <v>260</v>
      </c>
      <c r="Q28" s="209">
        <v>1</v>
      </c>
      <c r="R28" s="210" t="s">
        <v>261</v>
      </c>
      <c r="S28" s="209" t="s">
        <v>262</v>
      </c>
      <c r="T28" s="209" t="s">
        <v>263</v>
      </c>
      <c r="U28" s="242" t="s">
        <v>270</v>
      </c>
    </row>
    <row r="29" spans="1:21" ht="14.25" customHeight="1" thickBot="1" x14ac:dyDescent="0.5">
      <c r="A29" s="125"/>
      <c r="B29" s="125"/>
      <c r="C29" s="125"/>
      <c r="D29" s="125"/>
      <c r="E29" s="125"/>
      <c r="F29" s="125"/>
      <c r="G29" s="125"/>
      <c r="H29" s="125"/>
      <c r="I29" s="125"/>
      <c r="J29" s="125"/>
      <c r="K29" s="125"/>
      <c r="L29" s="110"/>
      <c r="M29" s="110"/>
      <c r="N29" s="110"/>
      <c r="O29" s="158"/>
      <c r="P29" s="158"/>
      <c r="Q29" s="158"/>
      <c r="R29" s="158"/>
      <c r="S29" s="158"/>
      <c r="T29" s="158"/>
      <c r="U29" s="158"/>
    </row>
    <row r="30" spans="1:21" ht="14.25" customHeight="1" thickBot="1" x14ac:dyDescent="0.5">
      <c r="A30" s="109" t="s">
        <v>49</v>
      </c>
      <c r="B30" s="110"/>
      <c r="C30" s="110"/>
      <c r="D30" s="111"/>
      <c r="E30" s="112"/>
      <c r="F30" s="112"/>
      <c r="G30" s="112" t="s">
        <v>27</v>
      </c>
      <c r="H30" s="112"/>
      <c r="I30" s="159"/>
      <c r="J30" s="113"/>
      <c r="K30" s="114"/>
      <c r="L30" s="110"/>
      <c r="M30" s="110"/>
      <c r="N30" s="110"/>
      <c r="O30" s="112"/>
      <c r="P30" s="112"/>
      <c r="Q30" s="112"/>
      <c r="R30" s="112"/>
      <c r="S30" s="112"/>
      <c r="T30" s="112"/>
      <c r="U30" s="112"/>
    </row>
    <row r="31" spans="1:21" ht="49.25" customHeight="1" thickBot="1" x14ac:dyDescent="0.5">
      <c r="A31" s="230" t="s">
        <v>297</v>
      </c>
      <c r="B31" s="110"/>
      <c r="C31" s="110"/>
      <c r="D31" s="111"/>
      <c r="E31" s="112"/>
      <c r="F31" s="112"/>
      <c r="G31" s="112"/>
      <c r="H31" s="112"/>
      <c r="I31" s="113"/>
      <c r="J31" s="113"/>
      <c r="K31" s="114"/>
      <c r="L31" s="110"/>
      <c r="M31" s="110"/>
      <c r="N31" s="110"/>
      <c r="O31" s="112"/>
      <c r="P31" s="112"/>
      <c r="Q31" s="112"/>
      <c r="R31" s="112"/>
      <c r="S31" s="112"/>
      <c r="T31" s="112"/>
      <c r="U31" s="112"/>
    </row>
    <row r="32" spans="1:21" ht="15.75" customHeight="1" thickBot="1" x14ac:dyDescent="0.5">
      <c r="A32" s="125"/>
      <c r="B32" s="125"/>
      <c r="C32" s="125"/>
      <c r="D32" s="125"/>
      <c r="E32" s="125"/>
      <c r="F32" s="125"/>
      <c r="G32" s="125"/>
      <c r="H32" s="125"/>
      <c r="I32" s="125"/>
      <c r="J32" s="125"/>
      <c r="K32" s="125"/>
      <c r="L32" s="125"/>
      <c r="M32" s="125"/>
      <c r="O32" s="125"/>
      <c r="P32" s="125"/>
      <c r="Q32" s="125"/>
      <c r="R32" s="125"/>
      <c r="S32" s="125"/>
      <c r="T32" s="125"/>
      <c r="U32" s="125"/>
    </row>
    <row r="33" spans="1:21" ht="15.75" customHeight="1" thickBot="1" x14ac:dyDescent="0.5">
      <c r="A33" s="161" t="s">
        <v>45</v>
      </c>
      <c r="B33" s="162"/>
      <c r="C33" s="162"/>
      <c r="D33" s="162"/>
      <c r="E33" s="162"/>
      <c r="F33" s="162"/>
      <c r="G33" s="163"/>
      <c r="H33" s="124" t="s">
        <v>126</v>
      </c>
      <c r="I33" s="125"/>
      <c r="J33" s="125"/>
      <c r="K33" s="125"/>
      <c r="L33" s="125"/>
      <c r="M33" s="125"/>
      <c r="N33" s="125"/>
      <c r="O33" s="125"/>
      <c r="P33" s="125"/>
      <c r="Q33" s="125"/>
      <c r="R33" s="125"/>
      <c r="S33" s="125"/>
      <c r="T33" s="125"/>
      <c r="U33" s="125"/>
    </row>
    <row r="34" spans="1:21" ht="15.75" customHeight="1" thickBot="1" x14ac:dyDescent="0.5">
      <c r="A34" s="139" t="s">
        <v>57</v>
      </c>
      <c r="B34" s="140" t="s">
        <v>18</v>
      </c>
      <c r="C34" s="140" t="s">
        <v>107</v>
      </c>
      <c r="D34" s="140" t="s">
        <v>108</v>
      </c>
      <c r="E34" s="140" t="s">
        <v>58</v>
      </c>
      <c r="F34" s="140" t="s">
        <v>40</v>
      </c>
      <c r="G34" s="164"/>
      <c r="H34" s="165"/>
      <c r="I34" s="165"/>
      <c r="J34" s="165"/>
      <c r="K34" s="125"/>
      <c r="L34" s="125"/>
      <c r="M34" s="125"/>
      <c r="N34" s="125"/>
      <c r="O34" s="125"/>
      <c r="P34" s="125"/>
      <c r="Q34" s="125"/>
      <c r="R34" s="125"/>
      <c r="S34" s="125"/>
      <c r="T34" s="125"/>
      <c r="U34" s="125"/>
    </row>
    <row r="35" spans="1:21" ht="15.75" customHeight="1" thickBot="1" x14ac:dyDescent="0.5">
      <c r="A35" s="231" t="s">
        <v>249</v>
      </c>
      <c r="B35" s="231" t="s">
        <v>46</v>
      </c>
      <c r="C35" s="231" t="s">
        <v>277</v>
      </c>
      <c r="D35" s="231" t="s">
        <v>278</v>
      </c>
      <c r="E35" s="232" t="s">
        <v>271</v>
      </c>
      <c r="F35" s="231">
        <f>n</f>
        <v>40</v>
      </c>
      <c r="G35" s="233" t="s">
        <v>27</v>
      </c>
      <c r="H35" s="165"/>
      <c r="I35" s="165"/>
      <c r="J35" s="112"/>
      <c r="K35" s="131"/>
      <c r="L35" s="131"/>
      <c r="M35" s="118"/>
      <c r="N35" s="125"/>
      <c r="O35" s="125"/>
      <c r="P35" s="125"/>
      <c r="Q35" s="125"/>
      <c r="R35" s="125"/>
      <c r="S35" s="125"/>
      <c r="T35" s="125"/>
      <c r="U35" s="125"/>
    </row>
    <row r="36" spans="1:21" ht="15.75" customHeight="1" x14ac:dyDescent="0.45">
      <c r="A36" s="234"/>
      <c r="B36" s="234"/>
      <c r="C36" s="234"/>
      <c r="D36" s="234"/>
      <c r="E36" s="235" t="s">
        <v>225</v>
      </c>
      <c r="F36" s="234">
        <f>i</f>
        <v>0.06</v>
      </c>
      <c r="G36" s="236" t="s">
        <v>272</v>
      </c>
      <c r="H36" s="165"/>
      <c r="I36" s="165"/>
      <c r="J36" s="165"/>
      <c r="K36" s="195"/>
      <c r="L36" s="195"/>
      <c r="M36" s="125"/>
      <c r="N36" s="125"/>
      <c r="O36" s="125"/>
      <c r="P36" s="125"/>
      <c r="Q36" s="125"/>
      <c r="R36" s="125"/>
      <c r="S36" s="125"/>
      <c r="T36" s="125"/>
      <c r="U36" s="125"/>
    </row>
    <row r="37" spans="1:21" ht="15.75" customHeight="1" x14ac:dyDescent="0.45">
      <c r="A37" s="234"/>
      <c r="B37" s="234"/>
      <c r="C37" s="234"/>
      <c r="D37" s="234"/>
      <c r="E37" s="235" t="s">
        <v>275</v>
      </c>
      <c r="F37" s="234">
        <f>Cinv_ORC</f>
        <v>34034.299999999996</v>
      </c>
      <c r="G37" s="236" t="s">
        <v>276</v>
      </c>
      <c r="H37" s="165"/>
      <c r="I37" s="165"/>
      <c r="J37" s="165"/>
      <c r="K37" s="195"/>
      <c r="L37" s="195"/>
      <c r="M37" s="125"/>
      <c r="N37" s="125"/>
      <c r="O37" s="125"/>
      <c r="P37" s="125"/>
      <c r="Q37" s="125"/>
      <c r="R37" s="125"/>
      <c r="S37" s="125"/>
      <c r="T37" s="125"/>
      <c r="U37" s="125"/>
    </row>
    <row r="38" spans="1:21" ht="15.75" customHeight="1" thickBot="1" x14ac:dyDescent="0.5">
      <c r="A38" s="237"/>
      <c r="B38" s="237"/>
      <c r="C38" s="237"/>
      <c r="D38" s="237"/>
      <c r="E38" s="238" t="s">
        <v>230</v>
      </c>
      <c r="F38" s="237">
        <f>CEPCI_2008</f>
        <v>575.4</v>
      </c>
      <c r="G38" s="239" t="s">
        <v>27</v>
      </c>
      <c r="H38" s="165"/>
      <c r="I38" s="165"/>
      <c r="J38" s="165"/>
      <c r="K38" s="195"/>
      <c r="L38" s="195"/>
      <c r="M38" s="125"/>
      <c r="N38" s="125"/>
      <c r="O38" s="125"/>
      <c r="P38" s="125"/>
      <c r="Q38" s="125"/>
      <c r="R38" s="125"/>
      <c r="S38" s="125"/>
      <c r="T38" s="125"/>
      <c r="U38" s="125"/>
    </row>
    <row r="39" spans="1:21" ht="42" customHeight="1" thickBot="1" x14ac:dyDescent="0.5">
      <c r="A39" s="166"/>
      <c r="B39" s="167"/>
      <c r="D39" s="167"/>
      <c r="E39" s="167"/>
      <c r="F39" s="167"/>
      <c r="G39" s="167"/>
      <c r="H39" s="165"/>
    </row>
    <row r="40" spans="1:21" ht="15.75" customHeight="1" thickBot="1" x14ac:dyDescent="0.5">
      <c r="A40" s="109" t="s">
        <v>50</v>
      </c>
      <c r="B40" s="110"/>
      <c r="C40" s="110"/>
      <c r="D40" s="165"/>
      <c r="E40" s="165"/>
      <c r="F40" s="165"/>
      <c r="G40" s="165"/>
      <c r="H40" s="168"/>
    </row>
    <row r="41" spans="1:21" ht="34.799999999999997" customHeight="1" thickBot="1" x14ac:dyDescent="0.5">
      <c r="A41" s="160" t="s">
        <v>47</v>
      </c>
      <c r="B41" s="110"/>
      <c r="C41" s="110"/>
      <c r="D41" s="165"/>
      <c r="E41" s="165"/>
      <c r="F41" s="165"/>
      <c r="G41" s="165"/>
      <c r="H41" s="165"/>
    </row>
    <row r="42" spans="1:21" ht="15.75" customHeight="1" thickBot="1" x14ac:dyDescent="0.5">
      <c r="A42" s="169"/>
      <c r="B42" s="168"/>
      <c r="C42" s="146"/>
      <c r="D42" s="168"/>
      <c r="E42" s="168"/>
      <c r="F42" s="168"/>
      <c r="G42" s="168"/>
      <c r="H42" s="165"/>
    </row>
    <row r="43" spans="1:21" ht="15.75" customHeight="1" thickBot="1" x14ac:dyDescent="0.5">
      <c r="A43" s="170" t="s">
        <v>62</v>
      </c>
      <c r="B43" s="165"/>
      <c r="C43" s="165"/>
      <c r="D43" s="165"/>
      <c r="E43" s="165"/>
      <c r="F43" s="165"/>
      <c r="G43" s="165"/>
      <c r="H43" s="165"/>
    </row>
    <row r="44" spans="1:21" ht="15.75" customHeight="1" thickBot="1" x14ac:dyDescent="0.5">
      <c r="A44" s="171" t="s">
        <v>59</v>
      </c>
      <c r="B44" s="172" t="s">
        <v>60</v>
      </c>
      <c r="C44" s="165"/>
      <c r="D44" s="165"/>
      <c r="E44" s="165"/>
      <c r="F44" s="165"/>
      <c r="G44" s="165"/>
      <c r="H44" s="165"/>
    </row>
    <row r="45" spans="1:21" ht="15.75" customHeight="1" thickBot="1" x14ac:dyDescent="0.5">
      <c r="A45" s="127">
        <v>0</v>
      </c>
      <c r="B45" s="173">
        <v>0</v>
      </c>
      <c r="C45" s="165"/>
      <c r="D45" s="165"/>
      <c r="E45" s="165"/>
      <c r="F45" s="165"/>
      <c r="G45" s="165"/>
      <c r="H45" s="165"/>
    </row>
  </sheetData>
  <dataValidations count="4">
    <dataValidation type="list" allowBlank="1" showErrorMessage="1" sqref="B15" xr:uid="{847BD95E-B4D7-4BB8-A8F0-25A092DA3699}">
      <formula1>"MASS,ELECTRICITY,EMISSIONS,ENERGY"</formula1>
    </dataValidation>
    <dataValidation type="list" allowBlank="1" showErrorMessage="1" sqref="C15" xr:uid="{4F60AD04-F57B-4BC3-9909-C7937E88110F}">
      <formula1>"IN,OUT"</formula1>
    </dataValidation>
    <dataValidation type="list" allowBlank="1" showErrorMessage="1" sqref="B22:B28" xr:uid="{F10B4410-E2FD-41B5-94EB-7BB5ED898792}">
      <formula1>"Cold,Hot"</formula1>
    </dataValidation>
    <dataValidation type="list" errorStyle="information" allowBlank="1" showInputMessage="1" showErrorMessage="1" sqref="E15 G15 I15 D22:D28 F22:F28 H22:H28 J22:J28 L22:L28 N22:N28 P22:P28 R22:R28" xr:uid="{8F154F9F-DA17-42A3-9984-5FB010DF7864}">
      <formula1>"-,kg,s,m,K,°C,W,bar,kg/h,t/h,kW,kW/m2K,W/m2K,kJ/kgK,kJ/kg,m3/h,%,eur,eur/y,kWel/kWth,year"</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32F1F-CF62-4AB0-9578-ECB85EC0D266}">
  <sheetPr codeName="Sheet7">
    <outlinePr summaryBelow="0" summaryRight="0"/>
  </sheetPr>
  <dimension ref="A1:C2"/>
  <sheetViews>
    <sheetView showGridLines="0" zoomScale="85" zoomScaleNormal="85" workbookViewId="0">
      <selection activeCell="F32" sqref="D32:F32"/>
    </sheetView>
  </sheetViews>
  <sheetFormatPr baseColWidth="10" defaultColWidth="14.46484375" defaultRowHeight="15" customHeight="1" x14ac:dyDescent="0.45"/>
  <cols>
    <col min="1" max="1" width="32.1328125" style="26" bestFit="1" customWidth="1"/>
    <col min="2" max="2" width="20" style="26" customWidth="1"/>
    <col min="3" max="3" width="16.46484375" style="26" customWidth="1"/>
    <col min="4" max="5" width="14.46484375" style="26"/>
    <col min="6" max="6" width="24" style="26" customWidth="1"/>
    <col min="7" max="16384" width="14.46484375" style="26"/>
  </cols>
  <sheetData>
    <row r="1" spans="1:3" ht="15" customHeight="1" thickBot="1" x14ac:dyDescent="0.5">
      <c r="A1" s="73" t="s">
        <v>101</v>
      </c>
      <c r="B1" s="74" t="s">
        <v>40</v>
      </c>
      <c r="C1" s="75" t="s">
        <v>19</v>
      </c>
    </row>
    <row r="2" spans="1:3" ht="14.65" thickBot="1" x14ac:dyDescent="0.5">
      <c r="A2" s="76" t="s">
        <v>27</v>
      </c>
      <c r="B2" s="77" t="s">
        <v>27</v>
      </c>
      <c r="C2" s="78" t="s">
        <v>27</v>
      </c>
    </row>
  </sheetData>
  <dataValidations count="1">
    <dataValidation type="list" errorStyle="information" allowBlank="1" showInputMessage="1" showErrorMessage="1" sqref="C2" xr:uid="{EC7B5127-262C-4FF4-B042-78274232C1C3}">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3B9A0-EC48-4770-AA0C-536A7A99E06A}">
  <sheetPr codeName="Sheet8">
    <outlinePr summaryBelow="0" summaryRight="0"/>
  </sheetPr>
  <dimension ref="A1:D2"/>
  <sheetViews>
    <sheetView showGridLines="0" workbookViewId="0">
      <selection activeCell="F18" sqref="F18"/>
    </sheetView>
  </sheetViews>
  <sheetFormatPr baseColWidth="10" defaultColWidth="14.46484375" defaultRowHeight="15" customHeight="1" x14ac:dyDescent="0.45"/>
  <cols>
    <col min="1" max="1" width="14.46484375" style="26"/>
    <col min="2" max="2" width="29.796875" style="26" bestFit="1" customWidth="1"/>
    <col min="3" max="16384" width="14.46484375" style="26"/>
  </cols>
  <sheetData>
    <row r="1" spans="1:4" ht="14.65" thickBot="1" x14ac:dyDescent="0.5">
      <c r="A1" s="73" t="s">
        <v>74</v>
      </c>
      <c r="B1" s="74" t="s">
        <v>98</v>
      </c>
      <c r="C1" s="74" t="s">
        <v>96</v>
      </c>
      <c r="D1" s="75" t="s">
        <v>97</v>
      </c>
    </row>
    <row r="2" spans="1:4" ht="15" customHeight="1" thickBot="1" x14ac:dyDescent="0.5">
      <c r="A2" s="79" t="s">
        <v>99</v>
      </c>
      <c r="B2" s="80" t="s">
        <v>7</v>
      </c>
      <c r="C2" s="81">
        <v>45690</v>
      </c>
      <c r="D2" s="82" t="s">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1B99B-46C8-419E-AB29-5184622303F2}">
  <sheetPr codeName="Sheet9"/>
  <dimension ref="A1:G3"/>
  <sheetViews>
    <sheetView showGridLines="0" zoomScale="85" zoomScaleNormal="85" workbookViewId="0">
      <selection activeCell="H19" sqref="H19"/>
    </sheetView>
  </sheetViews>
  <sheetFormatPr baseColWidth="10" defaultColWidth="8.796875" defaultRowHeight="14.25" x14ac:dyDescent="0.45"/>
  <cols>
    <col min="1" max="1" width="12.796875" style="26" customWidth="1"/>
    <col min="2" max="2" width="18.46484375" style="26" customWidth="1"/>
    <col min="3" max="3" width="12.796875" style="26" customWidth="1"/>
    <col min="4" max="4" width="11.46484375" style="26" customWidth="1"/>
    <col min="5" max="5" width="10" style="26" customWidth="1"/>
    <col min="6" max="6" width="32" style="26" customWidth="1"/>
    <col min="7" max="7" width="14.46484375" style="26" bestFit="1" customWidth="1"/>
    <col min="8" max="16384" width="8.796875" style="26"/>
  </cols>
  <sheetData>
    <row r="1" spans="1:7" ht="14.65" thickBot="1" x14ac:dyDescent="0.5">
      <c r="A1" s="62" t="s">
        <v>94</v>
      </c>
      <c r="B1" s="69"/>
      <c r="C1" s="69"/>
      <c r="D1" s="69"/>
      <c r="E1" s="69"/>
      <c r="F1" s="69"/>
      <c r="G1" s="70"/>
    </row>
    <row r="2" spans="1:7" ht="14.65" thickBot="1" x14ac:dyDescent="0.5">
      <c r="A2" s="83" t="s">
        <v>95</v>
      </c>
      <c r="B2" s="71" t="s">
        <v>57</v>
      </c>
      <c r="C2" s="71" t="s">
        <v>18</v>
      </c>
      <c r="D2" s="71" t="s">
        <v>93</v>
      </c>
      <c r="E2" s="71" t="s">
        <v>92</v>
      </c>
      <c r="F2" s="71" t="s">
        <v>91</v>
      </c>
      <c r="G2" s="72" t="s">
        <v>76</v>
      </c>
    </row>
    <row r="3" spans="1:7" ht="14.65" thickBot="1" x14ac:dyDescent="0.5">
      <c r="A3" s="84">
        <v>1</v>
      </c>
      <c r="B3" s="221" t="s">
        <v>285</v>
      </c>
      <c r="C3" s="221" t="s">
        <v>286</v>
      </c>
      <c r="D3" s="221" t="s">
        <v>287</v>
      </c>
      <c r="E3" s="221" t="s">
        <v>288</v>
      </c>
      <c r="F3" s="80" t="s">
        <v>7</v>
      </c>
      <c r="G3" s="85">
        <v>46131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AC2DA-EE0D-4270-BA93-3F53B2EBA927}">
  <sheetPr codeName="Sheet10"/>
  <dimension ref="A1:A50"/>
  <sheetViews>
    <sheetView showGridLines="0" workbookViewId="0">
      <selection activeCell="A8" sqref="A8"/>
    </sheetView>
  </sheetViews>
  <sheetFormatPr baseColWidth="10" defaultColWidth="8.86328125" defaultRowHeight="14.25" x14ac:dyDescent="0.45"/>
  <cols>
    <col min="1" max="1" width="140.796875" style="264" customWidth="1"/>
    <col min="2" max="16384" width="8.86328125" style="264"/>
  </cols>
  <sheetData>
    <row r="1" spans="1:1" ht="15" thickTop="1" thickBot="1" x14ac:dyDescent="0.5">
      <c r="A1" s="263" t="s">
        <v>310</v>
      </c>
    </row>
    <row r="2" spans="1:1" ht="28.9" thickTop="1" x14ac:dyDescent="0.45">
      <c r="A2" s="264" t="s">
        <v>311</v>
      </c>
    </row>
    <row r="3" spans="1:1" x14ac:dyDescent="0.45">
      <c r="A3" s="264" t="s">
        <v>312</v>
      </c>
    </row>
    <row r="4" spans="1:1" ht="14.65" thickBot="1" x14ac:dyDescent="0.5"/>
    <row r="5" spans="1:1" ht="15" thickTop="1" thickBot="1" x14ac:dyDescent="0.5">
      <c r="A5" s="263" t="s">
        <v>313</v>
      </c>
    </row>
    <row r="6" spans="1:1" ht="14.65" thickTop="1" x14ac:dyDescent="0.45">
      <c r="A6" s="264" t="s">
        <v>314</v>
      </c>
    </row>
    <row r="7" spans="1:1" x14ac:dyDescent="0.45">
      <c r="A7" s="264" t="s">
        <v>315</v>
      </c>
    </row>
    <row r="8" spans="1:1" x14ac:dyDescent="0.45">
      <c r="A8" s="264" t="s">
        <v>316</v>
      </c>
    </row>
    <row r="9" spans="1:1" x14ac:dyDescent="0.45">
      <c r="A9" s="264" t="s">
        <v>317</v>
      </c>
    </row>
    <row r="10" spans="1:1" x14ac:dyDescent="0.45">
      <c r="A10" s="264" t="s">
        <v>318</v>
      </c>
    </row>
    <row r="11" spans="1:1" x14ac:dyDescent="0.45">
      <c r="A11" s="264" t="s">
        <v>319</v>
      </c>
    </row>
    <row r="12" spans="1:1" ht="14.65" thickBot="1" x14ac:dyDescent="0.5"/>
    <row r="13" spans="1:1" ht="15" thickTop="1" thickBot="1" x14ac:dyDescent="0.5">
      <c r="A13" s="263" t="s">
        <v>320</v>
      </c>
    </row>
    <row r="14" spans="1:1" ht="14.65" thickTop="1" x14ac:dyDescent="0.45">
      <c r="A14" s="264" t="str">
        <f>"Net Power Generation (W_bal): "&amp;TEXT(W_bal,"#,##0.00")&amp;" kW"</f>
        <v>Net Power Generation (W_bal): 34.03 kW</v>
      </c>
    </row>
    <row r="15" spans="1:1" x14ac:dyDescent="0.45">
      <c r="A15" s="264" t="str">
        <f>"Total Turbine Power (TURB1 + TURB2): "&amp;TEXT(TURB1+TURB2,"#,##0.00")&amp;" kW"</f>
        <v>Total Turbine Power (TURB1 + TURB2): 34.68 kW</v>
      </c>
    </row>
    <row r="16" spans="1:1" x14ac:dyDescent="0.45">
      <c r="A16" s="264" t="str">
        <f>"Annualized Investment Cost: "&amp;TEXT(Cinv2_ORC,"#,##0.00")&amp;" Euro/year"</f>
        <v>Annualized Investment Cost: 2,343.74 Euro/year</v>
      </c>
    </row>
    <row r="17" spans="1:1" x14ac:dyDescent="0.45">
      <c r="A17" s="264" t="str">
        <f>"Project Life Cycle: "&amp;TEXT(n,"0")&amp;" years at "&amp;TEXT(i*100,"0")&amp;"% interest rate."</f>
        <v>Project Life Cycle: 40 years at 6% interest rate.</v>
      </c>
    </row>
    <row r="18" spans="1:1" ht="14.65" thickBot="1" x14ac:dyDescent="0.5"/>
    <row r="19" spans="1:1" ht="15" thickTop="1" thickBot="1" x14ac:dyDescent="0.5">
      <c r="A19" s="263" t="s">
        <v>321</v>
      </c>
    </row>
    <row r="20" spans="1:1" ht="14.65" thickTop="1" x14ac:dyDescent="0.45">
      <c r="A20" s="264" t="str">
        <f>"Temperature inlet of the waste heat recovery boiler: "&amp;TEXT(HX1_Tin,"#,##0.00")&amp;" "&amp;"°C"</f>
        <v>Temperature inlet of the waste heat recovery boiler: 115.70 °C</v>
      </c>
    </row>
    <row r="21" spans="1:1" x14ac:dyDescent="0.45">
      <c r="A21" s="264" t="str">
        <f>"Temperature outlet of the waste heat recovery boiler: "&amp;TEXT(HX1_Tout,"#,##0.00")&amp;" "&amp;"°C"</f>
        <v>Temperature outlet of the waste heat recovery boiler: 241.40 °C</v>
      </c>
    </row>
    <row r="22" spans="1:1" x14ac:dyDescent="0.45">
      <c r="A22" s="264" t="str">
        <f>"Heating requirement for increasing the toluene temperature up to the saturation value (115.7 to 241.4 C): "&amp;TEXT(HX1_Q,"#,##0.00")&amp;" "&amp;"kW"</f>
        <v>Heating requirement for increasing the toluene temperature up to the saturation value (115.7 to 241.4 C): 81.13 kW</v>
      </c>
    </row>
    <row r="23" spans="1:1" x14ac:dyDescent="0.45">
      <c r="A23" s="264" t="str">
        <f>"Vaporization enthalpy of toluene at 241.4 C: "&amp;TEXT(HX2_Q,"#,##0.00")&amp;" "&amp;"kW"</f>
        <v>Vaporization enthalpy of toluene at 241.4 C: 69.20 kW</v>
      </c>
    </row>
    <row r="24" spans="1:1" x14ac:dyDescent="0.45">
      <c r="A24" s="264" t="str">
        <f>"Vaporization temperature of toluene: "&amp;TEXT(HX2_T,"#,##0.00")&amp;" "&amp;"°C"</f>
        <v>Vaporization temperature of toluene: 241.20 °C</v>
      </c>
    </row>
    <row r="25" spans="1:1" x14ac:dyDescent="0.45">
      <c r="A25" s="264" t="str">
        <f>"Power generation in the first expansion stage: "&amp;TEXT(TURB1,"#,##0.00")&amp;" "&amp;"kW"</f>
        <v>Power generation in the first expansion stage: 22.11 kW</v>
      </c>
    </row>
    <row r="26" spans="1:1" x14ac:dyDescent="0.45">
      <c r="A26" s="264" t="str">
        <f>"Temperature inlet of the process heat exchanger: "&amp;TEXT(HX3_Tin,"#,##0.00")&amp;" "&amp;"°C"</f>
        <v>Temperature inlet of the process heat exchanger: 178.30 °C</v>
      </c>
    </row>
    <row r="27" spans="1:1" x14ac:dyDescent="0.45">
      <c r="A27" s="264" t="str">
        <f>"Temperature outlet of the process heat exchanger: "&amp;TEXT(HX3_Tout,"#,##0.00")&amp;" "&amp;"°C"</f>
        <v>Temperature outlet of the process heat exchanger: 115.00 °C</v>
      </c>
    </row>
    <row r="28" spans="1:1" x14ac:dyDescent="0.45">
      <c r="A28" s="264" t="str">
        <f>"Heat supply to process heat exchanger (178.3C to 115C): "&amp;TEXT(HX3_Q,"#,##0.00")&amp;" "&amp;"kW"</f>
        <v>Heat supply to process heat exchanger (178.3C to 115C): 12.62 kW</v>
      </c>
    </row>
    <row r="29" spans="1:1" x14ac:dyDescent="0.45">
      <c r="A29" s="264" t="str">
        <f>"Cp of toluene at 150C: "&amp;TEXT(Cp,"#,##0.00")&amp;" "&amp;"kJ/kgK"</f>
        <v>Cp of toluene at 150C: 2.20 kJ/kgK</v>
      </c>
    </row>
    <row r="30" spans="1:1" x14ac:dyDescent="0.45">
      <c r="A30" s="264" t="str">
        <f>"Condensation enthalpy of toluene at 115 C: "&amp;TEXT(HX4_Q,"#,##0.00")&amp;" "&amp;"kW"</f>
        <v>Condensation enthalpy of toluene at 115 C: 45.36 kW</v>
      </c>
    </row>
    <row r="31" spans="1:1" x14ac:dyDescent="0.45">
      <c r="A31" s="264" t="str">
        <f>"Condensation temperature of toluene: "&amp;TEXT(HX4_T,"#,##0.00")&amp;" "&amp;"°C"</f>
        <v>Condensation temperature of toluene: 115.00 °C</v>
      </c>
    </row>
    <row r="32" spans="1:1" x14ac:dyDescent="0.45">
      <c r="A32" s="264" t="str">
        <f>"Power generation in the second expansion stage: "&amp;TEXT(TURB2,"#,##0.00")&amp;" "&amp;"kW"</f>
        <v>Power generation in the second expansion stage: 12.57 kW</v>
      </c>
    </row>
    <row r="33" spans="1:1" x14ac:dyDescent="0.45">
      <c r="A33" s="264" t="str">
        <f>"Temperature inlet of the second process heat exchanger: "&amp;TEXT(HX5_Tin,"#,##0.00")&amp;" "&amp;"°C"</f>
        <v>Temperature inlet of the second process heat exchanger: 125.30 °C</v>
      </c>
    </row>
    <row r="34" spans="1:1" x14ac:dyDescent="0.45">
      <c r="A34" s="264" t="str">
        <f>"Temperature outlet of the second process heat exchanger: "&amp;TEXT(HX5_Tout,"#,##0.00")&amp;" "&amp;"°C"</f>
        <v>Temperature outlet of the second process heat exchanger: 34.18 °C</v>
      </c>
    </row>
    <row r="35" spans="1:1" x14ac:dyDescent="0.45">
      <c r="A35" s="264" t="str">
        <f>"Heat supply to process heat exchanger (125.3C to 34.18C): "&amp;TEXT(HX5_Q,"#,##0.00")&amp;" "&amp;"kW"</f>
        <v>Heat supply to process heat exchanger (125.3C to 34.18C): 18.67 kW</v>
      </c>
    </row>
    <row r="36" spans="1:1" x14ac:dyDescent="0.45">
      <c r="A36" s="264" t="str">
        <f>"Condensation enthalpy of toluene at 34.18 C: "&amp;TEXT(HX6_Q,"#,##0.00")&amp;" "&amp;"kW"</f>
        <v>Condensation enthalpy of toluene at 34.18 C: 62.15 kW</v>
      </c>
    </row>
    <row r="37" spans="1:1" x14ac:dyDescent="0.45">
      <c r="A37" s="264" t="str">
        <f>"Condensation temperature of toluene: "&amp;TEXT(HX6_T,"#,##0.00")&amp;" "&amp;"°C"</f>
        <v>Condensation temperature of toluene: 34.18 °C</v>
      </c>
    </row>
    <row r="38" spans="1:1" x14ac:dyDescent="0.45">
      <c r="A38" s="264" t="str">
        <f>"Power consumed in the first pump: "&amp;TEXT(Pump1,"#,##0.00")&amp;" "&amp;"kW"</f>
        <v>Power consumed in the first pump: 0.62 kW</v>
      </c>
    </row>
    <row r="39" spans="1:1" x14ac:dyDescent="0.45">
      <c r="A39" s="264" t="str">
        <f>"Power consumed in the second pump: "&amp;TEXT(Pump2,"#,##0.00")&amp;" "&amp;"kW"</f>
        <v>Power consumed in the second pump: 0.03 kW</v>
      </c>
    </row>
    <row r="40" spans="1:1" x14ac:dyDescent="0.45">
      <c r="A40" s="264" t="str">
        <f>"Temperature inlet of the toluene preheater: "&amp;TEXT(HX7_Tin,"#,##0.00")&amp;" "&amp;"°C"</f>
        <v>Temperature inlet of the toluene preheater: 34.22 °C</v>
      </c>
    </row>
    <row r="41" spans="1:1" x14ac:dyDescent="0.45">
      <c r="A41" s="264" t="str">
        <f>"Temperature outlet of the toluene preheater: "&amp;TEXT(HX7_Tout,"#,##0.00")&amp;" "&amp;"°C"</f>
        <v>Temperature outlet of the toluene preheater: 115.00 °C</v>
      </c>
    </row>
    <row r="42" spans="1:1" x14ac:dyDescent="0.45">
      <c r="A42" s="264" t="str">
        <f>"Heating requirement for increasing the toluene temperature up to 115C: "&amp;TEXT(HX7_Q,"#,##0.00")&amp;" "&amp;"kW"</f>
        <v>Heating requirement for increasing the toluene temperature up to 115C: 22.51 kW</v>
      </c>
    </row>
    <row r="43" spans="1:1" x14ac:dyDescent="0.45">
      <c r="A43" s="264" t="str">
        <f>"Minimum temperature difference contribution: "&amp;TEXT(dtmin_2ph,"#,##0.00")&amp;" "&amp;"°C"</f>
        <v>Minimum temperature difference contribution: 2.00 °C</v>
      </c>
    </row>
    <row r="44" spans="1:1" x14ac:dyDescent="0.45">
      <c r="A44" s="264" t="str">
        <f>"Lifetime of an ORC: "&amp;TEXT(n,"#,##0.00")&amp;" "&amp;"year"</f>
        <v>Lifetime of an ORC: 40.00 year</v>
      </c>
    </row>
    <row r="45" spans="1:1" x14ac:dyDescent="0.45">
      <c r="A45" s="264" t="str">
        <f>"Interest rate: "&amp;TEXT(i,"#,##0.00")&amp;" "&amp;"-"</f>
        <v>Interest rate: 0.06 -</v>
      </c>
    </row>
    <row r="46" spans="1:1" x14ac:dyDescent="0.45">
      <c r="A46" s="264" t="str">
        <f>"Net power generation: "&amp;TEXT(W_bal,"#,##0.00")&amp;" "&amp;"kW"</f>
        <v>Net power generation: 34.03 kW</v>
      </c>
    </row>
    <row r="47" spans="1:1" x14ac:dyDescent="0.45">
      <c r="A47" s="264" t="str">
        <f>"Annualized investment cost for 2020: "&amp;TEXT(Cinv2_ORC,"#,##0.00")&amp;" "&amp;"eur/y"</f>
        <v>Annualized investment cost for 2020: 2,343.74 eur/y</v>
      </c>
    </row>
    <row r="48" spans="1:1" ht="14.65" thickBot="1" x14ac:dyDescent="0.5"/>
    <row r="49" spans="1:1" ht="15" thickTop="1" thickBot="1" x14ac:dyDescent="0.5">
      <c r="A49" s="263" t="s">
        <v>322</v>
      </c>
    </row>
    <row r="50" spans="1:1" ht="57.4" thickTop="1" x14ac:dyDescent="0.45">
      <c r="A50" s="264" t="s">
        <v>323</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92</vt:i4>
      </vt:variant>
    </vt:vector>
  </HeadingPairs>
  <TitlesOfParts>
    <vt:vector size="101" baseType="lpstr">
      <vt:lpstr>README</vt:lpstr>
      <vt:lpstr>METADATA</vt:lpstr>
      <vt:lpstr>CONNECTORS</vt:lpstr>
      <vt:lpstr>VARIABLES</vt:lpstr>
      <vt:lpstr>OrgRC</vt:lpstr>
      <vt:lpstr>CALCULATIONS</vt:lpstr>
      <vt:lpstr>CHANGELOG</vt:lpstr>
      <vt:lpstr>SUPPL MATERIAL</vt:lpstr>
      <vt:lpstr>DOCUMENTATION</vt:lpstr>
      <vt:lpstr>Annuity</vt:lpstr>
      <vt:lpstr>Annuity_max</vt:lpstr>
      <vt:lpstr>Annuity_min</vt:lpstr>
      <vt:lpstr>CEPCI_2008</vt:lpstr>
      <vt:lpstr>CEPCI_2008_max</vt:lpstr>
      <vt:lpstr>CEPCI_2008_min</vt:lpstr>
      <vt:lpstr>CEPCI_2020</vt:lpstr>
      <vt:lpstr>CEPCI_2020_max</vt:lpstr>
      <vt:lpstr>CEPCI_2020_min</vt:lpstr>
      <vt:lpstr>Cinv_ORC</vt:lpstr>
      <vt:lpstr>Cinv2_ORC</vt:lpstr>
      <vt:lpstr>Cinv2_ORC_max</vt:lpstr>
      <vt:lpstr>Cinv2_ORC_min</vt:lpstr>
      <vt:lpstr>Cp</vt:lpstr>
      <vt:lpstr>dtmin_2ph</vt:lpstr>
      <vt:lpstr>dtmin_2ph_max</vt:lpstr>
      <vt:lpstr>dtmin_2ph_min</vt:lpstr>
      <vt:lpstr>HX1_Q</vt:lpstr>
      <vt:lpstr>HX1_Q_max</vt:lpstr>
      <vt:lpstr>HX1_Q_min</vt:lpstr>
      <vt:lpstr>HX1_Tin</vt:lpstr>
      <vt:lpstr>HX1_Tin_max</vt:lpstr>
      <vt:lpstr>HX1_Tin_min</vt:lpstr>
      <vt:lpstr>HX1_Tout</vt:lpstr>
      <vt:lpstr>HX1_Tout_max</vt:lpstr>
      <vt:lpstr>HX1_Tout_min</vt:lpstr>
      <vt:lpstr>HX2_Q</vt:lpstr>
      <vt:lpstr>HX2_Q_max</vt:lpstr>
      <vt:lpstr>HX2_Q_min</vt:lpstr>
      <vt:lpstr>HX2_T</vt:lpstr>
      <vt:lpstr>HX2_T_max</vt:lpstr>
      <vt:lpstr>HX2_T_min</vt:lpstr>
      <vt:lpstr>HX3_Q</vt:lpstr>
      <vt:lpstr>HX3_Q_max</vt:lpstr>
      <vt:lpstr>HX3_Q_min</vt:lpstr>
      <vt:lpstr>HX3_Tin</vt:lpstr>
      <vt:lpstr>HX3_Tin_max</vt:lpstr>
      <vt:lpstr>HX3_Tin_min</vt:lpstr>
      <vt:lpstr>HX3_Tout</vt:lpstr>
      <vt:lpstr>HX3_Tout_max</vt:lpstr>
      <vt:lpstr>HX3_Tout_min</vt:lpstr>
      <vt:lpstr>HX4_Q</vt:lpstr>
      <vt:lpstr>HX4_Q_max</vt:lpstr>
      <vt:lpstr>HX4_Q_min</vt:lpstr>
      <vt:lpstr>HX4_T</vt:lpstr>
      <vt:lpstr>HX4_T_max</vt:lpstr>
      <vt:lpstr>HX4_T_min</vt:lpstr>
      <vt:lpstr>HX5_Q</vt:lpstr>
      <vt:lpstr>HX5_Q_max</vt:lpstr>
      <vt:lpstr>HX5_Q_min</vt:lpstr>
      <vt:lpstr>HX5_Tin</vt:lpstr>
      <vt:lpstr>HX5_Tin_max</vt:lpstr>
      <vt:lpstr>HX5_Tin_min</vt:lpstr>
      <vt:lpstr>HX5_Tout</vt:lpstr>
      <vt:lpstr>HX5_Tout_max</vt:lpstr>
      <vt:lpstr>HX5_Tout_min</vt:lpstr>
      <vt:lpstr>HX6_Q</vt:lpstr>
      <vt:lpstr>HX6_Q_max</vt:lpstr>
      <vt:lpstr>HX6_Q_min</vt:lpstr>
      <vt:lpstr>HX6_T</vt:lpstr>
      <vt:lpstr>HX6_T_max</vt:lpstr>
      <vt:lpstr>HX6_T_min</vt:lpstr>
      <vt:lpstr>HX7_Q</vt:lpstr>
      <vt:lpstr>HX7_Q_max</vt:lpstr>
      <vt:lpstr>HX7_Q_min</vt:lpstr>
      <vt:lpstr>HX7_Tin</vt:lpstr>
      <vt:lpstr>HX7_Tin_max</vt:lpstr>
      <vt:lpstr>HX7_Tin_min</vt:lpstr>
      <vt:lpstr>HX7_Tout</vt:lpstr>
      <vt:lpstr>HX7_Tout_max</vt:lpstr>
      <vt:lpstr>HX7_Tout_min</vt:lpstr>
      <vt:lpstr>i</vt:lpstr>
      <vt:lpstr>i_max</vt:lpstr>
      <vt:lpstr>i_min</vt:lpstr>
      <vt:lpstr>n</vt:lpstr>
      <vt:lpstr>n_max</vt:lpstr>
      <vt:lpstr>n_min</vt:lpstr>
      <vt:lpstr>Pump1</vt:lpstr>
      <vt:lpstr>Pump1_max</vt:lpstr>
      <vt:lpstr>Pump1_min</vt:lpstr>
      <vt:lpstr>Pump2</vt:lpstr>
      <vt:lpstr>Pump2_max</vt:lpstr>
      <vt:lpstr>Pump2_min</vt:lpstr>
      <vt:lpstr>TURB1</vt:lpstr>
      <vt:lpstr>TURB1_max</vt:lpstr>
      <vt:lpstr>TURB1_min</vt:lpstr>
      <vt:lpstr>TURB2</vt:lpstr>
      <vt:lpstr>TURB2_max</vt:lpstr>
      <vt:lpstr>TURB2_min</vt:lpstr>
      <vt:lpstr>W_bal</vt:lpstr>
      <vt:lpstr>W_bal_max</vt:lpstr>
      <vt:lpstr>W_bal_min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Quentin Pierre Corentin Poindextre</cp:lastModifiedBy>
  <dcterms:created xsi:type="dcterms:W3CDTF">2023-07-04T12:09:19Z</dcterms:created>
  <dcterms:modified xsi:type="dcterms:W3CDTF">2026-07-02T12:18:25Z</dcterms:modified>
</cp:coreProperties>
</file>